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73b8b2e47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0 Candidates" sheetId="1" r:id="R7700c79bbfc14f1e"/>
    <x:sheet xmlns:r="http://schemas.openxmlformats.org/officeDocument/2006/relationships" name="Method" sheetId="2" r:id="Rc82617602ead45b2"/>
    <x:sheet xmlns:r="http://schemas.openxmlformats.org/officeDocument/2006/relationships" name="Grassroots Nodes" sheetId="3" r:id="Rfdc2de09ff084aa9"/>
    <x:sheet xmlns:r="http://schemas.openxmlformats.org/officeDocument/2006/relationships" name="Source Register" sheetId="4" r:id="R0907a30d71654ef9"/>
    <x:sheet xmlns:r="http://schemas.openxmlformats.org/officeDocument/2006/relationships" name="V1 LSOA Schema" sheetId="5" r:id="Rb4c03bd51f2f4c16"/>
    <x:sheet xmlns:r="http://schemas.openxmlformats.org/officeDocument/2006/relationships" name="TS003 Summary" sheetId="6" r:id="Rf6ff3332856d44d5"/>
    <x:sheet xmlns:r="http://schemas.openxmlformats.org/officeDocument/2006/relationships" name="Geo Summary" sheetId="7" r:id="R42beeba568ba4555"/>
    <x:sheet xmlns:r="http://schemas.openxmlformats.org/officeDocument/2006/relationships" name="Grassroots Shortlist" sheetId="8" r:id="R7aab53c7b22e4500"/>
    <x:sheet xmlns:r="http://schemas.openxmlformats.org/officeDocument/2006/relationships" name="Matchday Validated" sheetId="9" r:id="R71b36a4b5ed1430b"/>
    <x:sheet xmlns:r="http://schemas.openxmlformats.org/officeDocument/2006/relationships" name="Competition Landscape" sheetId="10" r:id="R05bdd295e1544c08"/>
    <x:sheet xmlns:r="http://schemas.openxmlformats.org/officeDocument/2006/relationships" name="Play Cards" sheetId="11" r:id="R6413d4b05f6c4b79"/>
    <x:sheet xmlns:r="http://schemas.openxmlformats.org/officeDocument/2006/relationships" name="Play Card Summary" sheetId="12" r:id="R599f826fd6e84695"/>
    <x:sheet xmlns:r="http://schemas.openxmlformats.org/officeDocument/2006/relationships" name="Calendar Opportunity" sheetId="13" r:id="R77c1ec70c5ac40ed"/>
    <x:sheet xmlns:r="http://schemas.openxmlformats.org/officeDocument/2006/relationships" name="Calendar Plays" sheetId="14" r:id="R503225079c504c40"/>
    <x:sheet xmlns:r="http://schemas.openxmlformats.org/officeDocument/2006/relationships" name="Attendance Monitor" sheetId="15" r:id="R348b21a0b4f044ee"/>
    <x:sheet xmlns:r="http://schemas.openxmlformats.org/officeDocument/2006/relationships" name="Weather Monitor" sheetId="16" r:id="R69973d0e2e0b4453"/>
    <x:sheet xmlns:r="http://schemas.openxmlformats.org/officeDocument/2006/relationships" name="Matchday Acquisition" sheetId="17" r:id="R66c7338671004c67"/>
    <x:sheet xmlns:r="http://schemas.openxmlformats.org/officeDocument/2006/relationships" name="Ticketing Strategy" sheetId="18" r:id="R36d004f404e14508"/>
    <x:sheet xmlns:r="http://schemas.openxmlformats.org/officeDocument/2006/relationships" name="Ticketing Comparison" sheetId="19" r:id="R029df2398d52439e"/>
    <x:sheet xmlns:r="http://schemas.openxmlformats.org/officeDocument/2006/relationships" name="Ticketing Plays" sheetId="20" r:id="R2a6305b1c0a14f19"/>
    <x:sheet xmlns:r="http://schemas.openxmlformats.org/officeDocument/2006/relationships" name="Local Market" sheetId="21" r:id="R0dd973b3822d47e5"/>
    <x:sheet xmlns:r="http://schemas.openxmlformats.org/officeDocument/2006/relationships" name="Local Campaigns" sheetId="22" r:id="R901995c77c5245ad"/>
    <x:sheet xmlns:r="http://schemas.openxmlformats.org/officeDocument/2006/relationships" name="Local Partner Categories" sheetId="23" r:id="R194c2ac3427b4f8e"/>
    <x:sheet xmlns:r="http://schemas.openxmlformats.org/officeDocument/2006/relationships" name="Local Acquisition Plays" sheetId="24" r:id="R2447eda062794db4"/>
    <x:sheet xmlns:r="http://schemas.openxmlformats.org/officeDocument/2006/relationships" name="Attention Competition" sheetId="25" r:id="R9e2b5cce75ea4787"/>
    <x:sheet xmlns:r="http://schemas.openxmlformats.org/officeDocument/2006/relationships" name="Attention Plays" sheetId="26" r:id="R304ffe85683147d2"/>
    <x:sheet xmlns:r="http://schemas.openxmlformats.org/officeDocument/2006/relationships" name="Consumer Trends" sheetId="27" r:id="R4fcdf46b7896438b"/>
    <x:sheet xmlns:r="http://schemas.openxmlformats.org/officeDocument/2006/relationships" name="Market Trend Plays" sheetId="28" r:id="R4fcd1ed4a1f84b32"/>
    <x:sheet xmlns:r="http://schemas.openxmlformats.org/officeDocument/2006/relationships" name="Market Monitor" sheetId="29" r:id="Rfa5d79b7f97b4b6a"/>
    <x:sheet xmlns:r="http://schemas.openxmlformats.org/officeDocument/2006/relationships" name="LCL Marketing Audit" sheetId="30" r:id="R4abead7b9ecb4a47"/>
    <x:sheet xmlns:r="http://schemas.openxmlformats.org/officeDocument/2006/relationships" name="London Growth Cases" sheetId="31" r:id="Rc48ec099329c4151"/>
    <x:sheet xmlns:r="http://schemas.openxmlformats.org/officeDocument/2006/relationships" name="2026-27 Recommendations" sheetId="32" r:id="R53469f81e45e46c1"/>
    <x:sheet xmlns:r="http://schemas.openxmlformats.org/officeDocument/2006/relationships" name="Weekly Decision Engine" sheetId="33" r:id="R5f6edda687844cea"/>
    <x:sheet xmlns:r="http://schemas.openxmlformats.org/officeDocument/2006/relationships" name="Weekly Dashboard" sheetId="34" r:id="R1e7eadf647f3458c"/>
    <x:sheet xmlns:r="http://schemas.openxmlformats.org/officeDocument/2006/relationships" name="Decision Method" sheetId="35" r:id="R2a49c635ef1f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"/>
    <x:numFmt numFmtId="202" formatCode="0.000000"/>
    <x:numFmt numFmtId="203" formatCode="0.0"/>
    <x:numFmt numFmtId="204" formatCode="0%"/>
    <x:numFmt numFmtId="205" formatCode="£0.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7"/>
      <x:color rgb="FFFFFFFF"/>
      <x:name val="Carlito"/>
    </x:font>
    <x:font>
      <x:i/>
      <x:sz val="11"/>
      <x:color rgb="FF4B5563"/>
      <x:name val="Carlito"/>
    </x:font>
    <x:font>
      <x:b/>
      <x:sz val="13"/>
      <x:name val="Carlito"/>
    </x:font>
  </x:fonts>
  <x:fills count="63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7C3AED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B91C1C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  <x:fill>
      <x:patternFill patternType="solid">
        <x:fgColor rgb="FF7C3AED"/>
      </x:patternFill>
    </x:fill>
    <x:fill>
      <x:patternFill patternType="solid">
        <x:fgColor rgb="FF0F766E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7C3AED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B45309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B91C1C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7C3AED"/>
      </x:patternFill>
    </x:fill>
    <x:fill>
      <x:patternFill patternType="solid">
        <x:fgColor rgb="FF0F766E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7C3AED"/>
      </x:patternFill>
    </x:fill>
    <x:fill>
      <x:patternFill patternType="solid">
        <x:fgColor rgb="FF0F766E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E5E7EB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2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6" fillId="0" borderId="0" xfId="0" applyNumberFormat="1" applyFont="1" applyFill="1" applyBorder="1"/>
    <x:xf numFmtId="0" fontId="0" fillId="23" borderId="0" xfId="0" applyNumberFormat="1" applyFont="1" applyFill="1" applyBorder="1"/>
    <x:xf numFmtId="0" fontId="4" fillId="23" borderId="0" xfId="0" applyNumberFormat="1" applyFont="1" applyFill="1" applyBorder="1"/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200" fontId="3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5" fillId="2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4" fillId="23" borderId="0" xfId="0" applyNumberFormat="1" applyFont="1" applyFill="1" applyBorder="1" applyAlignment="1">
      <x:alignment wrapText="1"/>
    </x:xf>
    <x:xf numFmtId="0" fontId="1" fillId="27" borderId="0" xfId="0" applyNumberFormat="1" applyFont="1" applyFill="1" applyBorder="1" applyAlignment="1">
      <x:alignment wrapText="1"/>
    </x:xf>
    <x:xf numFmtId="0" fontId="1" fillId="28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2" fillId="31" borderId="0" xfId="0" applyNumberFormat="1" applyFont="1" applyFill="1" applyBorder="1"/>
    <x:xf numFmtId="0" fontId="0" fillId="32" borderId="0" xfId="0" applyNumberFormat="1" applyFont="1" applyFill="1" applyBorder="1"/>
    <x:xf numFmtId="0" fontId="1" fillId="32" borderId="0" xfId="0" applyNumberFormat="1" applyFont="1" applyFill="1" applyBorder="1"/>
    <x:xf numFmtId="0" fontId="1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" fillId="33" borderId="0" xfId="0" applyNumberFormat="1" applyFont="1" applyFill="1" applyBorder="1"/>
    <x:xf numFmtId="0" fontId="1" fillId="33" borderId="0" xfId="0" applyNumberFormat="1" applyFont="1" applyFill="1" applyBorder="1" applyAlignment="1">
      <x:alignment wrapText="1"/>
    </x:xf>
    <x:xf numFmtId="0" fontId="2" fillId="31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 applyAlignment="1">
      <x:alignment wrapText="1"/>
    </x:xf>
    <x:xf numFmtId="0" fontId="3" fillId="36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2" fillId="37" borderId="0" xfId="0" applyNumberFormat="1" applyFont="1" applyFill="1" applyBorder="1"/>
    <x:xf numFmtId="0" fontId="0" fillId="38" borderId="0" xfId="0" applyNumberFormat="1" applyFont="1" applyFill="1" applyBorder="1"/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1" fillId="42" borderId="0" xfId="0" applyNumberFormat="1" applyFont="1" applyFill="1" applyBorder="1"/>
    <x:xf numFmtId="0" fontId="1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/>
    <x:xf numFmtId="0" fontId="1" fillId="43" borderId="0" xfId="0" applyNumberFormat="1" applyFont="1" applyFill="1" applyBorder="1"/>
    <x:xf numFmtId="0" fontId="1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1" fillId="44" borderId="0" xfId="0" applyNumberFormat="1" applyFont="1" applyFill="1" applyBorder="1"/>
    <x:xf numFmtId="0" fontId="1" fillId="44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/>
    <x:xf numFmtId="0" fontId="2" fillId="45" borderId="0" xfId="0" applyNumberFormat="1" applyFont="1" applyFill="1" applyBorder="1"/>
    <x:xf numFmtId="0" fontId="0" fillId="46" borderId="0" xfId="0" applyNumberFormat="1" applyFont="1" applyFill="1" applyBorder="1"/>
    <x:xf numFmtId="0" fontId="1" fillId="46" borderId="0" xfId="0" applyNumberFormat="1" applyFont="1" applyFill="1" applyBorder="1"/>
    <x:xf numFmtId="0" fontId="1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1" fillId="47" borderId="0" xfId="0" applyNumberFormat="1" applyFont="1" applyFill="1" applyBorder="1"/>
    <x:xf numFmtId="0" fontId="1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3" fillId="48" borderId="0" xfId="0" applyNumberFormat="1" applyFont="1" applyFill="1" applyBorder="1"/>
    <x:xf numFmtId="0" fontId="3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2" fillId="49" borderId="0" xfId="0" applyNumberFormat="1" applyFont="1" applyFill="1" applyBorder="1"/>
    <x:xf numFmtId="0" fontId="0" fillId="50" borderId="0" xfId="0" applyNumberFormat="1" applyFont="1" applyFill="1" applyBorder="1"/>
    <x:xf numFmtId="0" fontId="1" fillId="50" borderId="0" xfId="0" applyNumberFormat="1" applyFont="1" applyFill="1" applyBorder="1"/>
    <x:xf numFmtId="0" fontId="1" fillId="50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1" fillId="51" borderId="0" xfId="0" applyNumberFormat="1" applyFont="1" applyFill="1" applyBorder="1"/>
    <x:xf numFmtId="0" fontId="1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1" fillId="52" borderId="0" xfId="0" applyNumberFormat="1" applyFont="1" applyFill="1" applyBorder="1"/>
    <x:xf numFmtId="0" fontId="1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2" fillId="53" borderId="0" xfId="0" applyNumberFormat="1" applyFont="1" applyFill="1" applyBorder="1"/>
    <x:xf numFmtId="0" fontId="0" fillId="54" borderId="0" xfId="0" applyNumberFormat="1" applyFont="1" applyFill="1" applyBorder="1"/>
    <x:xf numFmtId="0" fontId="1" fillId="54" borderId="0" xfId="0" applyNumberFormat="1" applyFont="1" applyFill="1" applyBorder="1"/>
    <x:xf numFmtId="0" fontId="1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1" fillId="55" borderId="0" xfId="0" applyNumberFormat="1" applyFont="1" applyFill="1" applyBorder="1"/>
    <x:xf numFmtId="0" fontId="1" fillId="55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/>
    <x:xf numFmtId="0" fontId="1" fillId="56" borderId="0" xfId="0" applyNumberFormat="1" applyFont="1" applyFill="1" applyBorder="1"/>
    <x:xf numFmtId="0" fontId="1" fillId="56" borderId="0" xfId="0" applyNumberFormat="1" applyFont="1" applyFill="1" applyBorder="1" applyAlignment="1">
      <x:alignment wrapText="1"/>
    </x:xf>
    <x:xf numFmtId="0" fontId="0" fillId="57" borderId="0" xfId="0" applyNumberFormat="1" applyFont="1" applyFill="1" applyBorder="1"/>
    <x:xf numFmtId="0" fontId="3" fillId="57" borderId="0" xfId="0" applyNumberFormat="1" applyFont="1" applyFill="1" applyBorder="1"/>
    <x:xf numFmtId="0" fontId="3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5" fillId="58" borderId="0" xfId="0" applyNumberFormat="1" applyFont="1" applyFill="1" applyBorder="1"/>
    <x:xf numFmtId="0" fontId="0" fillId="59" borderId="0" xfId="0" applyNumberFormat="1" applyFont="1" applyFill="1" applyBorder="1"/>
    <x:xf numFmtId="0" fontId="1" fillId="59" borderId="0" xfId="0" applyNumberFormat="1" applyFont="1" applyFill="1" applyBorder="1"/>
    <x:xf numFmtId="0" fontId="1" fillId="59" borderId="0" xfId="0" applyNumberFormat="1" applyFont="1" applyFill="1" applyBorder="1" applyAlignment="1">
      <x:alignment wrapText="1"/>
    </x:xf>
    <x:xf numFmtId="0" fontId="0" fillId="60" borderId="0" xfId="0" applyNumberFormat="1" applyFont="1" applyFill="1" applyBorder="1"/>
    <x:xf numFmtId="0" fontId="1" fillId="60" borderId="0" xfId="0" applyNumberFormat="1" applyFont="1" applyFill="1" applyBorder="1"/>
    <x:xf numFmtId="0" fontId="0" fillId="61" borderId="0" xfId="0" applyNumberFormat="1" applyFont="1" applyFill="1" applyBorder="1"/>
    <x:xf numFmtId="0" fontId="3" fillId="61" borderId="0" xfId="0" applyNumberFormat="1" applyFont="1" applyFill="1" applyBorder="1"/>
    <x:xf numFmtId="0" fontId="3" fillId="61" borderId="0" xfId="0" applyNumberFormat="1" applyFont="1" applyFill="1" applyBorder="1" applyAlignment="1">
      <x:alignment wrapText="1"/>
    </x:xf>
    <x:xf numFmtId="0" fontId="0" fillId="62" borderId="0" xfId="0" applyNumberFormat="1" applyFont="1" applyFill="1" applyBorder="1"/>
    <x:xf numFmtId="0" fontId="1" fillId="62" borderId="0" xfId="0" applyNumberFormat="1" applyFont="1" applyFill="1" applyBorder="1"/>
    <x:xf numFmtId="0" fontId="0" fillId="61" borderId="0" xfId="0" applyNumberFormat="1" applyFont="1" applyFill="1" applyBorder="1" applyAlignment="1">
      <x:alignment wrapText="1"/>
    </x:xf>
    <x:xf numFmtId="0" fontId="2" fillId="58" borderId="0" xfId="0" applyNumberFormat="1" applyFont="1" applyFill="1" applyBorder="1"/>
  </x:cellXfs>
  <x:cellStyles count="1">
    <x:cellStyle name="Normal" xfId="0"/>
  </x:cellStyles>
  <x:dxfs count="1">
    <x:dxf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a4e664b234137" /><Relationship Type="http://schemas.openxmlformats.org/officeDocument/2006/relationships/theme" Target="/xl/theme/theme1.xml" Id="R9a06147dbfa04f70" /><Relationship Type="http://schemas.openxmlformats.org/officeDocument/2006/relationships/sharedStrings" Target="/xl/sharedStrings.xml" Id="R912f016f51f342a7" /><Relationship Type="http://schemas.openxmlformats.org/officeDocument/2006/relationships/worksheet" Target="/xl/worksheets/sheet1.xml" Id="R7700c79bbfc14f1e" /><Relationship Type="http://schemas.openxmlformats.org/officeDocument/2006/relationships/worksheet" Target="/xl/worksheets/sheet2.xml" Id="Rc82617602ead45b2" /><Relationship Type="http://schemas.openxmlformats.org/officeDocument/2006/relationships/worksheet" Target="/xl/worksheets/sheet3.xml" Id="Rfdc2de09ff084aa9" /><Relationship Type="http://schemas.openxmlformats.org/officeDocument/2006/relationships/worksheet" Target="/xl/worksheets/sheet4.xml" Id="R0907a30d71654ef9" /><Relationship Type="http://schemas.openxmlformats.org/officeDocument/2006/relationships/worksheet" Target="/xl/worksheets/sheet5.xml" Id="Rb4c03bd51f2f4c16" /><Relationship Type="http://schemas.openxmlformats.org/officeDocument/2006/relationships/worksheet" Target="/xl/worksheets/sheet6.xml" Id="Rf6ff3332856d44d5" /><Relationship Type="http://schemas.openxmlformats.org/officeDocument/2006/relationships/worksheet" Target="/xl/worksheets/sheet7.xml" Id="R42beeba568ba4555" /><Relationship Type="http://schemas.openxmlformats.org/officeDocument/2006/relationships/worksheet" Target="/xl/worksheets/sheet8.xml" Id="R7aab53c7b22e4500" /><Relationship Type="http://schemas.openxmlformats.org/officeDocument/2006/relationships/worksheet" Target="/xl/worksheets/sheet9.xml" Id="R71b36a4b5ed1430b" /><Relationship Type="http://schemas.openxmlformats.org/officeDocument/2006/relationships/worksheet" Target="/xl/worksheets/sheet10.xml" Id="R05bdd295e1544c08" /><Relationship Type="http://schemas.openxmlformats.org/officeDocument/2006/relationships/worksheet" Target="/xl/worksheets/sheet11.xml" Id="R6413d4b05f6c4b79" /><Relationship Type="http://schemas.openxmlformats.org/officeDocument/2006/relationships/worksheet" Target="/xl/worksheets/sheet12.xml" Id="R599f826fd6e84695" /><Relationship Type="http://schemas.openxmlformats.org/officeDocument/2006/relationships/worksheet" Target="/xl/worksheets/sheet13.xml" Id="R77c1ec70c5ac40ed" /><Relationship Type="http://schemas.openxmlformats.org/officeDocument/2006/relationships/worksheet" Target="/xl/worksheets/sheet14.xml" Id="R503225079c504c40" /><Relationship Type="http://schemas.openxmlformats.org/officeDocument/2006/relationships/worksheet" Target="/xl/worksheets/sheet15.xml" Id="R348b21a0b4f044ee" /><Relationship Type="http://schemas.openxmlformats.org/officeDocument/2006/relationships/worksheet" Target="/xl/worksheets/sheet16.xml" Id="R69973d0e2e0b4453" /><Relationship Type="http://schemas.openxmlformats.org/officeDocument/2006/relationships/worksheet" Target="/xl/worksheets/sheet17.xml" Id="R66c7338671004c67" /><Relationship Type="http://schemas.openxmlformats.org/officeDocument/2006/relationships/worksheet" Target="/xl/worksheets/sheet18.xml" Id="R36d004f404e14508" /><Relationship Type="http://schemas.openxmlformats.org/officeDocument/2006/relationships/worksheet" Target="/xl/worksheets/sheet19.xml" Id="R029df2398d52439e" /><Relationship Type="http://schemas.openxmlformats.org/officeDocument/2006/relationships/worksheet" Target="/xl/worksheets/sheet20.xml" Id="R2a6305b1c0a14f19" /><Relationship Type="http://schemas.openxmlformats.org/officeDocument/2006/relationships/worksheet" Target="/xl/worksheets/sheet21.xml" Id="R0dd973b3822d47e5" /><Relationship Type="http://schemas.openxmlformats.org/officeDocument/2006/relationships/worksheet" Target="/xl/worksheets/sheet22.xml" Id="R901995c77c5245ad" /><Relationship Type="http://schemas.openxmlformats.org/officeDocument/2006/relationships/worksheet" Target="/xl/worksheets/sheet23.xml" Id="R194c2ac3427b4f8e" /><Relationship Type="http://schemas.openxmlformats.org/officeDocument/2006/relationships/worksheet" Target="/xl/worksheets/sheet24.xml" Id="R2447eda062794db4" /><Relationship Type="http://schemas.openxmlformats.org/officeDocument/2006/relationships/worksheet" Target="/xl/worksheets/sheet25.xml" Id="R9e2b5cce75ea4787" /><Relationship Type="http://schemas.openxmlformats.org/officeDocument/2006/relationships/worksheet" Target="/xl/worksheets/sheet26.xml" Id="R304ffe85683147d2" /><Relationship Type="http://schemas.openxmlformats.org/officeDocument/2006/relationships/worksheet" Target="/xl/worksheets/sheet27.xml" Id="R4fcdf46b7896438b" /><Relationship Type="http://schemas.openxmlformats.org/officeDocument/2006/relationships/worksheet" Target="/xl/worksheets/sheet28.xml" Id="R4fcd1ed4a1f84b32" /><Relationship Type="http://schemas.openxmlformats.org/officeDocument/2006/relationships/worksheet" Target="/xl/worksheets/sheet29.xml" Id="Rfa5d79b7f97b4b6a" /><Relationship Type="http://schemas.openxmlformats.org/officeDocument/2006/relationships/worksheet" Target="/xl/worksheets/sheet30.xml" Id="R4abead7b9ecb4a47" /><Relationship Type="http://schemas.openxmlformats.org/officeDocument/2006/relationships/worksheet" Target="/xl/worksheets/sheet31.xml" Id="Rc48ec099329c4151" /><Relationship Type="http://schemas.openxmlformats.org/officeDocument/2006/relationships/worksheet" Target="/xl/worksheets/sheet32.xml" Id="R53469f81e45e46c1" /><Relationship Type="http://schemas.openxmlformats.org/officeDocument/2006/relationships/worksheet" Target="/xl/worksheets/sheet33.xml" Id="R5f6edda687844cea" /><Relationship Type="http://schemas.openxmlformats.org/officeDocument/2006/relationships/worksheet" Target="/xl/worksheets/sheet34.xml" Id="R1e7eadf647f3458c" /><Relationship Type="http://schemas.openxmlformats.org/officeDocument/2006/relationships/worksheet" Target="/xl/worksheets/sheet35.xml" Id="R2a49c635ef1f43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2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4" hidden="0" customWidth="1"/>
    <x:col min="11" max="11" width="38" hidden="0" customWidth="1"/>
    <x:col min="12" max="12" width="42" hidden="0" customWidth="1"/>
    <x:col min="13" max="13" width="38" hidden="0" customWidth="1"/>
    <x:col min="14" max="14" width="44" hidden="0" customWidth="1"/>
    <x:col min="15" max="15" width="42" hidden="0" customWidth="1"/>
    <x:col min="16" max="16" width="44" hidden="0" customWidth="1"/>
  </x:cols>
  <x:sheetData>
    <x:row r="1">
      <x:c r="A1" s="6" t="str">
        <x:v>Zone</x:v>
      </x:c>
      <x:c r="B1" s="6" t="str">
        <x:v>Borough</x:v>
      </x:c>
      <x:c r="C1" s="6" t="str">
        <x:v>Family % proxy</x:v>
      </x:c>
      <x:c r="D1" s="6" t="str">
        <x:v>Family score</x:v>
      </x:c>
      <x:c r="E1" s="6" t="str">
        <x:v>Girls-football evidence</x:v>
      </x:c>
      <x:c r="F1" s="6" t="str">
        <x:v>Grassroots score</x:v>
      </x:c>
      <x:c r="G1" s="6" t="str">
        <x:v>Travel time min</x:v>
      </x:c>
      <x:c r="H1" s="6" t="str">
        <x:v>Access score</x:v>
      </x:c>
      <x:c r="I1" s="6" t="str">
        <x:v>Opportunity score</x:v>
      </x:c>
      <x:c r="J1" s="6" t="str">
        <x:v>Confidence</x:v>
      </x:c>
      <x:c r="K1" s="6" t="str">
        <x:v>Competition/context</x:v>
      </x:c>
      <x:c r="L1" s="6" t="str">
        <x:v>Recommended play</x:v>
      </x:c>
      <x:c r="M1" s="6" t="str">
        <x:v>Family source</x:v>
      </x:c>
      <x:c r="N1" s="6" t="str">
        <x:v>Grassroots source</x:v>
      </x:c>
      <x:c r="O1" s="6" t="str">
        <x:v>Travel source</x:v>
      </x:c>
      <x:c r="P1" s="6" t="str">
        <x:v>Next validation</x:v>
      </x:c>
    </x:row>
    <x:row r="2">
      <x:c r="A2" s="12" t="str">
        <x:v>Bromley / Hayes</x:v>
      </x:c>
      <x:c r="B2" s="12" t="str">
        <x:v>Bromley</x:v>
      </x:c>
      <x:c r="C2" s="12" t="n">
        <x:v>22.4</x:v>
      </x:c>
      <x:c r="D2" s="14" t="n">
        <x:f>ROUND((C2-12.7)/(22.4-12.7)*100,0)</x:f>
        <x:v>100</x:v>
      </x:c>
      <x:c r="E2" s="14" t="str">
        <x:v>Bromley FC: Saturday Wildcats, Girls Development Group, girls PAN; all at stadium/community pitches</x:v>
      </x:c>
      <x:c r="F2" s="14" t="n">
        <x:v>100</x:v>
      </x:c>
      <x:c r="G2" s="14" t="n">
        <x:v>15</x:v>
      </x:c>
      <x:c r="H2" s="14" t="n">
        <x:f>IF(G2&lt;=20,100,IF(G2&lt;=30,85,IF(G2&lt;=40,70,IF(G2&lt;=50,55,IF(G2&lt;=60,40,20)))))</x:f>
        <x:v>100</x:v>
      </x:c>
      <x:c r="I2" s="14" t="n">
        <x:f>ROUND(D2*0.35+F2*0.35+H2*0.30,0)</x:f>
        <x:v>100</x:v>
      </x:c>
      <x:c r="J2" s="12" t="str">
        <x:v>High</x:v>
      </x:c>
      <x:c r="K2" s="12" t="str">
        <x:v>Shares stadium with Bromley FC; local football audience already exists</x:v>
      </x:c>
      <x:c r="L2" s="12" t="str">
        <x:v>Defend + convert: turn existing girls-football participation into repeat LCL attendance</x:v>
      </x:c>
      <x:c r="M2" s="12" t="str">
        <x:v>https://www.ons.gov.uk/visualisations/censusareachanges/E09000006/</x:v>
      </x:c>
      <x:c r="N2" s="12" t="str">
        <x:v>https://www.bromleyfc.org/programmes-activities/</x:v>
      </x:c>
      <x:c r="O2" s="12" t="str">
        <x:v>https://www.rome2rio.com/s/Bromley-South/Norman-Park-England</x:v>
      </x:c>
      <x:c r="P2" s="12" t="str">
        <x:v>Replace borough family proxy with LSOA household counts around BR2</x:v>
      </x:c>
    </x:row>
    <x:row r="3">
      <x:c r="A3" s="12" t="str">
        <x:v>Beckenham / BR3</x:v>
      </x:c>
      <x:c r="B3" s="12" t="str">
        <x:v>Bromley</x:v>
      </x:c>
      <x:c r="C3" s="12" t="n">
        <x:v>22.4</x:v>
      </x:c>
      <x:c r="D3" s="14" t="n">
        <x:f>ROUND((C3-12.7)/(22.4-12.7)*100,0)</x:f>
        <x:v>100</x:v>
      </x:c>
      <x:c r="E3" s="14" t="str">
        <x:v>Strong adjacent ecosystem; Palace for Life sessions/training ground in BR3 plus Bromley catchment</x:v>
      </x:c>
      <x:c r="F3" s="14" t="n">
        <x:v>70</x:v>
      </x:c>
      <x:c r="G3" s="14" t="n">
        <x:v>20</x:v>
      </x:c>
      <x:c r="H3" s="14" t="n">
        <x:f>IF(G3&lt;=20,100,IF(G3&lt;=30,85,IF(G3&lt;=40,70,IF(G3&lt;=50,55,IF(G3&lt;=60,40,20)))))</x:f>
        <x:v>100</x:v>
      </x:c>
      <x:c r="I3" s="14" t="n">
        <x:f>ROUND(D3*0.35+F3*0.35+H3*0.30,0)</x:f>
        <x:v>90</x:v>
      </x:c>
      <x:c r="J3" s="12" t="str">
        <x:v>Medium</x:v>
      </x:c>
      <x:c r="K3" s="12" t="str">
        <x:v>Crystal Palace footprint nearby; easy Hayes Lane corridor</x:v>
      </x:c>
      <x:c r="L3" s="12" t="str">
        <x:v>Acquire: family bundles + local girls-club partnerships</x:v>
      </x:c>
      <x:c r="M3" s="12" t="str">
        <x:v>https://www.ons.gov.uk/visualisations/censusareachanges/E09000006/</x:v>
      </x:c>
      <x:c r="N3" s="12" t="str">
        <x:v>https://www.palaceforlife.org/project/premier-league-kicks-our-sessions/</x:v>
      </x:c>
      <x:c r="O3" s="12" t="str">
        <x:v>https://tfl.gov.uk/bus/timetable/162?SelectedDate=sunday&amp;fromId=490001037X&amp;intervalId=0</x:v>
      </x:c>
      <x:c r="P3" s="12" t="str">
        <x:v>Verify exact Beckenham Junction-to-stadium door-to-door time and girls-team counts</x:v>
      </x:c>
    </x:row>
    <x:row r="4">
      <x:c r="A4" s="12" t="str">
        <x:v>Chislehurst / BR7</x:v>
      </x:c>
      <x:c r="B4" s="12" t="str">
        <x:v>Bromley</x:v>
      </x:c>
      <x:c r="C4" s="12" t="n">
        <x:v>22.4</x:v>
      </x:c>
      <x:c r="D4" s="14" t="n">
        <x:f>ROUND((C4-12.7)/(22.4-12.7)*100,0)</x:f>
        <x:v>100</x:v>
      </x:c>
      <x:c r="E4" s="14" t="str">
        <x:v>Bromley FC Chislehurst Hub: Wildcats 4-10, SQUAD 11-15, Girls Development Group 10-15</x:v>
      </x:c>
      <x:c r="F4" s="14" t="n">
        <x:v>95</x:v>
      </x:c>
      <x:c r="G4" s="14" t="n">
        <x:v>35</x:v>
      </x:c>
      <x:c r="H4" s="14" t="n">
        <x:f>IF(G4&lt;=20,100,IF(G4&lt;=30,85,IF(G4&lt;=40,70,IF(G4&lt;=50,55,IF(G4&lt;=60,40,20)))))</x:f>
        <x:v>70</x:v>
      </x:c>
      <x:c r="I4" s="14" t="n">
        <x:f>ROUND(D4*0.35+F4*0.35+H4*0.30,0)</x:f>
        <x:v>89</x:v>
      </x:c>
      <x:c r="J4" s="12" t="str">
        <x:v>Medium</x:v>
      </x:c>
      <x:c r="K4" s="12" t="str">
        <x:v>Bromley FC community activity is already strong here</x:v>
      </x:c>
      <x:c r="L4" s="12" t="str">
        <x:v>Partner: convert one existing hub relationship into group-ticket pipeline</x:v>
      </x:c>
      <x:c r="M4" s="12" t="str">
        <x:v>https://www.ons.gov.uk/visualisations/censusareachanges/E09000006/</x:v>
      </x:c>
      <x:c r="N4" s="12" t="str">
        <x:v>https://www.bromleyfc.org/news/women-and-girls/new-women-girls-football-sessions-at-chislehurst-school/</x:v>
      </x:c>
      <x:c r="O4" s="12" t="str">
        <x:v>https://www.colfes.com/admissions/schoolcoaches/</x:v>
      </x:c>
      <x:c r="P4" s="12" t="str">
        <x:v>Replace indicative travel time with Sunday public-transport routing</x:v>
      </x:c>
    </x:row>
    <x:row r="5">
      <x:c r="A5" s="12" t="str">
        <x:v>Orpington</x:v>
      </x:c>
      <x:c r="B5" s="12" t="str">
        <x:v>Bromley</x:v>
      </x:c>
      <x:c r="C5" s="12" t="n">
        <x:v>22.4</x:v>
      </x:c>
      <x:c r="D5" s="14" t="n">
        <x:f>ROUND((C5-12.7)/(22.4-12.7)*100,0)</x:f>
        <x:v>100</x:v>
      </x:c>
      <x:c r="E5" s="14" t="str">
        <x:v>Some youth-football activity; lower verified girls-specific density than Hayes/Chislehurst in this V0</x:v>
      </x:c>
      <x:c r="F5" s="14" t="n">
        <x:v>35</x:v>
      </x:c>
      <x:c r="G5" s="14" t="n">
        <x:v>25</x:v>
      </x:c>
      <x:c r="H5" s="14" t="n">
        <x:f>IF(G5&lt;=20,100,IF(G5&lt;=30,85,IF(G5&lt;=40,70,IF(G5&lt;=50,55,IF(G5&lt;=60,40,20)))))</x:f>
        <x:v>85</x:v>
      </x:c>
      <x:c r="I5" s="14" t="n">
        <x:f>ROUND(D5*0.35+F5*0.35+H5*0.30,0)</x:f>
        <x:v>73</x:v>
      </x:c>
      <x:c r="J5" s="12" t="str">
        <x:v>Medium</x:v>
      </x:c>
      <x:c r="K5" s="12" t="str">
        <x:v>Large family catchment; direct train to Bromley South</x:v>
      </x:c>
      <x:c r="L5" s="12" t="str">
        <x:v>Test: grassroots outreach + family offer for lower-demand fixture</x:v>
      </x:c>
      <x:c r="M5" s="12" t="str">
        <x:v>https://www.ons.gov.uk/visualisations/censusareachanges/E09000006/</x:v>
      </x:c>
      <x:c r="N5" s="12" t="str">
        <x:v>https://www.palaceforlife.org/project/premier-league-kicks-our-sessions/</x:v>
      </x:c>
      <x:c r="O5" s="12" t="str">
        <x:v>https://www.rome2rio.com/s/Orpington/Hayes-Road-Hayes-Lane</x:v>
      </x:c>
      <x:c r="P5" s="12" t="str">
        <x:v>Find girls-only clubs/teams by postcode and count U8-U16 sides</x:v>
      </x:c>
    </x:row>
    <x:row r="6">
      <x:c r="A6" s="12" t="str">
        <x:v>East Croydon / central Croydon</x:v>
      </x:c>
      <x:c r="B6" s="12" t="str">
        <x:v>Croydon</x:v>
      </x:c>
      <x:c r="C6" s="12" t="n">
        <x:v>19.2</x:v>
      </x:c>
      <x:c r="D6" s="14" t="n">
        <x:f>ROUND((C6-12.7)/(22.4-12.7)*100,0)</x:f>
        <x:v>67</x:v>
      </x:c>
      <x:c r="E6" s="14" t="str">
        <x:v>Palace for Life: girls-only sessions at Waddon, Harris Invictus and wider Croydon programme</x:v>
      </x:c>
      <x:c r="F6" s="14" t="n">
        <x:v>90</x:v>
      </x:c>
      <x:c r="G6" s="14" t="n">
        <x:v>30</x:v>
      </x:c>
      <x:c r="H6" s="14" t="n">
        <x:f>IF(G6&lt;=20,100,IF(G6&lt;=30,85,IF(G6&lt;=40,70,IF(G6&lt;=50,55,IF(G6&lt;=60,40,20)))))</x:f>
        <x:v>85</x:v>
      </x:c>
      <x:c r="I6" s="14" t="n">
        <x:f>ROUND(D6*0.35+F6*0.35+H6*0.30,0)</x:f>
        <x:v>80</x:v>
      </x:c>
      <x:c r="J6" s="12" t="str">
        <x:v>High</x:v>
      </x:c>
      <x:c r="K6" s="12" t="str">
        <x:v>Strong Crystal Palace identity; but direct 119 bus to Hayes Lane</x:v>
      </x:c>
      <x:c r="L6" s="12" t="str">
        <x:v>Conquer: position LCL as additional women's-football experience, not replacement club</x:v>
      </x:c>
      <x:c r="M6" s="12" t="str">
        <x:v>https://www.ons.gov.uk/visualisations/censusareachanges/E09000008/</x:v>
      </x:c>
      <x:c r="N6" s="12" t="str">
        <x:v>https://www.palaceforlife.org/project/free-girls-football-south-london/</x:v>
      </x:c>
      <x:c r="O6" s="12" t="str">
        <x:v>https://www.rome2rio.com/Bus/East-Croydon/Hayes-Lane</x:v>
      </x:c>
      <x:c r="P6" s="12" t="str">
        <x:v>Split Croydon into LSOAs; identify which girls-session catchments sit on 119 corridor</x:v>
      </x:c>
    </x:row>
    <x:row r="7">
      <x:c r="A7" s="12" t="str">
        <x:v>Catford / Lewisham SE6</x:v>
      </x:c>
      <x:c r="B7" s="12" t="str">
        <x:v>Lewisham</x:v>
      </x:c>
      <x:c r="C7" s="12" t="n">
        <x:v>16.6</x:v>
      </x:c>
      <x:c r="D7" s="14" t="n">
        <x:f>ROUND((C7-12.7)/(22.4-12.7)*100,0)</x:f>
        <x:v>40</x:v>
      </x:c>
      <x:c r="E7" s="14" t="str">
        <x:v>South London Girls Football Academy centre at St Dunstan's Jubilee Grounds, U6-14</x:v>
      </x:c>
      <x:c r="F7" s="14" t="n">
        <x:v>85</x:v>
      </x:c>
      <x:c r="G7" s="14" t="n">
        <x:v>55</x:v>
      </x:c>
      <x:c r="H7" s="14" t="n">
        <x:f>IF(G7&lt;=20,100,IF(G7&lt;=30,85,IF(G7&lt;=40,70,IF(G7&lt;=50,55,IF(G7&lt;=60,40,20)))))</x:f>
        <x:v>40</x:v>
      </x:c>
      <x:c r="I7" s="14" t="n">
        <x:f>ROUND(D7*0.35+F7*0.35+H7*0.30,0)</x:f>
        <x:v>56</x:v>
      </x:c>
      <x:c r="J7" s="12" t="str">
        <x:v>Medium</x:v>
      </x:c>
      <x:c r="K7" s="12" t="str">
        <x:v>Charlton / Palace / Millwall affinities; dense urban family base</x:v>
      </x:c>
      <x:c r="L7" s="12" t="str">
        <x:v>Partner: academy/group-ticket route rather than broad paid media</x:v>
      </x:c>
      <x:c r="M7" s="12" t="str">
        <x:v>https://www.ons.gov.uk/visualisations/censusareachanges/E09000023/</x:v>
      </x:c>
      <x:c r="N7" s="12" t="str">
        <x:v>https://southlondongirlsfootballacademy.co.uk/</x:v>
      </x:c>
      <x:c r="O7" s="12" t="str">
        <x:v>https://moovitapp.com/index/en-gb/public_transportation-Brenchley_Close-London_and_South_East-street_4959101-2122</x:v>
      </x:c>
      <x:c r="P7" s="12" t="str">
        <x:v>Get precise Catford-to-Hayes Lane Sunday routing and LSOA family counts</x:v>
      </x:c>
    </x:row>
    <x:row r="8">
      <x:c r="A8" s="12" t="str">
        <x:v>Burgess Park / Southwark</x:v>
      </x:c>
      <x:c r="B8" s="12" t="str">
        <x:v>Southwark</x:v>
      </x:c>
      <x:c r="C8" s="12" t="n">
        <x:v>12.7</x:v>
      </x:c>
      <x:c r="D8" s="14" t="n">
        <x:f>ROUND((C8-12.7)/(22.4-12.7)*100,0)</x:f>
        <x:v>0</x:v>
      </x:c>
      <x:c r="E8" s="14" t="str">
        <x:v>South London Girls Football Academy centre at Burgess Park, U6-14</x:v>
      </x:c>
      <x:c r="F8" s="14" t="n">
        <x:v>85</x:v>
      </x:c>
      <x:c r="G8" s="14" t="n">
        <x:v>55</x:v>
      </x:c>
      <x:c r="H8" s="14" t="n">
        <x:f>IF(G8&lt;=20,100,IF(G8&lt;=30,85,IF(G8&lt;=40,70,IF(G8&lt;=50,55,IF(G8&lt;=60,40,20)))))</x:f>
        <x:v>40</x:v>
      </x:c>
      <x:c r="I8" s="14" t="n">
        <x:f>ROUND(D8*0.35+F8*0.35+H8*0.30,0)</x:f>
        <x:v>42</x:v>
      </x:c>
      <x:c r="J8" s="12" t="str">
        <x:v>Low-Medium</x:v>
      </x:c>
      <x:c r="K8" s="12" t="str">
        <x:v>More competing leisure options; Arsenal/Chelsea/Millwall reach</x:v>
      </x:c>
      <x:c r="L8" s="12" t="str">
        <x:v>Partner-first: use academy node and special fixtures; avoid mass acquisition initially</x:v>
      </x:c>
      <x:c r="M8" s="12" t="str">
        <x:v>https://www.ons.gov.uk/visualisations/censusareachanges/E09000028/</x:v>
      </x:c>
      <x:c r="N8" s="12" t="str">
        <x:v>https://southlondongirlsfootballacademy.co.uk/</x:v>
      </x:c>
      <x:c r="O8" s="12" t="str">
        <x:v>https://moovitapp.com/index/en-gb/public_transportation-Bromley_Hayes_Road_Hayes_Lane-London_and_South_East-site_225492132-2122</x:v>
      </x:c>
      <x:c r="P8" s="12" t="str">
        <x:v>Verify Burgess Park Sunday journey and assess whether 45-60 min friction kills repeatability</x:v>
      </x:c>
    </x:row>
    <x:row r="9">
      <x:c r="A9" s="12" t="str">
        <x:v>Greenwich</x:v>
      </x:c>
      <x:c r="B9" s="12" t="str">
        <x:v>Greenwich</x:v>
      </x:c>
      <x:c r="C9" s="12" t="n">
        <x:v>18</x:v>
      </x:c>
      <x:c r="D9" s="14" t="n">
        <x:f>ROUND((C9-12.7)/(22.4-12.7)*100,0)</x:f>
        <x:v>55</x:v>
      </x:c>
      <x:c r="E9" s="14" t="str">
        <x:v>Charlton Athletic Community Trust explicitly runs girls-only football programmes; strong schools network</x:v>
      </x:c>
      <x:c r="F9" s="14" t="n">
        <x:v>70</x:v>
      </x:c>
      <x:c r="G9" s="14" t="n">
        <x:v>58</x:v>
      </x:c>
      <x:c r="H9" s="14" t="n">
        <x:f>IF(G9&lt;=20,100,IF(G9&lt;=30,85,IF(G9&lt;=40,70,IF(G9&lt;=50,55,IF(G9&lt;=60,40,20)))))</x:f>
        <x:v>40</x:v>
      </x:c>
      <x:c r="I9" s="14" t="n">
        <x:f>ROUND(D9*0.35+F9*0.35+H9*0.30,0)</x:f>
        <x:v>56</x:v>
      </x:c>
      <x:c r="J9" s="12" t="str">
        <x:v>Medium</x:v>
      </x:c>
      <x:c r="K9" s="12" t="str">
        <x:v>Charlton has deep local community penetration and 50+ school partnerships</x:v>
      </x:c>
      <x:c r="L9" s="12" t="str">
        <x:v>Selective: target women's-football-first audiences, not generic local football families</x:v>
      </x:c>
      <x:c r="M9" s="12" t="str">
        <x:v>https://www.ons.gov.uk/visualisations/censusareachanges/E09000011/</x:v>
      </x:c>
      <x:c r="N9" s="12" t="str">
        <x:v>https://cdn.charltonafc.com/sites/default/files/2025-08/CACT%20Strategy%202024-29%20final%201.pdf</x:v>
      </x:c>
      <x:c r="O9" s="12" t="str">
        <x:v>https://moovitapp.com/index/en-gb/public_transportation-Bromley_Hayes_Road_Hayes_Lane-London_and_South_East-site_225492132-2122</x:v>
      </x:c>
      <x:c r="P9" s="12" t="str">
        <x:v>Map Charlton school footprint vs Hayes Lane access; test overlap rather than assume it</x:v>
      </x:c>
    </x:row>
  </x:sheetData>
  <x:conditionalFormatting sqref="I2:I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17" t="str">
        <x:v>London City Lionesses – Fan Opportunity Engine V0</x:v>
      </x:c>
      <x:c r="D1" s="28" t="str">
        <x:v>V1 build sequence</x:v>
      </x:c>
    </x:row>
    <x:row r="3">
      <x:c r="A3" s="21" t="str">
        <x:v>Component</x:v>
      </x:c>
      <x:c r="B3" s="21" t="str">
        <x:v>V0 rule</x:v>
      </x:c>
      <x:c r="D3" s="30" t="str">
        <x:v>Step</x:v>
      </x:c>
      <x:c r="E3" s="30" t="str">
        <x:v>Action</x:v>
      </x:c>
      <x:c r="F3" s="30" t="str">
        <x:v>Output</x:v>
      </x:c>
    </x:row>
    <x:row r="4">
      <x:c r="A4" s="12" t="str">
        <x:v>Family proxy</x:v>
      </x:c>
      <x:c r="B4" s="12" t="str">
        <x:v>2021 Census borough % of households with a couple + dependent children. Temporary proxy; replace with LSOA counts.</x:v>
      </x:c>
      <x:c r="D4" s="12" t="n">
        <x:v>1</x:v>
      </x:c>
      <x:c r="E4" s="12" t="str">
        <x:v>Import TS003 at LSOA level and sum all dependent-child household categories</x:v>
      </x:c>
      <x:c r="F4" s="12" t="str">
        <x:v>Observed family volume + density</x:v>
      </x:c>
    </x:row>
    <x:row r="5">
      <x:c r="A5" s="12" t="str">
        <x:v>Family score</x:v>
      </x:c>
      <x:c r="B5" s="12" t="str">
        <x:v>Min-max normalized among current candidate borough values.</x:v>
      </x:c>
      <x:c r="D5" s="12" t="n">
        <x:v>2</x:v>
      </x:c>
      <x:c r="E5" s="12" t="str">
        <x:v>Join LSOA boundaries/centroids</x:v>
      </x:c>
      <x:c r="F5" s="12" t="str">
        <x:v>Map geometry + origin points</x:v>
      </x:c>
    </x:row>
    <x:row r="6">
      <x:c r="A6" s="12" t="str">
        <x:v>Grassroots score</x:v>
      </x:c>
      <x:c r="B6" s="12" t="str">
        <x:v>Research score 0-100 based on verified girls-only sessions/academy nodes. Manual in V0; should become structured extraction.</x:v>
      </x:c>
      <x:c r="D6" s="12" t="n">
        <x:v>3</x:v>
      </x:c>
      <x:c r="E6" s="12" t="str">
        <x:v>Attach verified grassroots nodes and calculate proximity/catchment</x:v>
      </x:c>
      <x:c r="F6" s="12" t="str">
        <x:v>Girls network score</x:v>
      </x:c>
    </x:row>
    <x:row r="7">
      <x:c r="A7" s="12" t="str">
        <x:v>Access score</x:v>
      </x:c>
      <x:c r="B7" s="12" t="str">
        <x:v>&lt;=20m 100; &lt;=30m 85; &lt;=40m 70; &lt;=50m 55; &lt;=60m 40; &gt;60m 20.</x:v>
      </x:c>
      <x:c r="D7" s="12" t="n">
        <x:v>4</x:v>
      </x:c>
      <x:c r="E7" s="12" t="str">
        <x:v>Route each centroid to Hayes Lane on Sunday matchday conditions</x:v>
      </x:c>
      <x:c r="F7" s="12" t="str">
        <x:v>Travel time + transfers + friction</x:v>
      </x:c>
    </x:row>
    <x:row r="8">
      <x:c r="A8" s="12" t="str">
        <x:v>Opportunity score</x:v>
      </x:c>
      <x:c r="B8" s="12" t="str">
        <x:v>35% family + 35% girls-football network + 30% accessibility.</x:v>
      </x:c>
      <x:c r="D8" s="12" t="n">
        <x:v>5</x:v>
      </x:c>
      <x:c r="E8" s="12" t="str">
        <x:v>Join IDACI 2025 by LSOA code</x:v>
      </x:c>
      <x:c r="F8" s="12" t="str">
        <x:v>Pricing/support context</x:v>
      </x:c>
    </x:row>
    <x:row r="9">
      <x:c r="A9" s="12" t="str">
        <x:v>IDACI</x:v>
      </x:c>
      <x:c r="B9" s="12" t="str">
        <x:v>Not included in score yet. It should inform pricing/support, not penalize lower-income areas.</x:v>
      </x:c>
      <x:c r="D9" s="12" t="n">
        <x:v>6</x:v>
      </x:c>
      <x:c r="E9" s="12" t="str">
        <x:v>Calculate score + tier + recommended play</x:v>
      </x:c>
      <x:c r="F9" s="12" t="str">
        <x:v>Ranked opportunity zones</x:v>
      </x:c>
    </x:row>
    <x:row r="10">
      <x:c r="A10" s="12" t="str">
        <x:v>Purpose</x:v>
      </x:c>
      <x:c r="B10" s="12" t="str">
        <x:v>Prioritise where to investigate first; this is not yet a final demand forecast.</x:v>
      </x:c>
    </x:row>
  </x:sheetData>
  <x:mergeCells>
    <x:mergeCell ref="A1:B1"/>
    <x:mergeCell ref="D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2" hidden="0" customWidth="1"/>
    <x:col min="4" max="4" width="14" hidden="0" customWidth="1"/>
    <x:col min="5" max="5" width="14" hidden="0" customWidth="1"/>
    <x:col min="6" max="6" width="12" hidden="0" customWidth="1"/>
    <x:col min="7" max="7" width="42" hidden="0" customWidth="1"/>
    <x:col min="8" max="8" width="52" hidden="0" customWidth="1"/>
    <x:col min="9" max="9" width="14" hidden="0" customWidth="1"/>
    <x:col min="10" max="10" width="30" hidden="0" customWidth="1"/>
  </x:cols>
  <x:sheetData>
    <x:row r="1">
      <x:c r="A1" s="52" t="str">
        <x:v>Node</x:v>
      </x:c>
      <x:c r="B1" s="52" t="str">
        <x:v>Operator</x:v>
      </x:c>
      <x:c r="C1" s="52" t="str">
        <x:v>Postcode</x:v>
      </x:c>
      <x:c r="D1" s="52" t="str">
        <x:v>Latitude</x:v>
      </x:c>
      <x:c r="E1" s="52" t="str">
        <x:v>Longitude</x:v>
      </x:c>
      <x:c r="F1" s="52" t="str">
        <x:v>Strength</x:v>
      </x:c>
      <x:c r="G1" s="52" t="str">
        <x:v>Verified offer</x:v>
      </x:c>
      <x:c r="H1" s="52" t="str">
        <x:v>Source URL</x:v>
      </x:c>
      <x:c r="I1" s="52" t="str">
        <x:v>Status</x:v>
      </x:c>
      <x:c r="J1" s="52" t="str">
        <x:v>Scoring role</x:v>
      </x:c>
    </x:row>
    <x:row r="2">
      <x:c r="A2" s="12" t="str">
        <x:v>Hayes Lane girls programmes</x:v>
      </x:c>
      <x:c r="B2" s="12" t="str">
        <x:v>Bromley FC Community Trust</x:v>
      </x:c>
      <x:c r="C2" s="12" t="str">
        <x:v>BR2 9EF</x:v>
      </x:c>
      <x:c r="D2" s="44" t="n">
        <x:v>51.390984</x:v>
      </x:c>
      <x:c r="E2" s="44" t="n">
        <x:v>0.01771</x:v>
      </x:c>
      <x:c r="F2" s="12" t="n">
        <x:v>100</x:v>
      </x:c>
      <x:c r="G2" s="12" t="str">
        <x:v>Wildcats + Girls Development; ages 4–15</x:v>
      </x:c>
      <x:c r="H2" s="12" t="str">
        <x:v>https://www.bromleyfc.org/programmes-activities/</x:v>
      </x:c>
      <x:c r="I2" s="12" t="str">
        <x:v>VERIFIED</x:v>
      </x:c>
      <x:c r="J2" s="12" t="str">
        <x:v>Counts toward current verified network score</x:v>
      </x:c>
    </x:row>
    <x:row r="3">
      <x:c r="A3" s="12" t="str">
        <x:v>Chislehurst girls hub</x:v>
      </x:c>
      <x:c r="B3" s="12" t="str">
        <x:v>Bromley FC Community Trust</x:v>
      </x:c>
      <x:c r="C3" s="12" t="str">
        <x:v>BR7 6HE</x:v>
      </x:c>
      <x:c r="D3" s="44" t="n">
        <x:v>51.418617</x:v>
      </x:c>
      <x:c r="E3" s="44" t="n">
        <x:v>0.089186</x:v>
      </x:c>
      <x:c r="F3" s="12" t="n">
        <x:v>95</x:v>
      </x:c>
      <x:c r="G3" s="12" t="str">
        <x:v>Wildcats + SQUAD Girls + Girls Development; ages 4–15</x:v>
      </x:c>
      <x:c r="H3" s="12" t="str">
        <x:v>https://www.bromleyfc.org/news/women-and-girls/new-women-girls-football-sessions-at-chislehurst-school/</x:v>
      </x:c>
      <x:c r="I3" s="12" t="str">
        <x:v>VERIFIED</x:v>
      </x:c>
      <x:c r="J3" s="12" t="str">
        <x:v>Counts toward current verified network score</x:v>
      </x:c>
    </x:row>
    <x:row r="4">
      <x:c r="A4" s="12" t="str">
        <x:v>Bromley Girls Academy Centre</x:v>
      </x:c>
      <x:c r="B4" s="12" t="str">
        <x:v>South London Girls Football Academy</x:v>
      </x:c>
      <x:c r="C4" s="12" t="str">
        <x:v>BR1 2TW</x:v>
      </x:c>
      <x:c r="D4" s="44" t="n">
        <x:v>51.3953</x:v>
      </x:c>
      <x:c r="E4" s="44" t="n">
        <x:v>0.057102</x:v>
      </x:c>
      <x:c r="F4" s="12" t="n">
        <x:v>85</x:v>
      </x:c>
      <x:c r="G4" s="12" t="str">
        <x:v>Independent girls academy; ages 4–14</x:v>
      </x:c>
      <x:c r="H4" s="12" t="str">
        <x:v>https://southlondongirlsfootballacademy.co.uk/</x:v>
      </x:c>
      <x:c r="I4" s="12" t="str">
        <x:v>VERIFIED</x:v>
      </x:c>
      <x:c r="J4" s="12" t="str">
        <x:v>Counts toward current verified network score</x:v>
      </x:c>
    </x:row>
    <x:row r="5">
      <x:c r="A5" s="12" t="str">
        <x:v>Lewisham Girls Academy Centre</x:v>
      </x:c>
      <x:c r="B5" s="12" t="str">
        <x:v>South London Girls Football Academy</x:v>
      </x:c>
      <x:c r="C5" s="12" t="str">
        <x:v>SE6 3BB</x:v>
      </x:c>
      <x:c r="D5" s="44" t="n">
        <x:v>51.442402</x:v>
      </x:c>
      <x:c r="E5" s="44" t="n">
        <x:v>-0.022719</x:v>
      </x:c>
      <x:c r="F5" s="12" t="n">
        <x:v>85</x:v>
      </x:c>
      <x:c r="G5" s="12" t="str">
        <x:v>Independent girls academy; ages 6–14</x:v>
      </x:c>
      <x:c r="H5" s="12" t="str">
        <x:v>https://southlondongirlsfootballacademy.co.uk/</x:v>
      </x:c>
      <x:c r="I5" s="12" t="str">
        <x:v>VERIFIED</x:v>
      </x:c>
      <x:c r="J5" s="12" t="str">
        <x:v>Counts toward current verified network score</x:v>
      </x:c>
    </x:row>
    <x:row r="6">
      <x:c r="A6" s="12" t="str">
        <x:v>Southwark Girls Academy Centre</x:v>
      </x:c>
      <x:c r="B6" s="12" t="str">
        <x:v>South London Girls Football Academy</x:v>
      </x:c>
      <x:c r="C6" s="12" t="str">
        <x:v>SE5 0JD</x:v>
      </x:c>
      <x:c r="D6" s="44" t="n">
        <x:v>51.484796</x:v>
      </x:c>
      <x:c r="E6" s="44" t="n">
        <x:v>-0.076943</x:v>
      </x:c>
      <x:c r="F6" s="12" t="n">
        <x:v>85</x:v>
      </x:c>
      <x:c r="G6" s="12" t="str">
        <x:v>Independent girls academy; ages 6–14</x:v>
      </x:c>
      <x:c r="H6" s="12" t="str">
        <x:v>https://southlondongirlsfootballacademy.co.uk/</x:v>
      </x:c>
      <x:c r="I6" s="12" t="str">
        <x:v>VERIFIED</x:v>
      </x:c>
      <x:c r="J6" s="12" t="str">
        <x:v>Counts toward current verified network score</x:v>
      </x:c>
    </x:row>
    <x:row r="7">
      <x:c r="A7" s="12" t="str">
        <x:v>Waddon girls-only sessions</x:v>
      </x:c>
      <x:c r="B7" s="12" t="str">
        <x:v>Palace for Life</x:v>
      </x:c>
      <x:c r="C7" s="12" t="str">
        <x:v>CR0 4RG</x:v>
      </x:c>
      <x:c r="D7" s="44" t="n">
        <x:v>51.363394</x:v>
      </x:c>
      <x:c r="E7" s="44" t="n">
        <x:v>-0.117848</x:v>
      </x:c>
      <x:c r="F7" s="12" t="n">
        <x:v>90</x:v>
      </x:c>
      <x:c r="G7" s="12" t="str">
        <x:v>Girls-only community football</x:v>
      </x:c>
      <x:c r="H7" s="12" t="str">
        <x:v>https://www.palaceforlife.org/project/free-girls-football-south-london/</x:v>
      </x:c>
      <x:c r="I7" s="12" t="str">
        <x:v>VERIFIED</x:v>
      </x:c>
      <x:c r="J7" s="12" t="str">
        <x:v>Counts toward current verified network score</x:v>
      </x:c>
    </x:row>
    <x:row r="8">
      <x:c r="A8" s="12" t="str">
        <x:v>Harris Invictus girls-only sessions</x:v>
      </x:c>
      <x:c r="B8" s="12" t="str">
        <x:v>Palace for Life</x:v>
      </x:c>
      <x:c r="C8" s="12" t="str">
        <x:v>CR0 2TB</x:v>
      </x:c>
      <x:c r="D8" s="44" t="n">
        <x:v>51.37966</x:v>
      </x:c>
      <x:c r="E8" s="44" t="n">
        <x:v>-0.103788</x:v>
      </x:c>
      <x:c r="F8" s="12" t="n">
        <x:v>90</x:v>
      </x:c>
      <x:c r="G8" s="12" t="str">
        <x:v>Girls-only community football</x:v>
      </x:c>
      <x:c r="H8" s="12" t="str">
        <x:v>https://www.palaceforlife.org/project/free-girls-football-south-london/</x:v>
      </x:c>
      <x:c r="I8" s="12" t="str">
        <x:v>VERIFIED</x:v>
      </x:c>
      <x:c r="J8" s="12" t="str">
        <x:v>Counts toward current verified network score</x:v>
      </x:c>
    </x:row>
    <x:row r="9">
      <x:c r="A9" s="12" t="str">
        <x:v>Selhurst / Palace for Life hub</x:v>
      </x:c>
      <x:c r="B9" s="12" t="str">
        <x:v>Palace for Life</x:v>
      </x:c>
      <x:c r="C9" s="12" t="str">
        <x:v>SE25 6PU</x:v>
      </x:c>
      <x:c r="D9" s="44" t="n">
        <x:v>51.397894</x:v>
      </x:c>
      <x:c r="E9" s="44" t="n">
        <x:v>-0.085923</x:v>
      </x:c>
      <x:c r="F9" s="12" t="n">
        <x:v>90</x:v>
      </x:c>
      <x:c r="G9" s="12" t="str">
        <x:v>Women &amp; girls football delivery hub</x:v>
      </x:c>
      <x:c r="H9" s="12" t="str">
        <x:v>https://www.croydon.gov.uk/children-young-people-and-families/young-croydon-directory/palace-life-foundation</x:v>
      </x:c>
      <x:c r="I9" s="12" t="str">
        <x:v>VERIFIED</x:v>
      </x:c>
      <x:c r="J9" s="12" t="str">
        <x:v>Counts toward current verified network score</x:v>
      </x:c>
    </x:row>
  </x:sheetData>
  <x:conditionalFormatting sqref="H2:H7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{386DBEBD-6577-8B9D-6598-0579F9D212DF}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86DBEBD-6577-8B9D-6598-0579F9D212DF}">
            <x14:dataBar gradient="1">
              <x14:cfvo type="min"/>
              <x14:cfvo type="max"/>
              <x14:fillColor rgb="FFA02B93"/>
            </x14:dataBar>
          </x14:cfRule>
          <xm:sqref>H2:H7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2" hidden="0" customWidth="1"/>
    <x:col min="4" max="4" width="18" hidden="0" customWidth="1"/>
    <x:col min="5" max="5" width="52" hidden="0" customWidth="1"/>
    <x:col min="6" max="6" width="56" hidden="0" customWidth="1"/>
  </x:cols>
  <x:sheetData>
    <x:row r="1">
      <x:c r="A1" s="25" t="str">
        <x:v>Dataset / source</x:v>
      </x:c>
      <x:c r="B1" s="25" t="str">
        <x:v>Purpose</x:v>
      </x:c>
      <x:c r="C1" s="25" t="str">
        <x:v>Geography</x:v>
      </x:c>
      <x:c r="D1" s="25" t="str">
        <x:v>Status</x:v>
      </x:c>
      <x:c r="E1" s="25" t="str">
        <x:v>What it gives us</x:v>
      </x:c>
      <x:c r="F1" s="25" t="str">
        <x:v>URL</x:v>
      </x:c>
    </x:row>
    <x:row r="2">
      <x:c r="A2" s="12" t="str">
        <x:v>ONS Census 2021 TS003 Household composition</x:v>
      </x:c>
      <x:c r="B2" s="12" t="str">
        <x:v>Family potential</x:v>
      </x:c>
      <x:c r="C2" s="12" t="str">
        <x:v>LSOA available</x:v>
      </x:c>
      <x:c r="D2" s="12" t="str">
        <x:v>Required for V1</x:v>
      </x:c>
      <x:c r="E2" s="12" t="str">
        <x:v>Household composition including dependent-child categories; Census outputs available down to LSOA.</x:v>
      </x:c>
      <x:c r="F2" s="12" t="str">
        <x:v>https://www.ons.gov.uk/datasets/TS003/editions/2021/versions/4</x:v>
      </x:c>
    </x:row>
    <x:row r="3">
      <x:c r="A3" s="12" t="str">
        <x:v>ONS Census 2021 geographies</x:v>
      </x:c>
      <x:c r="B3" s="12" t="str">
        <x:v>Spatial unit definition</x:v>
      </x:c>
      <x:c r="C3" s="12" t="str">
        <x:v>LSOA</x:v>
      </x:c>
      <x:c r="D3" s="12" t="str">
        <x:v>Verified</x:v>
      </x:c>
      <x:c r="E3" s="12" t="str">
        <x:v>LSOAs generally contain 400-1,200 households and 1,000-3,000 people.</x:v>
      </x:c>
      <x:c r="F3" s="12" t="str">
        <x:v>https://www.ons.gov.uk/methodology/geography/ukgeographies/censusgeographies/census2021geographies</x:v>
      </x:c>
    </x:row>
    <x:row r="4">
      <x:c r="A4" s="12" t="str">
        <x:v>English Indices of Deprivation 2025 / IDACI</x:v>
      </x:c>
      <x:c r="B4" s="12" t="str">
        <x:v>Pricing/support context</x:v>
      </x:c>
      <x:c r="C4" s="12" t="str">
        <x:v>LSOA</x:v>
      </x:c>
      <x:c r="D4" s="12" t="str">
        <x:v>Verified</x:v>
      </x:c>
      <x:c r="E4" s="12" t="str">
        <x:v>IDACI score/rank/decile for deprivation affecting children; use as context, not penalty in Opportunity Score.</x:v>
      </x:c>
      <x:c r="F4" s="12" t="str">
        <x:v>https://www.gov.uk/government/statistics/english-indices-of-deprivation-2025</x:v>
      </x:c>
    </x:row>
    <x:row r="5">
      <x:c r="A5" s="12" t="str">
        <x:v>Bromley FC Community Trust</x:v>
      </x:c>
      <x:c r="B5" s="12" t="str">
        <x:v>Girls football nodes</x:v>
      </x:c>
      <x:c r="C5" s="12" t="str">
        <x:v>Venue / postcode</x:v>
      </x:c>
      <x:c r="D5" s="12" t="str">
        <x:v>Verified</x:v>
      </x:c>
      <x:c r="E5" s="12" t="str">
        <x:v>Women &amp; girls sessions including Wildcats, SQUAD and girls development.</x:v>
      </x:c>
      <x:c r="F5" s="12" t="str">
        <x:v>https://www.bromleyfc.org/news/women-and-girls/new-women-girls-football-sessions-at-chislehurst-school/</x:v>
      </x:c>
    </x:row>
    <x:row r="6">
      <x:c r="A6" s="12" t="str">
        <x:v>South London Girls Football Academy</x:v>
      </x:c>
      <x:c r="B6" s="12" t="str">
        <x:v>Girls football nodes</x:v>
      </x:c>
      <x:c r="C6" s="12" t="str">
        <x:v>Bromley/Lewisham/Southwark</x:v>
      </x:c>
      <x:c r="D6" s="12" t="str">
        <x:v>Verified</x:v>
      </x:c>
      <x:c r="E6" s="12" t="str">
        <x:v>Specialist girls academy centres and age bands.</x:v>
      </x:c>
      <x:c r="F6" s="12" t="str">
        <x:v>https://southlondongirlsfootballacademy.co.uk/</x:v>
      </x:c>
    </x:row>
    <x:row r="7">
      <x:c r="A7" s="12" t="str">
        <x:v>Routing / public transport</x:v>
      </x:c>
      <x:c r="B7" s="12" t="str">
        <x:v>Matchday friction</x:v>
      </x:c>
      <x:c r="C7" s="12" t="str">
        <x:v>Origin → Hayes Lane</x:v>
      </x:c>
      <x:c r="D7" s="12" t="str">
        <x:v>To automate</x:v>
      </x:c>
      <x:c r="E7" s="12" t="str">
        <x:v>Door-to-door Sunday travel time, transfers and last-mile friction.</x:v>
      </x:c>
      <x:c r="F7" s="12" t="str">
        <x:v>https://tfl.gov.uk/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14" hidden="0" customWidth="1"/>
    <x:col min="9" max="9" width="20" hidden="0" customWidth="1"/>
    <x:col min="10" max="10" width="22" hidden="0" customWidth="1"/>
    <x:col min="11" max="11" width="18" hidden="0" customWidth="1"/>
    <x:col min="12" max="12" width="12" hidden="0" customWidth="1"/>
    <x:col min="13" max="13" width="20" hidden="0" customWidth="1"/>
    <x:col min="14" max="14" width="14" hidden="0" customWidth="1"/>
    <x:col min="15" max="15" width="14" hidden="0" customWidth="1"/>
    <x:col min="16" max="16" width="18" hidden="0" customWidth="1"/>
    <x:col min="17" max="17" width="14" hidden="0" customWidth="1"/>
    <x:col min="18" max="18" width="36" hidden="0" customWidth="1"/>
    <x:col min="19" max="19" width="20" hidden="0" customWidth="1"/>
    <x:col min="20" max="20" width="14" hidden="0" customWidth="1"/>
    <x:col min="21" max="21" width="20" hidden="0" customWidth="1"/>
    <x:col min="22" max="22" width="20" hidden="0" customWidth="1"/>
    <x:col min="23" max="23" width="20" hidden="0" customWidth="1"/>
    <x:col min="24" max="24" width="24" hidden="0" customWidth="1"/>
    <x:col min="25" max="25" width="14" hidden="0" customWidth="1"/>
    <x:col min="26" max="26" width="48" hidden="0" customWidth="1"/>
    <x:col min="27" max="27" width="20" hidden="0" customWidth="1"/>
    <x:col min="28" max="28" width="30" hidden="0" customWidth="1"/>
    <x:col min="29" max="29" width="60" hidden="0" customWidth="1"/>
    <x:col min="30" max="30" width="42" hidden="0" customWidth="1"/>
    <x:col min="31" max="31" width="28" hidden="0" customWidth="1"/>
    <x:col min="32" max="32" width="22" hidden="0" customWidth="1"/>
    <x:col min="33" max="33" width="34" hidden="0" customWidth="1"/>
    <x:col min="34" max="34" width="24" hidden="0" customWidth="1"/>
    <x:col min="35" max="35" width="24" hidden="0" customWidth="1"/>
    <x:col min="36" max="36" width="20" hidden="0" customWidth="1"/>
  </x:cols>
  <x:sheetData>
    <x:row r="1">
      <x:c r="A1" s="4" t="str">
        <x:v>LSOA code</x:v>
      </x:c>
      <x:c r="B1" s="4" t="str">
        <x:v>LSOA name</x:v>
      </x:c>
      <x:c r="C1" s="4" t="str">
        <x:v>Borough</x:v>
      </x:c>
      <x:c r="D1" s="4" t="str">
        <x:v>Centroid lat</x:v>
      </x:c>
      <x:c r="E1" s="4" t="str">
        <x:v>Centroid lon</x:v>
      </x:c>
      <x:c r="F1" s="4" t="str">
        <x:v>All households</x:v>
      </x:c>
      <x:c r="G1" s="4" t="str">
        <x:v>Households with dependent children</x:v>
      </x:c>
      <x:c r="H1" s="4" t="str">
        <x:v>Family density</x:v>
      </x:c>
      <x:c r="I1" s="52" t="str">
        <x:v>Verified girls nodes ≤6km</x:v>
      </x:c>
      <x:c r="J1" s="52" t="str">
        <x:v>Verified girls network score</x:v>
      </x:c>
      <x:c r="K1" s="4" t="str">
        <x:v>Sunday travel minutes</x:v>
      </x:c>
      <x:c r="L1" s="4" t="str">
        <x:v>Transfers</x:v>
      </x:c>
      <x:c r="M1" s="4" t="str">
        <x:v>Matchday friction score</x:v>
      </x:c>
      <x:c r="N1" s="4" t="str">
        <x:v>IDACI score</x:v>
      </x:c>
      <x:c r="O1" s="4" t="str">
        <x:v>IDACI decile</x:v>
      </x:c>
      <x:c r="P1" s="4" t="str">
        <x:v>Opportunity score</x:v>
      </x:c>
      <x:c r="Q1" s="4" t="str">
        <x:v>Tier</x:v>
      </x:c>
      <x:c r="R1" s="4" t="str">
        <x:v>Recommended action</x:v>
      </x:c>
      <x:c r="S1" s="43" t="str">
        <x:v>Straight-line km to Hayes Lane</x:v>
      </x:c>
      <x:c r="T1" s="43" t="str">
        <x:v>Geo screen</x:v>
      </x:c>
      <x:c r="U1" s="43" t="str">
        <x:v>Family volume percentile</x:v>
      </x:c>
      <x:c r="V1" s="43" t="str">
        <x:v>Family density percentile</x:v>
      </x:c>
      <x:c r="W1" s="43" t="str">
        <x:v>Family-only priority</x:v>
      </x:c>
      <x:c r="X1" s="55" t="str">
        <x:v>Grassroots-adjusted provisional score</x:v>
      </x:c>
      <x:c r="Y1" s="55" t="str">
        <x:v>Provisional tier</x:v>
      </x:c>
      <x:c r="Z1" s="55" t="str">
        <x:v>Why provisional</x:v>
      </x:c>
      <x:c r="AA1" s="62" t="str">
        <x:v>Matchday validation confidence</x:v>
      </x:c>
      <x:c r="AB1" s="62" t="str">
        <x:v>Representative area/postcode</x:v>
      </x:c>
      <x:c r="AC1" s="62" t="str">
        <x:v>Matchday evidence</x:v>
      </x:c>
      <x:c r="AD1" s="62" t="str">
        <x:v>Matchday source</x:v>
      </x:c>
      <x:c r="AE1" s="76" t="str">
        <x:v>Nearest Tier 1 competitor</x:v>
      </x:c>
      <x:c r="AF1" s="76" t="str">
        <x:v>Km to nearest Tier 1 competitor</x:v>
      </x:c>
      <x:c r="AG1" s="76" t="str">
        <x:v>Nearest local women's club (T3-5)</x:v>
      </x:c>
      <x:c r="AH1" s="76" t="str">
        <x:v>Km to nearest local women's club</x:v>
      </x:c>
      <x:c r="AI1" s="76" t="str">
        <x:v>Competition pressure score</x:v>
      </x:c>
      <x:c r="AJ1" s="76" t="str">
        <x:v>Competition context</x:v>
      </x:c>
    </x:row>
    <x:row r="2">
      <x:c r="A2" s="12" t="str">
        <x:v>E01000779</x:v>
      </x:c>
      <x:c r="B2" s="12" t="str">
        <x:v>Bromley 001A</x:v>
      </x:c>
      <x:c r="C2" s="12" t="str">
        <x:v>Bromley</x:v>
      </x:c>
      <x:c r="D2" s="44" t="n">
        <x:v>51.43696967604885</x:v>
      </x:c>
      <x:c r="E2" s="44" t="n">
        <x:v>0.04080277147005489</x:v>
      </x:c>
      <x:c r="F2" s="33" t="n">
        <x:v>587</x:v>
      </x:c>
      <x:c r="G2" s="33" t="n">
        <x:v>155</x:v>
      </x:c>
      <x:c r="H2" s="26" t="n">
        <x:v>0.26405451448040884</x:v>
      </x:c>
      <x:c r="I2" s="12" t="n">
        <x:v>4</x:v>
      </x:c>
      <x:c r="J2" s="12" t="n">
        <x:v>70</x:v>
      </x:c>
      <x:c r="K2" s="12"/>
      <x:c r="L2" s="12"/>
      <x:c r="M2" s="12" t="str">
        <x:f>IF(K2="", "", MAX(0,IF(K2&lt;=20,100,IF(K2&lt;=30,85,IF(K2&lt;=40,70,IF(K2&lt;=50,55,IF(K2&lt;=60,40,20)))))-MIN(L2*5,20)))</x:f>
      </x:c>
      <x:c r="N2" s="12"/>
      <x:c r="O2" s="12"/>
      <x:c r="P2" s="12" t="str">
        <x:f>IF(OR(H2="",J2="",M2=""),"",ROUND(PERCENTRANK.INC($H$2:$H$941,H2)*35+J2*0.35+M2*0.30,0))</x:f>
      </x:c>
      <x:c r="Q2" s="12" t="str">
        <x:f>IF(P2="","",IF(P2&gt;=80,"ATTACK",IF(P2&gt;=65,"GROW",IF(P2&gt;=50,"PARTNER","WATCH"))))</x:f>
      </x:c>
      <x:c r="R2" s="12" t="str">
        <x:f>IF(Q2="","",IF(Q2="ATTACK","Grassroots + family acquisition",IF(Q2="GROW","Test local campaign",IF(Q2="PARTNER","Organisation-first partnership","Low priority / validate"))))</x:f>
      </x:c>
      <x:c r="S2" s="45" t="n">
        <x:v>5.3583111370799115</x:v>
      </x:c>
      <x:c r="T2" t="str">
        <x:v>NEAR</x:v>
      </x:c>
      <x:c r="U2" s="32" t="n">
        <x:f>PERCENTRANK.INC($G$2:$G$941,G2)</x:f>
        <x:v>0.106</x:v>
      </x:c>
      <x:c r="V2" s="32" t="n">
        <x:f>PERCENTRANK.INC($H$2:$H$941,H2)</x:f>
        <x:v>0.241</x:v>
      </x:c>
      <x:c r="W2" t="n">
        <x:f>ROUND((U2*55+V2*45)*IF(S2&lt;=5,1,IF(S2&lt;=10,0.95,IF(S2&lt;=20,0.85,0.70))),0)</x:f>
        <x:v>16</x:v>
      </x:c>
      <x:c r="X2" t="n">
        <x:v>40</x:v>
      </x:c>
      <x:c r="Y2" t="str">
        <x:v>WATCH</x:v>
      </x:c>
      <x:c r="Z2" s="12" t="str">
        <x:v>Family + verified grassroots + straight-line geo only; transport not yet routed</x:v>
      </x:c>
      <x:c r="AA2" s="12"/>
      <x:c r="AB2" s="12"/>
      <x:c r="AC2" s="12"/>
      <x:c r="AD2" s="12"/>
      <x:c r="AE2" t="str">
        <x:v>Charlton Athletic Women</x:v>
      </x:c>
      <x:c r="AF2" s="45" t="n">
        <x:v>5.505852519315297</x:v>
      </x:c>
      <x:c r="AG2" t="str">
        <x:v>Dulwich Hamlet Women</x:v>
      </x:c>
      <x:c r="AH2" s="45" t="n">
        <x:v>9.061169734415259</x:v>
      </x:c>
      <x:c r="AI2" t="n">
        <x:v>81</x:v>
      </x:c>
      <x:c r="AJ2" t="str">
        <x:v>HIGH</x:v>
      </x:c>
    </x:row>
    <x:row r="3">
      <x:c r="A3" s="12" t="str">
        <x:v>E01000780</x:v>
      </x:c>
      <x:c r="B3" s="12" t="str">
        <x:v>Bromley 001B</x:v>
      </x:c>
      <x:c r="C3" s="12" t="str">
        <x:v>Bromley</x:v>
      </x:c>
      <x:c r="D3" s="44" t="n">
        <x:v>51.433158737032585</x:v>
      </x:c>
      <x:c r="E3" s="44" t="n">
        <x:v>0.04533121105772427</x:v>
      </x:c>
      <x:c r="F3" s="33" t="n">
        <x:v>647</x:v>
      </x:c>
      <x:c r="G3" s="33" t="n">
        <x:v>234</x:v>
      </x:c>
      <x:c r="H3" s="26" t="n">
        <x:v>0.3616692426584235</x:v>
      </x:c>
      <x:c r="I3" s="12" t="n">
        <x:v>4</x:v>
      </x:c>
      <x:c r="J3" s="12" t="n">
        <x:v>70</x:v>
      </x:c>
      <x:c r="K3" s="12"/>
      <x:c r="L3" s="12"/>
      <x:c r="M3" s="12" t="str">
        <x:f>IF(K3="", "", MAX(0,IF(K3&lt;=20,100,IF(K3&lt;=30,85,IF(K3&lt;=40,70,IF(K3&lt;=50,55,IF(K3&lt;=60,40,20)))))-MIN(L3*5,20)))</x:f>
      </x:c>
      <x:c r="N3" s="12"/>
      <x:c r="O3" s="12"/>
      <x:c r="P3" s="12" t="str">
        <x:f>IF(OR(H3="",J3="",M3=""),"",ROUND(PERCENTRANK.INC($H$2:$H$941,H3)*35+J3*0.35+M3*0.30,0))</x:f>
      </x:c>
      <x:c r="Q3" s="12" t="str">
        <x:f>IF(P3="","",IF(P3&gt;=80,"ATTACK",IF(P3&gt;=65,"GROW",IF(P3&gt;=50,"PARTNER","WATCH"))))</x:f>
      </x:c>
      <x:c r="R3" s="12" t="str">
        <x:f>IF(Q3="","",IF(Q3="ATTACK","Grassroots + family acquisition",IF(Q3="GROW","Test local campaign",IF(Q3="PARTNER","Organisation-first partnership","Low priority / validate"))))</x:f>
      </x:c>
      <x:c r="S3" s="45" t="n">
        <x:v>5.065792236808192</x:v>
      </x:c>
      <x:c r="T3" t="str">
        <x:v>NEAR</x:v>
      </x:c>
      <x:c r="U3" s="32" t="n">
        <x:f>PERCENTRANK.INC($G$2:$G$941,G3)</x:f>
        <x:v>0.658</x:v>
      </x:c>
      <x:c r="V3" s="32" t="n">
        <x:f>PERCENTRANK.INC($H$2:$H$941,H3)</x:f>
        <x:v>0.745</x:v>
      </x:c>
      <x:c r="W3" t="n">
        <x:f>ROUND((U3*55+V3*45)*IF(S3&lt;=5,1,IF(S3&lt;=10,0.95,IF(S3&lt;=20,0.85,0.70))),0)</x:f>
        <x:v>66</x:v>
      </x:c>
      <x:c r="X3" t="n">
        <x:v>68</x:v>
      </x:c>
      <x:c r="Y3" t="str">
        <x:v>GROW</x:v>
      </x:c>
      <x:c r="Z3" s="12" t="str">
        <x:v>Family + verified grassroots + straight-line geo only; transport not yet routed</x:v>
      </x:c>
      <x:c r="AA3" s="12"/>
      <x:c r="AB3" s="12"/>
      <x:c r="AC3" s="12"/>
      <x:c r="AD3" s="12"/>
      <x:c r="AE3" t="str">
        <x:v>Charlton Athletic Women</x:v>
      </x:c>
      <x:c r="AF3" s="45" t="n">
        <x:v>5.95424058412584</x:v>
      </x:c>
      <x:c r="AG3" t="str">
        <x:v>Dulwich Hamlet Women</x:v>
      </x:c>
      <x:c r="AH3" s="45" t="n">
        <x:v>9.492705337990342</x:v>
      </x:c>
      <x:c r="AI3" t="n">
        <x:v>81</x:v>
      </x:c>
      <x:c r="AJ3" t="str">
        <x:v>HIGH</x:v>
      </x:c>
    </x:row>
    <x:row r="4">
      <x:c r="A4" s="12" t="str">
        <x:v>E01000781</x:v>
      </x:c>
      <x:c r="B4" s="12" t="str">
        <x:v>Bromley 001C</x:v>
      </x:c>
      <x:c r="C4" s="12" t="str">
        <x:v>Bromley</x:v>
      </x:c>
      <x:c r="D4" s="44" t="n">
        <x:v>51.43026243938067</x:v>
      </x:c>
      <x:c r="E4" s="44" t="n">
        <x:v>0.04915961682977502</x:v>
      </x:c>
      <x:c r="F4" s="33" t="n">
        <x:v>626</x:v>
      </x:c>
      <x:c r="G4" s="33" t="n">
        <x:v>251</x:v>
      </x:c>
      <x:c r="H4" s="26" t="n">
        <x:v>0.4009584664536741</x:v>
      </x:c>
      <x:c r="I4" s="12" t="n">
        <x:v>4</x:v>
      </x:c>
      <x:c r="J4" s="12" t="n">
        <x:v>77</x:v>
      </x:c>
      <x:c r="K4" s="12"/>
      <x:c r="L4" s="12"/>
      <x:c r="M4" s="12" t="str">
        <x:f>IF(K4="", "", MAX(0,IF(K4&lt;=20,100,IF(K4&lt;=30,85,IF(K4&lt;=40,70,IF(K4&lt;=50,55,IF(K4&lt;=60,40,20)))))-MIN(L4*5,20)))</x:f>
      </x:c>
      <x:c r="N4" s="12"/>
      <x:c r="O4" s="12"/>
      <x:c r="P4" s="12" t="str">
        <x:f>IF(OR(H4="",J4="",M4=""),"",ROUND(PERCENTRANK.INC($H$2:$H$941,H4)*35+J4*0.35+M4*0.30,0))</x:f>
      </x:c>
      <x:c r="Q4" s="12" t="str">
        <x:f>IF(P4="","",IF(P4&gt;=80,"ATTACK",IF(P4&gt;=65,"GROW",IF(P4&gt;=50,"PARTNER","WATCH"))))</x:f>
      </x:c>
      <x:c r="R4" s="12" t="str">
        <x:f>IF(Q4="","",IF(Q4="ATTACK","Grassroots + family acquisition",IF(Q4="GROW","Test local campaign",IF(Q4="PARTNER","Organisation-first partnership","Low priority / validate"))))</x:f>
      </x:c>
      <x:c r="S4" s="45" t="n">
        <x:v>4.881947368324193</x:v>
      </x:c>
      <x:c r="T4" t="str">
        <x:v>CORE</x:v>
      </x:c>
      <x:c r="U4" s="32" t="n">
        <x:f>PERCENTRANK.INC($G$2:$G$941,G4)</x:f>
        <x:v>0.79</x:v>
      </x:c>
      <x:c r="V4" s="32" t="n">
        <x:f>PERCENTRANK.INC($H$2:$H$941,H4)</x:f>
        <x:v>0.908</x:v>
      </x:c>
      <x:c r="W4" t="n">
        <x:f>ROUND((U4*55+V4*45)*IF(S4&lt;=5,1,IF(S4&lt;=10,0.95,IF(S4&lt;=20,0.85,0.70))),0)</x:f>
        <x:v>84</x:v>
      </x:c>
      <x:c r="X4" t="n">
        <x:v>81</x:v>
      </x:c>
      <x:c r="Y4" t="str">
        <x:v>ATTACK</x:v>
      </x:c>
      <x:c r="Z4" s="12" t="str">
        <x:v>Family + verified grassroots + straight-line geo only; transport not yet routed</x:v>
      </x:c>
      <x:c r="AA4" s="12"/>
      <x:c r="AB4" s="12"/>
      <x:c r="AC4" s="12"/>
      <x:c r="AD4" s="12"/>
      <x:c r="AE4" t="str">
        <x:v>Charlton Athletic Women</x:v>
      </x:c>
      <x:c r="AF4" s="45" t="n">
        <x:v>6.306961232839245</x:v>
      </x:c>
      <x:c r="AG4" t="str">
        <x:v>Dulwich Hamlet Women</x:v>
      </x:c>
      <x:c r="AH4" s="45" t="n">
        <x:v>9.852055982056678</x:v>
      </x:c>
      <x:c r="AI4" t="n">
        <x:v>70</x:v>
      </x:c>
      <x:c r="AJ4" t="str">
        <x:v>MEDIUM</x:v>
      </x:c>
    </x:row>
    <x:row r="5">
      <x:c r="A5" s="12" t="str">
        <x:v>E01000782</x:v>
      </x:c>
      <x:c r="B5" s="12" t="str">
        <x:v>Bromley 001D</x:v>
      </x:c>
      <x:c r="C5" s="12" t="str">
        <x:v>Bromley</x:v>
      </x:c>
      <x:c r="D5" s="44" t="n">
        <x:v>51.42789452654783</x:v>
      </x:c>
      <x:c r="E5" s="44" t="n">
        <x:v>0.04286044356038014</x:v>
      </x:c>
      <x:c r="F5" s="33" t="n">
        <x:v>654</x:v>
      </x:c>
      <x:c r="G5" s="33" t="n">
        <x:v>223</x:v>
      </x:c>
      <x:c r="H5" s="26" t="n">
        <x:v>0.3409785932721712</x:v>
      </x:c>
      <x:c r="I5" s="12" t="n">
        <x:v>4</x:v>
      </x:c>
      <x:c r="J5" s="12" t="n">
        <x:v>77</x:v>
      </x:c>
      <x:c r="K5" s="12"/>
      <x:c r="L5" s="12"/>
      <x:c r="M5" s="12" t="str">
        <x:f>IF(K5="", "", MAX(0,IF(K5&lt;=20,100,IF(K5&lt;=30,85,IF(K5&lt;=40,70,IF(K5&lt;=50,55,IF(K5&lt;=60,40,20)))))-MIN(L5*5,20)))</x:f>
      </x:c>
      <x:c r="N5" s="12"/>
      <x:c r="O5" s="12"/>
      <x:c r="P5" s="12" t="str">
        <x:f>IF(OR(H5="",J5="",M5=""),"",ROUND(PERCENTRANK.INC($H$2:$H$941,H5)*35+J5*0.35+M5*0.30,0))</x:f>
      </x:c>
      <x:c r="Q5" s="12" t="str">
        <x:f>IF(P5="","",IF(P5&gt;=80,"ATTACK",IF(P5&gt;=65,"GROW",IF(P5&gt;=50,"PARTNER","WATCH"))))</x:f>
      </x:c>
      <x:c r="R5" s="12" t="str">
        <x:f>IF(Q5="","",IF(Q5="ATTACK","Grassroots + family acquisition",IF(Q5="GROW","Test local campaign",IF(Q5="PARTNER","Organisation-first partnership","Low priority / validate"))))</x:f>
      </x:c>
      <x:c r="S5" s="45" t="n">
        <x:v>4.459585446887105</x:v>
      </x:c>
      <x:c r="T5" t="str">
        <x:v>CORE</x:v>
      </x:c>
      <x:c r="U5" s="32" t="n">
        <x:f>PERCENTRANK.INC($G$2:$G$941,G5)</x:f>
        <x:v>0.567</x:v>
      </x:c>
      <x:c r="V5" s="32" t="n">
        <x:f>PERCENTRANK.INC($H$2:$H$941,H5)</x:f>
        <x:v>0.621</x:v>
      </x:c>
      <x:c r="W5" t="n">
        <x:f>ROUND((U5*55+V5*45)*IF(S5&lt;=5,1,IF(S5&lt;=10,0.95,IF(S5&lt;=20,0.85,0.70))),0)</x:f>
        <x:v>59</x:v>
      </x:c>
      <x:c r="X5" t="n">
        <x:v>67</x:v>
      </x:c>
      <x:c r="Y5" t="str">
        <x:v>GROW</x:v>
      </x:c>
      <x:c r="Z5" s="12" t="str">
        <x:v>Family + verified grassroots + straight-line geo only; transport not yet routed</x:v>
      </x:c>
      <x:c r="AA5" s="12"/>
      <x:c r="AB5" s="12"/>
      <x:c r="AC5" s="12"/>
      <x:c r="AD5" s="12"/>
      <x:c r="AE5" t="str">
        <x:v>Charlton Athletic Women</x:v>
      </x:c>
      <x:c r="AF5" s="45" t="n">
        <x:v>6.522113742643425</x:v>
      </x:c>
      <x:c r="AG5" t="str">
        <x:v>Dulwich Hamlet Women</x:v>
      </x:c>
      <x:c r="AH5" s="45" t="n">
        <x:v>9.544078689609945</x:v>
      </x:c>
      <x:c r="AI5" t="n">
        <x:v>70</x:v>
      </x:c>
      <x:c r="AJ5" t="str">
        <x:v>MEDIUM</x:v>
      </x:c>
    </x:row>
    <x:row r="6">
      <x:c r="A6" s="12" t="str">
        <x:v>E01000783</x:v>
      </x:c>
      <x:c r="B6" s="12" t="str">
        <x:v>Bromley 001E</x:v>
      </x:c>
      <x:c r="C6" s="12" t="str">
        <x:v>Bromley</x:v>
      </x:c>
      <x:c r="D6" s="44" t="n">
        <x:v>51.42681371977585</x:v>
      </x:c>
      <x:c r="E6" s="44" t="n">
        <x:v>0.049468530106502824</x:v>
      </x:c>
      <x:c r="F6" s="33" t="n">
        <x:v>634</x:v>
      </x:c>
      <x:c r="G6" s="33" t="n">
        <x:v>252</x:v>
      </x:c>
      <x:c r="H6" s="26" t="n">
        <x:v>0.39747634069400634</x:v>
      </x:c>
      <x:c r="I6" s="12" t="n">
        <x:v>4</x:v>
      </x:c>
      <x:c r="J6" s="12" t="n">
        <x:v>77</x:v>
      </x:c>
      <x:c r="K6" s="12"/>
      <x:c r="L6" s="12"/>
      <x:c r="M6" s="12" t="str">
        <x:f>IF(K6="", "", MAX(0,IF(K6&lt;=20,100,IF(K6&lt;=30,85,IF(K6&lt;=40,70,IF(K6&lt;=50,55,IF(K6&lt;=60,40,20)))))-MIN(L6*5,20)))</x:f>
      </x:c>
      <x:c r="N6" s="12"/>
      <x:c r="O6" s="12"/>
      <x:c r="P6" s="12" t="str">
        <x:f>IF(OR(H6="",J6="",M6=""),"",ROUND(PERCENTRANK.INC($H$2:$H$941,H6)*35+J6*0.35+M6*0.30,0))</x:f>
      </x:c>
      <x:c r="Q6" s="12" t="str">
        <x:f>IF(P6="","",IF(P6&gt;=80,"ATTACK",IF(P6&gt;=65,"GROW",IF(P6&gt;=50,"PARTNER","WATCH"))))</x:f>
      </x:c>
      <x:c r="R6" s="12" t="str">
        <x:f>IF(Q6="","",IF(Q6="ATTACK","Grassroots + family acquisition",IF(Q6="GROW","Test local campaign",IF(Q6="PARTNER","Organisation-first partnership","Low priority / validate"))))</x:f>
      </x:c>
      <x:c r="S6" s="45" t="n">
        <x:v>4.552472065451878</x:v>
      </x:c>
      <x:c r="T6" t="str">
        <x:v>CORE</x:v>
      </x:c>
      <x:c r="U6" s="32" t="n">
        <x:f>PERCENTRANK.INC($G$2:$G$941,G6)</x:f>
        <x:v>0.797</x:v>
      </x:c>
      <x:c r="V6" s="32" t="n">
        <x:f>PERCENTRANK.INC($H$2:$H$941,H6)</x:f>
        <x:v>0.896</x:v>
      </x:c>
      <x:c r="W6" t="n">
        <x:f>ROUND((U6*55+V6*45)*IF(S6&lt;=5,1,IF(S6&lt;=10,0.95,IF(S6&lt;=20,0.85,0.70))),0)</x:f>
        <x:v>84</x:v>
      </x:c>
      <x:c r="X6" t="n">
        <x:v>81</x:v>
      </x:c>
      <x:c r="Y6" t="str">
        <x:v>ATTACK</x:v>
      </x:c>
      <x:c r="Z6" s="12" t="str">
        <x:v>Family + verified grassroots + straight-line geo only; transport not yet routed</x:v>
      </x:c>
      <x:c r="AA6" s="12"/>
      <x:c r="AB6" s="12"/>
      <x:c r="AC6" s="12"/>
      <x:c r="AD6" s="12"/>
      <x:c r="AE6" t="str">
        <x:v>Charlton Athletic Women</x:v>
      </x:c>
      <x:c r="AF6" s="45" t="n">
        <x:v>6.689653525025406</x:v>
      </x:c>
      <x:c r="AG6" t="str">
        <x:v>Dulwich Hamlet Women</x:v>
      </x:c>
      <x:c r="AH6" s="45" t="n">
        <x:v>10.013027140439563</x:v>
      </x:c>
      <x:c r="AI6" t="n">
        <x:v>65</x:v>
      </x:c>
      <x:c r="AJ6" t="str">
        <x:v>MEDIUM</x:v>
      </x:c>
    </x:row>
    <x:row r="7">
      <x:c r="A7" s="12" t="str">
        <x:v>E01000785</x:v>
      </x:c>
      <x:c r="B7" s="12" t="str">
        <x:v>Bromley 001F</x:v>
      </x:c>
      <x:c r="C7" s="12" t="str">
        <x:v>Bromley</x:v>
      </x:c>
      <x:c r="D7" s="44" t="n">
        <x:v>51.42515360477592</x:v>
      </x:c>
      <x:c r="E7" s="44" t="n">
        <x:v>0.0454395027882117</x:v>
      </x:c>
      <x:c r="F7" s="33" t="n">
        <x:v>630</x:v>
      </x:c>
      <x:c r="G7" s="33" t="n">
        <x:v>242</x:v>
      </x:c>
      <x:c r="H7" s="26" t="n">
        <x:v>0.38412698412698415</x:v>
      </x:c>
      <x:c r="I7" s="12" t="n">
        <x:v>4</x:v>
      </x:c>
      <x:c r="J7" s="12" t="n">
        <x:v>77</x:v>
      </x:c>
      <x:c r="K7" s="12"/>
      <x:c r="L7" s="12"/>
      <x:c r="M7" s="12" t="str">
        <x:f>IF(K7="", "", MAX(0,IF(K7&lt;=20,100,IF(K7&lt;=30,85,IF(K7&lt;=40,70,IF(K7&lt;=50,55,IF(K7&lt;=60,40,20)))))-MIN(L7*5,20)))</x:f>
      </x:c>
      <x:c r="N7" s="12"/>
      <x:c r="O7" s="12"/>
      <x:c r="P7" s="12" t="str">
        <x:f>IF(OR(H7="",J7="",M7=""),"",ROUND(PERCENTRANK.INC($H$2:$H$941,H7)*35+J7*0.35+M7*0.30,0))</x:f>
      </x:c>
      <x:c r="Q7" s="12" t="str">
        <x:f>IF(P7="","",IF(P7&gt;=80,"ATTACK",IF(P7&gt;=65,"GROW",IF(P7&gt;=50,"PARTNER","WATCH"))))</x:f>
      </x:c>
      <x:c r="R7" s="12" t="str">
        <x:f>IF(Q7="","",IF(Q7="ATTACK","Grassroots + family acquisition",IF(Q7="GROW","Test local campaign",IF(Q7="PARTNER","Organisation-first partnership","Low priority / validate"))))</x:f>
      </x:c>
      <x:c r="S7" s="45" t="n">
        <x:v>4.258556409814513</x:v>
      </x:c>
      <x:c r="T7" t="str">
        <x:v>CORE</x:v>
      </x:c>
      <x:c r="U7" s="32" t="n">
        <x:f>PERCENTRANK.INC($G$2:$G$941,G7)</x:f>
        <x:v>0.725</x:v>
      </x:c>
      <x:c r="V7" s="32" t="n">
        <x:f>PERCENTRANK.INC($H$2:$H$941,H7)</x:f>
        <x:v>0.856</x:v>
      </x:c>
      <x:c r="W7" t="n">
        <x:f>ROUND((U7*55+V7*45)*IF(S7&lt;=5,1,IF(S7&lt;=10,0.95,IF(S7&lt;=20,0.85,0.70))),0)</x:f>
        <x:v>78</x:v>
      </x:c>
      <x:c r="X7" t="n">
        <x:v>78</x:v>
      </x:c>
      <x:c r="Y7" t="str">
        <x:v>GROW</x:v>
      </x:c>
      <x:c r="Z7" s="12" t="str">
        <x:v>Family + verified grassroots + straight-line geo only; transport not yet routed</x:v>
      </x:c>
      <x:c r="AA7" s="12"/>
      <x:c r="AB7" s="12"/>
      <x:c r="AC7" s="12"/>
      <x:c r="AD7" s="12"/>
      <x:c r="AE7" t="str">
        <x:v>Charlton Athletic Women</x:v>
      </x:c>
      <x:c r="AF7" s="45" t="n">
        <x:v>6.840646136852903</x:v>
      </x:c>
      <x:c r="AG7" t="str">
        <x:v>Dulwich Hamlet Women</x:v>
      </x:c>
      <x:c r="AH7" s="45" t="n">
        <x:v>9.829910946965324</x:v>
      </x:c>
      <x:c r="AI7" t="n">
        <x:v>70</x:v>
      </x:c>
      <x:c r="AJ7" t="str">
        <x:v>MEDIUM</x:v>
      </x:c>
    </x:row>
    <x:row r="8">
      <x:c r="A8" s="12" t="str">
        <x:v>E01000689</x:v>
      </x:c>
      <x:c r="B8" s="12" t="str">
        <x:v>Bromley 002A</x:v>
      </x:c>
      <x:c r="C8" s="12" t="str">
        <x:v>Bromley</x:v>
      </x:c>
      <x:c r="D8" s="44" t="n">
        <x:v>51.42712280361944</x:v>
      </x:c>
      <x:c r="E8" s="44" t="n">
        <x:v>0.0748116401521003</x:v>
      </x:c>
      <x:c r="F8" s="33" t="n">
        <x:v>615</x:v>
      </x:c>
      <x:c r="G8" s="33" t="n">
        <x:v>191</x:v>
      </x:c>
      <x:c r="H8" s="26" t="n">
        <x:v>0.3105691056910569</x:v>
      </x:c>
      <x:c r="I8" s="12" t="n">
        <x:v>3</x:v>
      </x:c>
      <x:c r="J8" s="12" t="n">
        <x:v>78</x:v>
      </x:c>
      <x:c r="K8" s="12"/>
      <x:c r="L8" s="12"/>
      <x:c r="M8" s="12" t="str">
        <x:f>IF(K8="", "", MAX(0,IF(K8&lt;=20,100,IF(K8&lt;=30,85,IF(K8&lt;=40,70,IF(K8&lt;=50,55,IF(K8&lt;=60,40,20)))))-MIN(L8*5,20)))</x:f>
      </x:c>
      <x:c r="N8" s="12"/>
      <x:c r="O8" s="12"/>
      <x:c r="P8" s="12" t="str">
        <x:f>IF(OR(H8="",J8="",M8=""),"",ROUND(PERCENTRANK.INC($H$2:$H$941,H8)*35+J8*0.35+M8*0.30,0))</x:f>
      </x:c>
      <x:c r="Q8" s="12" t="str">
        <x:f>IF(P8="","",IF(P8&gt;=80,"ATTACK",IF(P8&gt;=65,"GROW",IF(P8&gt;=50,"PARTNER","WATCH"))))</x:f>
      </x:c>
      <x:c r="R8" s="12" t="str">
        <x:f>IF(Q8="","",IF(Q8="ATTACK","Grassroots + family acquisition",IF(Q8="GROW","Test local campaign",IF(Q8="PARTNER","Organisation-first partnership","Low priority / validate"))))</x:f>
      </x:c>
      <x:c r="S8" s="45" t="n">
        <x:v>5.642116461555394</x:v>
      </x:c>
      <x:c r="T8" t="str">
        <x:v>NEAR</x:v>
      </x:c>
      <x:c r="U8" s="32" t="n">
        <x:f>PERCENTRANK.INC($G$2:$G$941,G8)</x:f>
        <x:v>0.319</x:v>
      </x:c>
      <x:c r="V8" s="32" t="n">
        <x:f>PERCENTRANK.INC($H$2:$H$941,H8)</x:f>
        <x:v>0.451</x:v>
      </x:c>
      <x:c r="W8" t="n">
        <x:f>ROUND((U8*55+V8*45)*IF(S8&lt;=5,1,IF(S8&lt;=10,0.95,IF(S8&lt;=20,0.85,0.70))),0)</x:f>
        <x:v>36</x:v>
      </x:c>
      <x:c r="X8" t="n">
        <x:v>55</x:v>
      </x:c>
      <x:c r="Y8" t="str">
        <x:v>PARTNER</x:v>
      </x:c>
      <x:c r="Z8" s="12" t="str">
        <x:v>Family + verified grassroots + straight-line geo only; transport not yet routed</x:v>
      </x:c>
      <x:c r="AA8" s="12"/>
      <x:c r="AB8" s="12"/>
      <x:c r="AC8" s="12"/>
      <x:c r="AD8" s="12"/>
      <x:c r="AE8" t="str">
        <x:v>Charlton Athletic Women</x:v>
      </x:c>
      <x:c r="AF8" s="45" t="n">
        <x:v>7.114857417631642</x:v>
      </x:c>
      <x:c r="AG8" t="str">
        <x:v>Dulwich Hamlet Women</x:v>
      </x:c>
      <x:c r="AH8" s="45" t="n">
        <x:v>11.643517316302237</x:v>
      </x:c>
      <x:c r="AI8" t="n">
        <x:v>65</x:v>
      </x:c>
      <x:c r="AJ8" t="str">
        <x:v>MEDIUM</x:v>
      </x:c>
    </x:row>
    <x:row r="9">
      <x:c r="A9" s="12" t="str">
        <x:v>E01000690</x:v>
      </x:c>
      <x:c r="B9" s="12" t="str">
        <x:v>Bromley 002B</x:v>
      </x:c>
      <x:c r="C9" s="12" t="str">
        <x:v>Bromley</x:v>
      </x:c>
      <x:c r="D9" s="44" t="n">
        <x:v>51.42306872011958</x:v>
      </x:c>
      <x:c r="E9" s="44" t="n">
        <x:v>0.06848516187926426</x:v>
      </x:c>
      <x:c r="F9" s="33" t="n">
        <x:v>538</x:v>
      </x:c>
      <x:c r="G9" s="33" t="n">
        <x:v>189</x:v>
      </x:c>
      <x:c r="H9" s="26" t="n">
        <x:v>0.3513011152416357</x:v>
      </x:c>
      <x:c r="I9" s="12" t="n">
        <x:v>3</x:v>
      </x:c>
      <x:c r="J9" s="12" t="n">
        <x:v>78</x:v>
      </x:c>
      <x:c r="K9" s="12"/>
      <x:c r="L9" s="12"/>
      <x:c r="M9" s="12" t="str">
        <x:f>IF(K9="", "", MAX(0,IF(K9&lt;=20,100,IF(K9&lt;=30,85,IF(K9&lt;=40,70,IF(K9&lt;=50,55,IF(K9&lt;=60,40,20)))))-MIN(L9*5,20)))</x:f>
      </x:c>
      <x:c r="N9" s="12"/>
      <x:c r="O9" s="12"/>
      <x:c r="P9" s="12" t="str">
        <x:f>IF(OR(H9="",J9="",M9=""),"",ROUND(PERCENTRANK.INC($H$2:$H$941,H9)*35+J9*0.35+M9*0.30,0))</x:f>
      </x:c>
      <x:c r="Q9" s="12" t="str">
        <x:f>IF(P9="","",IF(P9&gt;=80,"ATTACK",IF(P9&gt;=65,"GROW",IF(P9&gt;=50,"PARTNER","WATCH"))))</x:f>
      </x:c>
      <x:c r="R9" s="12" t="str">
        <x:f>IF(Q9="","",IF(Q9="ATTACK","Grassroots + family acquisition",IF(Q9="GROW","Test local campaign",IF(Q9="PARTNER","Organisation-first partnership","Low priority / validate"))))</x:f>
      </x:c>
      <x:c r="S9" s="45" t="n">
        <x:v>5.0131476975333795</x:v>
      </x:c>
      <x:c r="T9" t="str">
        <x:v>NEAR</x:v>
      </x:c>
      <x:c r="U9" s="32" t="n">
        <x:f>PERCENTRANK.INC($G$2:$G$941,G9)</x:f>
        <x:v>0.31</x:v>
      </x:c>
      <x:c r="V9" s="32" t="n">
        <x:f>PERCENTRANK.INC($H$2:$H$941,H9)</x:f>
        <x:v>0.696</x:v>
      </x:c>
      <x:c r="W9" t="n">
        <x:f>ROUND((U9*55+V9*45)*IF(S9&lt;=5,1,IF(S9&lt;=10,0.95,IF(S9&lt;=20,0.85,0.70))),0)</x:f>
        <x:v>46</x:v>
      </x:c>
      <x:c r="X9" t="n">
        <x:v>61</x:v>
      </x:c>
      <x:c r="Y9" t="str">
        <x:v>PARTNER</x:v>
      </x:c>
      <x:c r="Z9" s="12" t="str">
        <x:v>Family + verified grassroots + straight-line geo only; transport not yet routed</x:v>
      </x:c>
      <x:c r="AA9" s="12"/>
      <x:c r="AB9" s="12"/>
      <x:c r="AC9" s="12"/>
      <x:c r="AD9" s="12"/>
      <x:c r="AE9" t="str">
        <x:v>Charlton Athletic Women</x:v>
      </x:c>
      <x:c r="AF9" s="45" t="n">
        <x:v>7.389945814710697</x:v>
      </x:c>
      <x:c r="AG9" t="str">
        <x:v>Dulwich Hamlet Women</x:v>
      </x:c>
      <x:c r="AH9" s="45" t="n">
        <x:v>11.39099071256879</x:v>
      </x:c>
      <x:c r="AI9" t="n">
        <x:v>65</x:v>
      </x:c>
      <x:c r="AJ9" t="str">
        <x:v>MEDIUM</x:v>
      </x:c>
    </x:row>
    <x:row r="10">
      <x:c r="A10" s="12" t="str">
        <x:v>E01000691</x:v>
      </x:c>
      <x:c r="B10" s="12" t="str">
        <x:v>Bromley 002C</x:v>
      </x:c>
      <x:c r="C10" s="12" t="str">
        <x:v>Bromley</x:v>
      </x:c>
      <x:c r="D10" s="44" t="n">
        <x:v>51.423128284380454</x:v>
      </x:c>
      <x:c r="E10" s="44" t="n">
        <x:v>0.06243536995550143</x:v>
      </x:c>
      <x:c r="F10" s="33" t="n">
        <x:v>639</x:v>
      </x:c>
      <x:c r="G10" s="33" t="n">
        <x:v>204</x:v>
      </x:c>
      <x:c r="H10" s="26" t="n">
        <x:v>0.3192488262910798</x:v>
      </x:c>
      <x:c r="I10" s="12" t="n">
        <x:v>3</x:v>
      </x:c>
      <x:c r="J10" s="12" t="n">
        <x:v>78</x:v>
      </x:c>
      <x:c r="K10" s="12"/>
      <x:c r="L10" s="12"/>
      <x:c r="M10" s="12" t="str">
        <x:f>IF(K10="", "", MAX(0,IF(K10&lt;=20,100,IF(K10&lt;=30,85,IF(K10&lt;=40,70,IF(K10&lt;=50,55,IF(K10&lt;=60,40,20)))))-MIN(L10*5,20)))</x:f>
      </x:c>
      <x:c r="N10" s="12"/>
      <x:c r="O10" s="12"/>
      <x:c r="P10" s="12" t="str">
        <x:f>IF(OR(H10="",J10="",M10=""),"",ROUND(PERCENTRANK.INC($H$2:$H$941,H10)*35+J10*0.35+M10*0.30,0))</x:f>
      </x:c>
      <x:c r="Q10" s="12" t="str">
        <x:f>IF(P10="","",IF(P10&gt;=80,"ATTACK",IF(P10&gt;=65,"GROW",IF(P10&gt;=50,"PARTNER","WATCH"))))</x:f>
      </x:c>
      <x:c r="R10" s="12" t="str">
        <x:f>IF(Q10="","",IF(Q10="ATTACK","Grassroots + family acquisition",IF(Q10="GROW","Test local campaign",IF(Q10="PARTNER","Organisation-first partnership","Low priority / validate"))))</x:f>
      </x:c>
      <x:c r="S10" s="45" t="n">
        <x:v>4.732792035447718</x:v>
      </x:c>
      <x:c r="T10" t="str">
        <x:v>CORE</x:v>
      </x:c>
      <x:c r="U10" s="32" t="n">
        <x:f>PERCENTRANK.INC($G$2:$G$941,G10)</x:f>
        <x:v>0.421</x:v>
      </x:c>
      <x:c r="V10" s="32" t="n">
        <x:f>PERCENTRANK.INC($H$2:$H$941,H10)</x:f>
        <x:v>0.506</x:v>
      </x:c>
      <x:c r="W10" t="n">
        <x:f>ROUND((U10*55+V10*45)*IF(S10&lt;=5,1,IF(S10&lt;=10,0.95,IF(S10&lt;=20,0.85,0.70))),0)</x:f>
        <x:v>46</x:v>
      </x:c>
      <x:c r="X10" t="n">
        <x:v>61</x:v>
      </x:c>
      <x:c r="Y10" t="str">
        <x:v>PARTNER</x:v>
      </x:c>
      <x:c r="Z10" s="12" t="str">
        <x:v>Family + verified grassroots + straight-line geo only; transport not yet routed</x:v>
      </x:c>
      <x:c r="AA10" s="12"/>
      <x:c r="AB10" s="12"/>
      <x:c r="AC10" s="12"/>
      <x:c r="AD10" s="12"/>
      <x:c r="AE10" t="str">
        <x:v>Charlton Athletic Women</x:v>
      </x:c>
      <x:c r="AF10" s="45" t="n">
        <x:v>7.267421661185434</x:v>
      </x:c>
      <x:c r="AG10" t="str">
        <x:v>Dulwich Hamlet Women</x:v>
      </x:c>
      <x:c r="AH10" s="45" t="n">
        <x:v>11.000566511696173</x:v>
      </x:c>
      <x:c r="AI10" t="n">
        <x:v>65</x:v>
      </x:c>
      <x:c r="AJ10" t="str">
        <x:v>MEDIUM</x:v>
      </x:c>
    </x:row>
    <x:row r="11">
      <x:c r="A11" s="12" t="str">
        <x:v>E01000692</x:v>
      </x:c>
      <x:c r="B11" s="12" t="str">
        <x:v>Bromley 002D</x:v>
      </x:c>
      <x:c r="C11" s="12" t="str">
        <x:v>Bromley</x:v>
      </x:c>
      <x:c r="D11" s="44" t="n">
        <x:v>51.42044113304734</x:v>
      </x:c>
      <x:c r="E11" s="44" t="n">
        <x:v>0.07014673595041267</x:v>
      </x:c>
      <x:c r="F11" s="33" t="n">
        <x:v>682</x:v>
      </x:c>
      <x:c r="G11" s="33" t="n">
        <x:v>227</x:v>
      </x:c>
      <x:c r="H11" s="26" t="n">
        <x:v>0.33284457478005863</x:v>
      </x:c>
      <x:c r="I11" s="12" t="n">
        <x:v>3</x:v>
      </x:c>
      <x:c r="J11" s="12" t="n">
        <x:v>78</x:v>
      </x:c>
      <x:c r="K11" s="12"/>
      <x:c r="L11" s="12"/>
      <x:c r="M11" s="12" t="str">
        <x:f>IF(K11="", "", MAX(0,IF(K11&lt;=20,100,IF(K11&lt;=30,85,IF(K11&lt;=40,70,IF(K11&lt;=50,55,IF(K11&lt;=60,40,20)))))-MIN(L11*5,20)))</x:f>
      </x:c>
      <x:c r="N11" s="12"/>
      <x:c r="O11" s="12"/>
      <x:c r="P11" s="12" t="str">
        <x:f>IF(OR(H11="",J11="",M11=""),"",ROUND(PERCENTRANK.INC($H$2:$H$941,H11)*35+J11*0.35+M11*0.30,0))</x:f>
      </x:c>
      <x:c r="Q11" s="12" t="str">
        <x:f>IF(P11="","",IF(P11&gt;=80,"ATTACK",IF(P11&gt;=65,"GROW",IF(P11&gt;=50,"PARTNER","WATCH"))))</x:f>
      </x:c>
      <x:c r="R11" s="12" t="str">
        <x:f>IF(Q11="","",IF(Q11="ATTACK","Grassroots + family acquisition",IF(Q11="GROW","Test local campaign",IF(Q11="PARTNER","Organisation-first partnership","Low priority / validate"))))</x:f>
      </x:c>
      <x:c r="S11" s="45" t="n">
        <x:v>4.894699185971664</x:v>
      </x:c>
      <x:c r="T11" t="str">
        <x:v>CORE</x:v>
      </x:c>
      <x:c r="U11" s="32" t="n">
        <x:f>PERCENTRANK.INC($G$2:$G$941,G11)</x:f>
        <x:v>0.605</x:v>
      </x:c>
      <x:c r="V11" s="32" t="n">
        <x:f>PERCENTRANK.INC($H$2:$H$941,H11)</x:f>
        <x:v>0.588</x:v>
      </x:c>
      <x:c r="W11" t="n">
        <x:f>ROUND((U11*55+V11*45)*IF(S11&lt;=5,1,IF(S11&lt;=10,0.95,IF(S11&lt;=20,0.85,0.70))),0)</x:f>
        <x:v>60</x:v>
      </x:c>
      <x:c r="X11" t="n">
        <x:v>68</x:v>
      </x:c>
      <x:c r="Y11" t="str">
        <x:v>GROW</x:v>
      </x:c>
      <x:c r="Z11" s="12" t="str">
        <x:v>Family + verified grassroots + straight-line geo only; transport not yet routed</x:v>
      </x:c>
      <x:c r="AA11" s="12"/>
      <x:c r="AB11" s="12"/>
      <x:c r="AC11" s="12"/>
      <x:c r="AD11" s="12"/>
      <x:c r="AE11" t="str">
        <x:v>Charlton Athletic Women</x:v>
      </x:c>
      <x:c r="AF11" s="45" t="n">
        <x:v>7.703323437892926</x:v>
      </x:c>
      <x:c r="AG11" t="str">
        <x:v>Dulwich Hamlet Women</x:v>
      </x:c>
      <x:c r="AH11" s="45" t="n">
        <x:v>11.60944174494028</x:v>
      </x:c>
      <x:c r="AI11" t="n">
        <x:v>65</x:v>
      </x:c>
      <x:c r="AJ11" t="str">
        <x:v>MEDIUM</x:v>
      </x:c>
    </x:row>
    <x:row r="12">
      <x:c r="A12" s="12" t="str">
        <x:v>E01000784</x:v>
      </x:c>
      <x:c r="B12" s="12" t="str">
        <x:v>Bromley 002E</x:v>
      </x:c>
      <x:c r="C12" s="12" t="str">
        <x:v>Bromley</x:v>
      </x:c>
      <x:c r="D12" s="44" t="n">
        <x:v>51.424027249193884</x:v>
      </x:c>
      <x:c r="E12" s="44" t="n">
        <x:v>0.05470666395806014</x:v>
      </x:c>
      <x:c r="F12" s="33" t="n">
        <x:v>592</x:v>
      </x:c>
      <x:c r="G12" s="33" t="n">
        <x:v>237</x:v>
      </x:c>
      <x:c r="H12" s="26" t="n">
        <x:v>0.40033783783783783</x:v>
      </x:c>
      <x:c r="I12" s="12" t="n">
        <x:v>4</x:v>
      </x:c>
      <x:c r="J12" s="12" t="n">
        <x:v>77</x:v>
      </x:c>
      <x:c r="K12" s="12"/>
      <x:c r="L12" s="12"/>
      <x:c r="M12" s="12" t="str">
        <x:f>IF(K12="", "", MAX(0,IF(K12&lt;=20,100,IF(K12&lt;=30,85,IF(K12&lt;=40,70,IF(K12&lt;=50,55,IF(K12&lt;=60,40,20)))))-MIN(L12*5,20)))</x:f>
      </x:c>
      <x:c r="N12" s="12"/>
      <x:c r="O12" s="12"/>
      <x:c r="P12" s="12" t="str">
        <x:f>IF(OR(H12="",J12="",M12=""),"",ROUND(PERCENTRANK.INC($H$2:$H$941,H12)*35+J12*0.35+M12*0.30,0))</x:f>
      </x:c>
      <x:c r="Q12" s="12" t="str">
        <x:f>IF(P12="","",IF(P12&gt;=80,"ATTACK",IF(P12&gt;=65,"GROW",IF(P12&gt;=50,"PARTNER","WATCH"))))</x:f>
      </x:c>
      <x:c r="R12" s="12" t="str">
        <x:f>IF(Q12="","",IF(Q12="ATTACK","Grassroots + family acquisition",IF(Q12="GROW","Test local campaign",IF(Q12="PARTNER","Organisation-first partnership","Low priority / validate"))))</x:f>
      </x:c>
      <x:c r="S12" s="45" t="n">
        <x:v>4.4816381495609106</x:v>
      </x:c>
      <x:c r="T12" t="str">
        <x:v>CORE</x:v>
      </x:c>
      <x:c r="U12" s="32" t="n">
        <x:f>PERCENTRANK.INC($G$2:$G$941,G12)</x:f>
        <x:v>0.689</x:v>
      </x:c>
      <x:c r="V12" s="32" t="n">
        <x:f>PERCENTRANK.INC($H$2:$H$941,H12)</x:f>
        <x:v>0.906</x:v>
      </x:c>
      <x:c r="W12" t="n">
        <x:f>ROUND((U12*55+V12*45)*IF(S12&lt;=5,1,IF(S12&lt;=10,0.95,IF(S12&lt;=20,0.85,0.70))),0)</x:f>
        <x:v>79</x:v>
      </x:c>
      <x:c r="X12" t="n">
        <x:v>78</x:v>
      </x:c>
      <x:c r="Y12" t="str">
        <x:v>GROW</x:v>
      </x:c>
      <x:c r="Z12" s="12" t="str">
        <x:v>Family + verified grassroots + straight-line geo only; transport not yet routed</x:v>
      </x:c>
      <x:c r="AA12" s="12"/>
      <x:c r="AB12" s="12"/>
      <x:c r="AC12" s="12"/>
      <x:c r="AD12" s="12"/>
      <x:c r="AE12" t="str">
        <x:v>Charlton Athletic Women</x:v>
      </x:c>
      <x:c r="AF12" s="45" t="n">
        <x:v>7.053718657445572</x:v>
      </x:c>
      <x:c r="AG12" t="str">
        <x:v>Dulwich Hamlet Women</x:v>
      </x:c>
      <x:c r="AH12" s="45" t="n">
        <x:v>10.468379319124377</x:v>
      </x:c>
      <x:c r="AI12" t="n">
        <x:v>65</x:v>
      </x:c>
      <x:c r="AJ12" t="str">
        <x:v>MEDIUM</x:v>
      </x:c>
    </x:row>
    <x:row r="13">
      <x:c r="A13" s="12" t="str">
        <x:v>E01000799</x:v>
      </x:c>
      <x:c r="B13" s="12" t="str">
        <x:v>Bromley 004A</x:v>
      </x:c>
      <x:c r="C13" s="12" t="str">
        <x:v>Bromley</x:v>
      </x:c>
      <x:c r="D13" s="44" t="n">
        <x:v>51.41328382808093</x:v>
      </x:c>
      <x:c r="E13" s="44" t="n">
        <x:v>-0.050588278370339815</x:v>
      </x:c>
      <x:c r="F13" s="33" t="n">
        <x:v>752</x:v>
      </x:c>
      <x:c r="G13" s="33" t="n">
        <x:v>250</x:v>
      </x:c>
      <x:c r="H13" s="26" t="n">
        <x:v>0.3324468085106383</x:v>
      </x:c>
      <x:c r="I13" s="12" t="n">
        <x:v>4</x:v>
      </x:c>
      <x:c r="J13" s="12" t="n">
        <x:v>92</x:v>
      </x:c>
      <x:c r="K13" s="12"/>
      <x:c r="L13" s="12"/>
      <x:c r="M13" s="12" t="str">
        <x:f>IF(K13="", "", MAX(0,IF(K13&lt;=20,100,IF(K13&lt;=30,85,IF(K13&lt;=40,70,IF(K13&lt;=50,55,IF(K13&lt;=60,40,20)))))-MIN(L13*5,20)))</x:f>
      </x:c>
      <x:c r="N13" s="12"/>
      <x:c r="O13" s="12"/>
      <x:c r="P13" s="12" t="str">
        <x:f>IF(OR(H13="",J13="",M13=""),"",ROUND(PERCENTRANK.INC($H$2:$H$941,H13)*35+J13*0.35+M13*0.30,0))</x:f>
      </x:c>
      <x:c r="Q13" s="12" t="str">
        <x:f>IF(P13="","",IF(P13&gt;=80,"ATTACK",IF(P13&gt;=65,"GROW",IF(P13&gt;=50,"PARTNER","WATCH"))))</x:f>
      </x:c>
      <x:c r="R13" s="12" t="str">
        <x:f>IF(Q13="","",IF(Q13="ATTACK","Grassroots + family acquisition",IF(Q13="GROW","Test local campaign",IF(Q13="PARTNER","Organisation-first partnership","Low priority / validate"))))</x:f>
      </x:c>
      <x:c r="S13" s="45" t="n">
        <x:v>5.347450415615164</x:v>
      </x:c>
      <x:c r="T13" t="str">
        <x:v>NEAR</x:v>
      </x:c>
      <x:c r="U13" s="32" t="n">
        <x:f>PERCENTRANK.INC($G$2:$G$941,G13)</x:f>
        <x:v>0.782</x:v>
      </x:c>
      <x:c r="V13" s="32" t="n">
        <x:f>PERCENTRANK.INC($H$2:$H$941,H13)</x:f>
        <x:v>0.583</x:v>
      </x:c>
      <x:c r="W13" t="n">
        <x:f>ROUND((U13*55+V13*45)*IF(S13&lt;=5,1,IF(S13&lt;=10,0.95,IF(S13&lt;=20,0.85,0.70))),0)</x:f>
        <x:v>66</x:v>
      </x:c>
      <x:c r="X13" t="n">
        <x:v>78</x:v>
      </x:c>
      <x:c r="Y13" t="str">
        <x:v>GROW</x:v>
      </x:c>
      <x:c r="Z13" s="12" t="str">
        <x:v>Family + verified grassroots + straight-line geo only; transport not yet routed</x:v>
      </x:c>
      <x:c r="AA13" s="12"/>
      <x:c r="AB13" s="12"/>
      <x:c r="AC13" s="12"/>
      <x:c r="AD13" s="12"/>
      <x:c r="AE13" t="str">
        <x:v>Crystal Palace Women</x:v>
      </x:c>
      <x:c r="AF13" s="45" t="n">
        <x:v>2.920712627180886</x:v>
      </x:c>
      <x:c r="AG13" t="str">
        <x:v>Dulwich Hamlet Women</x:v>
      </x:c>
      <x:c r="AH13" s="45" t="n">
        <x:v>5.821309744637989</x:v>
      </x:c>
      <x:c r="AI13" t="n">
        <x:v>96</x:v>
      </x:c>
      <x:c r="AJ13" t="str">
        <x:v>HIGH</x:v>
      </x:c>
    </x:row>
    <x:row r="14">
      <x:c r="A14" s="12" t="str">
        <x:v>E01000802</x:v>
      </x:c>
      <x:c r="B14" s="12" t="str">
        <x:v>Bromley 004B</x:v>
      </x:c>
      <x:c r="C14" s="12" t="str">
        <x:v>Bromley</x:v>
      </x:c>
      <x:c r="D14" s="44" t="n">
        <x:v>51.41946137663339</x:v>
      </x:c>
      <x:c r="E14" s="44" t="n">
        <x:v>-0.05552424923946229</x:v>
      </x:c>
      <x:c r="F14" s="33" t="n">
        <x:v>801</x:v>
      </x:c>
      <x:c r="G14" s="33" t="n">
        <x:v>226</x:v>
      </x:c>
      <x:c r="H14" s="26" t="n">
        <x:v>0.28214731585518105</x:v>
      </x:c>
      <x:c r="I14" s="12" t="n">
        <x:v>4</x:v>
      </x:c>
      <x:c r="J14" s="12" t="n">
        <x:v>92</x:v>
      </x:c>
      <x:c r="K14" s="12"/>
      <x:c r="L14" s="12"/>
      <x:c r="M14" s="12" t="str">
        <x:f>IF(K14="", "", MAX(0,IF(K14&lt;=20,100,IF(K14&lt;=30,85,IF(K14&lt;=40,70,IF(K14&lt;=50,55,IF(K14&lt;=60,40,20)))))-MIN(L14*5,20)))</x:f>
      </x:c>
      <x:c r="N14" s="12"/>
      <x:c r="O14" s="12"/>
      <x:c r="P14" s="12" t="str">
        <x:f>IF(OR(H14="",J14="",M14=""),"",ROUND(PERCENTRANK.INC($H$2:$H$941,H14)*35+J14*0.35+M14*0.30,0))</x:f>
      </x:c>
      <x:c r="Q14" s="12" t="str">
        <x:f>IF(P14="","",IF(P14&gt;=80,"ATTACK",IF(P14&gt;=65,"GROW",IF(P14&gt;=50,"PARTNER","WATCH"))))</x:f>
      </x:c>
      <x:c r="R14" s="12" t="str">
        <x:f>IF(Q14="","",IF(Q14="ATTACK","Grassroots + family acquisition",IF(Q14="GROW","Test local campaign",IF(Q14="PARTNER","Organisation-first partnership","Low priority / validate"))))</x:f>
      </x:c>
      <x:c r="S14" s="45" t="n">
        <x:v>5.985974061097649</x:v>
      </x:c>
      <x:c r="T14" t="str">
        <x:v>NEAR</x:v>
      </x:c>
      <x:c r="U14" s="32" t="n">
        <x:f>PERCENTRANK.INC($G$2:$G$941,G14)</x:f>
        <x:v>0.595</x:v>
      </x:c>
      <x:c r="V14" s="32" t="n">
        <x:f>PERCENTRANK.INC($H$2:$H$941,H14)</x:f>
        <x:v>0.305</x:v>
      </x:c>
      <x:c r="W14" t="n">
        <x:f>ROUND((U14*55+V14*45)*IF(S14&lt;=5,1,IF(S14&lt;=10,0.95,IF(S14&lt;=20,0.85,0.70))),0)</x:f>
        <x:v>44</x:v>
      </x:c>
      <x:c r="X14" t="n">
        <x:v>66</x:v>
      </x:c>
      <x:c r="Y14" t="str">
        <x:v>GROW</x:v>
      </x:c>
      <x:c r="Z14" s="12" t="str">
        <x:v>Family + verified grassroots + straight-line geo only; transport not yet routed</x:v>
      </x:c>
      <x:c r="AA14" s="12"/>
      <x:c r="AB14" s="12"/>
      <x:c r="AC14" s="12"/>
      <x:c r="AD14" s="12"/>
      <x:c r="AE14" t="str">
        <x:v>Crystal Palace Women</x:v>
      </x:c>
      <x:c r="AF14" s="45" t="n">
        <x:v>3.1256219690008855</x:v>
      </x:c>
      <x:c r="AG14" t="str">
        <x:v>Dulwich Hamlet Women</x:v>
      </x:c>
      <x:c r="AH14" s="45" t="n">
        <x:v>5.055104201893357</x:v>
      </x:c>
      <x:c r="AI14" t="n">
        <x:v>85</x:v>
      </x:c>
      <x:c r="AJ14" t="str">
        <x:v>HIGH</x:v>
      </x:c>
    </x:row>
    <x:row r="15">
      <x:c r="A15" s="12" t="str">
        <x:v>E01000803</x:v>
      </x:c>
      <x:c r="B15" s="12" t="str">
        <x:v>Bromley 004C</x:v>
      </x:c>
      <x:c r="C15" s="12" t="str">
        <x:v>Bromley</x:v>
      </x:c>
      <x:c r="D15" s="44" t="n">
        <x:v>51.42147711212444</x:v>
      </x:c>
      <x:c r="E15" s="44" t="n">
        <x:v>-0.05251211379296941</x:v>
      </x:c>
      <x:c r="F15" s="33" t="n">
        <x:v>745</x:v>
      </x:c>
      <x:c r="G15" s="33" t="n">
        <x:v>181</x:v>
      </x:c>
      <x:c r="H15" s="26" t="n">
        <x:v>0.24295302013422818</x:v>
      </x:c>
      <x:c r="I15" s="12" t="n">
        <x:v>4</x:v>
      </x:c>
      <x:c r="J15" s="12" t="n">
        <x:v>92</x:v>
      </x:c>
      <x:c r="K15" s="12"/>
      <x:c r="L15" s="12"/>
      <x:c r="M15" s="12" t="str">
        <x:f>IF(K15="", "", MAX(0,IF(K15&lt;=20,100,IF(K15&lt;=30,85,IF(K15&lt;=40,70,IF(K15&lt;=50,55,IF(K15&lt;=60,40,20)))))-MIN(L15*5,20)))</x:f>
      </x:c>
      <x:c r="N15" s="12"/>
      <x:c r="O15" s="12"/>
      <x:c r="P15" s="12" t="str">
        <x:f>IF(OR(H15="",J15="",M15=""),"",ROUND(PERCENTRANK.INC($H$2:$H$941,H15)*35+J15*0.35+M15*0.30,0))</x:f>
      </x:c>
      <x:c r="Q15" s="12" t="str">
        <x:f>IF(P15="","",IF(P15&gt;=80,"ATTACK",IF(P15&gt;=65,"GROW",IF(P15&gt;=50,"PARTNER","WATCH"))))</x:f>
      </x:c>
      <x:c r="R15" s="12" t="str">
        <x:f>IF(Q15="","",IF(Q15="ATTACK","Grassroots + family acquisition",IF(Q15="GROW","Test local campaign",IF(Q15="PARTNER","Organisation-first partnership","Low priority / validate"))))</x:f>
      </x:c>
      <x:c r="S15" s="45" t="n">
        <x:v>5.934771454610436</x:v>
      </x:c>
      <x:c r="T15" t="str">
        <x:v>NEAR</x:v>
      </x:c>
      <x:c r="U15" s="32" t="n">
        <x:f>PERCENTRANK.INC($G$2:$G$941,G15)</x:f>
        <x:v>0.23</x:v>
      </x:c>
      <x:c r="V15" s="32" t="n">
        <x:f>PERCENTRANK.INC($H$2:$H$941,H15)</x:f>
        <x:v>0.164</x:v>
      </x:c>
      <x:c r="W15" t="n">
        <x:f>ROUND((U15*55+V15*45)*IF(S15&lt;=5,1,IF(S15&lt;=10,0.95,IF(S15&lt;=20,0.85,0.70))),0)</x:f>
        <x:v>19</x:v>
      </x:c>
      <x:c r="X15" t="n">
        <x:v>52</x:v>
      </x:c>
      <x:c r="Y15" t="str">
        <x:v>PARTNER</x:v>
      </x:c>
      <x:c r="Z15" s="12" t="str">
        <x:v>Family + verified grassroots + straight-line geo only; transport not yet routed</x:v>
      </x:c>
      <x:c r="AA15" s="12"/>
      <x:c r="AB15" s="12"/>
      <x:c r="AC15" s="12"/>
      <x:c r="AD15" s="12"/>
      <x:c r="AE15" t="str">
        <x:v>Crystal Palace Women</x:v>
      </x:c>
      <x:c r="AF15" s="45" t="n">
        <x:v>3.4318456277766565</x:v>
      </x:c>
      <x:c r="AG15" t="str">
        <x:v>Dulwich Hamlet Women</x:v>
      </x:c>
      <x:c r="AH15" s="45" t="n">
        <x:v>4.938088529705225</x:v>
      </x:c>
      <x:c r="AI15" t="n">
        <x:v>85</x:v>
      </x:c>
      <x:c r="AJ15" t="str">
        <x:v>HIGH</x:v>
      </x:c>
    </x:row>
    <x:row r="16">
      <x:c r="A16" s="12" t="str">
        <x:v>E01000804</x:v>
      </x:c>
      <x:c r="B16" s="12" t="str">
        <x:v>Bromley 004D</x:v>
      </x:c>
      <x:c r="C16" s="12" t="str">
        <x:v>Bromley</x:v>
      </x:c>
      <x:c r="D16" s="44" t="n">
        <x:v>51.41897622692461</x:v>
      </x:c>
      <x:c r="E16" s="44" t="n">
        <x:v>-0.04351527440268959</x:v>
      </x:c>
      <x:c r="F16" s="33" t="n">
        <x:v>565</x:v>
      </x:c>
      <x:c r="G16" s="33" t="n">
        <x:v>196</x:v>
      </x:c>
      <x:c r="H16" s="26" t="n">
        <x:v>0.34690265486725663</x:v>
      </x:c>
      <x:c r="I16" s="12" t="n">
        <x:v>3</x:v>
      </x:c>
      <x:c r="J16" s="12" t="n">
        <x:v>83</x:v>
      </x:c>
      <x:c r="K16" s="12"/>
      <x:c r="L16" s="12"/>
      <x:c r="M16" s="12" t="str">
        <x:f>IF(K16="", "", MAX(0,IF(K16&lt;=20,100,IF(K16&lt;=30,85,IF(K16&lt;=40,70,IF(K16&lt;=50,55,IF(K16&lt;=60,40,20)))))-MIN(L16*5,20)))</x:f>
      </x:c>
      <x:c r="N16" s="12"/>
      <x:c r="O16" s="12"/>
      <x:c r="P16" s="12" t="str">
        <x:f>IF(OR(H16="",J16="",M16=""),"",ROUND(PERCENTRANK.INC($H$2:$H$941,H16)*35+J16*0.35+M16*0.30,0))</x:f>
      </x:c>
      <x:c r="Q16" s="12" t="str">
        <x:f>IF(P16="","",IF(P16&gt;=80,"ATTACK",IF(P16&gt;=65,"GROW",IF(P16&gt;=50,"PARTNER","WATCH"))))</x:f>
      </x:c>
      <x:c r="R16" s="12" t="str">
        <x:f>IF(Q16="","",IF(Q16="ATTACK","Grassroots + family acquisition",IF(Q16="GROW","Test local campaign",IF(Q16="PARTNER","Organisation-first partnership","Low priority / validate"))))</x:f>
      </x:c>
      <x:c r="S16" s="45" t="n">
        <x:v>5.265380997987038</x:v>
      </x:c>
      <x:c r="T16" t="str">
        <x:v>NEAR</x:v>
      </x:c>
      <x:c r="U16" s="32" t="n">
        <x:f>PERCENTRANK.INC($G$2:$G$941,G16)</x:f>
        <x:v>0.351</x:v>
      </x:c>
      <x:c r="V16" s="32" t="n">
        <x:f>PERCENTRANK.INC($H$2:$H$941,H16)</x:f>
        <x:v>0.666</x:v>
      </x:c>
      <x:c r="W16" t="n">
        <x:f>ROUND((U16*55+V16*45)*IF(S16&lt;=5,1,IF(S16&lt;=10,0.95,IF(S16&lt;=20,0.85,0.70))),0)</x:f>
        <x:v>47</x:v>
      </x:c>
      <x:c r="X16" t="n">
        <x:v>63</x:v>
      </x:c>
      <x:c r="Y16" t="str">
        <x:v>PARTNER</x:v>
      </x:c>
      <x:c r="Z16" s="12" t="str">
        <x:v>Family + verified grassroots + straight-line geo only; transport not yet routed</x:v>
      </x:c>
      <x:c r="AA16" s="12"/>
      <x:c r="AB16" s="12"/>
      <x:c r="AC16" s="12"/>
      <x:c r="AD16" s="12"/>
      <x:c r="AE16" t="str">
        <x:v>Crystal Palace Women</x:v>
      </x:c>
      <x:c r="AF16" s="45" t="n">
        <x:v>3.692585422033525</x:v>
      </x:c>
      <x:c r="AG16" t="str">
        <x:v>Dulwich Hamlet Women</x:v>
      </x:c>
      <x:c r="AH16" s="45" t="n">
        <x:v>5.480453673854699</x:v>
      </x:c>
      <x:c r="AI16" t="n">
        <x:v>85</x:v>
      </x:c>
      <x:c r="AJ16" t="str">
        <x:v>HIGH</x:v>
      </x:c>
    </x:row>
    <x:row r="17">
      <x:c r="A17" s="12" t="str">
        <x:v>E01000805</x:v>
      </x:c>
      <x:c r="B17" s="12" t="str">
        <x:v>Bromley 004E</x:v>
      </x:c>
      <x:c r="C17" s="12" t="str">
        <x:v>Bromley</x:v>
      </x:c>
      <x:c r="D17" s="44" t="n">
        <x:v>51.416583927765046</x:v>
      </x:c>
      <x:c r="E17" s="44" t="n">
        <x:v>-0.04883997387494784</x:v>
      </x:c>
      <x:c r="F17" s="33" t="n">
        <x:v>797</x:v>
      </x:c>
      <x:c r="G17" s="33" t="n">
        <x:v>224</x:v>
      </x:c>
      <x:c r="H17" s="26" t="n">
        <x:v>0.2810539523212045</x:v>
      </x:c>
      <x:c r="I17" s="12" t="n">
        <x:v>4</x:v>
      </x:c>
      <x:c r="J17" s="12" t="n">
        <x:v>99</x:v>
      </x:c>
      <x:c r="K17" s="12"/>
      <x:c r="L17" s="12"/>
      <x:c r="M17" s="12" t="str">
        <x:f>IF(K17="", "", MAX(0,IF(K17&lt;=20,100,IF(K17&lt;=30,85,IF(K17&lt;=40,70,IF(K17&lt;=50,55,IF(K17&lt;=60,40,20)))))-MIN(L17*5,20)))</x:f>
      </x:c>
      <x:c r="N17" s="12"/>
      <x:c r="O17" s="12"/>
      <x:c r="P17" s="12" t="str">
        <x:f>IF(OR(H17="",J17="",M17=""),"",ROUND(PERCENTRANK.INC($H$2:$H$941,H17)*35+J17*0.35+M17*0.30,0))</x:f>
      </x:c>
      <x:c r="Q17" s="12" t="str">
        <x:f>IF(P17="","",IF(P17&gt;=80,"ATTACK",IF(P17&gt;=65,"GROW",IF(P17&gt;=50,"PARTNER","WATCH"))))</x:f>
      </x:c>
      <x:c r="R17" s="12" t="str">
        <x:f>IF(Q17="","",IF(Q17="ATTACK","Grassroots + family acquisition",IF(Q17="GROW","Test local campaign",IF(Q17="PARTNER","Organisation-first partnership","Low priority / validate"))))</x:f>
      </x:c>
      <x:c r="S17" s="45" t="n">
        <x:v>5.423439409571128</x:v>
      </x:c>
      <x:c r="T17" t="str">
        <x:v>NEAR</x:v>
      </x:c>
      <x:c r="U17" s="32" t="n">
        <x:f>PERCENTRANK.INC($G$2:$G$941,G17)</x:f>
        <x:v>0.576</x:v>
      </x:c>
      <x:c r="V17" s="32" t="n">
        <x:f>PERCENTRANK.INC($H$2:$H$941,H17)</x:f>
        <x:v>0.301</x:v>
      </x:c>
      <x:c r="W17" t="n">
        <x:f>ROUND((U17*55+V17*45)*IF(S17&lt;=5,1,IF(S17&lt;=10,0.95,IF(S17&lt;=20,0.85,0.70))),0)</x:f>
        <x:v>43</x:v>
      </x:c>
      <x:c r="X17" t="n">
        <x:v>68</x:v>
      </x:c>
      <x:c r="Y17" t="str">
        <x:v>GROW</x:v>
      </x:c>
      <x:c r="Z17" s="12" t="str">
        <x:v>Family + verified grassroots + straight-line geo only; transport not yet routed</x:v>
      </x:c>
      <x:c r="AA17" s="12"/>
      <x:c r="AB17" s="12"/>
      <x:c r="AC17" s="12"/>
      <x:c r="AD17" s="12"/>
      <x:c r="AE17" t="str">
        <x:v>Crystal Palace Women</x:v>
      </x:c>
      <x:c r="AF17" s="45" t="n">
        <x:v>3.2381053836524787</x:v>
      </x:c>
      <x:c r="AG17" t="str">
        <x:v>Dulwich Hamlet Women</x:v>
      </x:c>
      <x:c r="AH17" s="45" t="n">
        <x:v>5.538722624180774</x:v>
      </x:c>
      <x:c r="AI17" t="n">
        <x:v>85</x:v>
      </x:c>
      <x:c r="AJ17" t="str">
        <x:v>HIGH</x:v>
      </x:c>
    </x:row>
    <x:row r="18">
      <x:c r="A18" s="12" t="str">
        <x:v>E01000741</x:v>
      </x:c>
      <x:c r="B18" s="12" t="str">
        <x:v>Bromley 005B</x:v>
      </x:c>
      <x:c r="C18" s="12" t="str">
        <x:v>Bromley</x:v>
      </x:c>
      <x:c r="D18" s="44" t="n">
        <x:v>51.41508279404766</x:v>
      </x:c>
      <x:c r="E18" s="44" t="n">
        <x:v>-0.07380207840371596</x:v>
      </x:c>
      <x:c r="F18" s="33" t="n">
        <x:v>929</x:v>
      </x:c>
      <x:c r="G18" s="33" t="n">
        <x:v>208</x:v>
      </x:c>
      <x:c r="H18" s="26" t="n">
        <x:v>0.2238966630785791</x:v>
      </x:c>
      <x:c r="I18" s="12" t="n">
        <x:v>3</x:v>
      </x:c>
      <x:c r="J18" s="12" t="n">
        <x:v>76</x:v>
      </x:c>
      <x:c r="K18" s="12"/>
      <x:c r="L18" s="12"/>
      <x:c r="M18" s="12" t="str">
        <x:f>IF(K18="", "", MAX(0,IF(K18&lt;=20,100,IF(K18&lt;=30,85,IF(K18&lt;=40,70,IF(K18&lt;=50,55,IF(K18&lt;=60,40,20)))))-MIN(L18*5,20)))</x:f>
      </x:c>
      <x:c r="N18" s="12"/>
      <x:c r="O18" s="12"/>
      <x:c r="P18" s="12" t="str">
        <x:f>IF(OR(H18="",J18="",M18=""),"",ROUND(PERCENTRANK.INC($H$2:$H$941,H18)*35+J18*0.35+M18*0.30,0))</x:f>
      </x:c>
      <x:c r="Q18" s="12" t="str">
        <x:f>IF(P18="","",IF(P18&gt;=80,"ATTACK",IF(P18&gt;=65,"GROW",IF(P18&gt;=50,"PARTNER","WATCH"))))</x:f>
      </x:c>
      <x:c r="R18" s="12" t="str">
        <x:f>IF(Q18="","",IF(Q18="ATTACK","Grassroots + family acquisition",IF(Q18="GROW","Test local campaign",IF(Q18="PARTNER","Organisation-first partnership","Low priority / validate"))))</x:f>
      </x:c>
      <x:c r="S18" s="45" t="n">
        <x:v>6.890394511731716</x:v>
      </x:c>
      <x:c r="T18" t="str">
        <x:v>NEAR</x:v>
      </x:c>
      <x:c r="U18" s="32" t="n">
        <x:f>PERCENTRANK.INC($G$2:$G$941,G18)</x:f>
        <x:v>0.448</x:v>
      </x:c>
      <x:c r="V18" s="32" t="n">
        <x:f>PERCENTRANK.INC($H$2:$H$941,H18)</x:f>
        <x:v>0.11</x:v>
      </x:c>
      <x:c r="W18" t="n">
        <x:f>ROUND((U18*55+V18*45)*IF(S18&lt;=5,1,IF(S18&lt;=10,0.95,IF(S18&lt;=20,0.85,0.70))),0)</x:f>
        <x:v>28</x:v>
      </x:c>
      <x:c r="X18" t="n">
        <x:v>50</x:v>
      </x:c>
      <x:c r="Y18" t="str">
        <x:v>PARTNER</x:v>
      </x:c>
      <x:c r="Z18" s="12" t="str">
        <x:v>Family + verified grassroots + straight-line geo only; transport not yet routed</x:v>
      </x:c>
      <x:c r="AA18" s="12"/>
      <x:c r="AB18" s="12"/>
      <x:c r="AC18" s="12"/>
      <x:c r="AD18" s="12"/>
      <x:c r="AE18" t="str">
        <x:v>Crystal Palace Women</x:v>
      </x:c>
      <x:c r="AF18" s="45" t="n">
        <x:v>2.0274187570426427</x:v>
      </x:c>
      <x:c r="AG18" t="str">
        <x:v>Dulwich Hamlet Women</x:v>
      </x:c>
      <x:c r="AH18" s="45" t="n">
        <x:v>5.189525489268666</x:v>
      </x:c>
      <x:c r="AI18" t="n">
        <x:v>96</x:v>
      </x:c>
      <x:c r="AJ18" t="str">
        <x:v>HIGH</x:v>
      </x:c>
    </x:row>
    <x:row r="19">
      <x:c r="A19" s="12" t="str">
        <x:v>E01000742</x:v>
      </x:c>
      <x:c r="B19" s="12" t="str">
        <x:v>Bromley 005C</x:v>
      </x:c>
      <x:c r="C19" s="12" t="str">
        <x:v>Bromley</x:v>
      </x:c>
      <x:c r="D19" s="44" t="n">
        <x:v>51.415739263725015</x:v>
      </x:c>
      <x:c r="E19" s="44" t="n">
        <x:v>-0.06538958566667649</x:v>
      </x:c>
      <x:c r="F19" s="33" t="n">
        <x:v>1022</x:v>
      </x:c>
      <x:c r="G19" s="33" t="n">
        <x:v>250</x:v>
      </x:c>
      <x:c r="H19" s="26" t="n">
        <x:v>0.2446183953033268</x:v>
      </x:c>
      <x:c r="I19" s="12" t="n">
        <x:v>3</x:v>
      </x:c>
      <x:c r="J19" s="12" t="n">
        <x:v>76</x:v>
      </x:c>
      <x:c r="K19" s="12"/>
      <x:c r="L19" s="12"/>
      <x:c r="M19" s="12" t="str">
        <x:f>IF(K19="", "", MAX(0,IF(K19&lt;=20,100,IF(K19&lt;=30,85,IF(K19&lt;=40,70,IF(K19&lt;=50,55,IF(K19&lt;=60,40,20)))))-MIN(L19*5,20)))</x:f>
      </x:c>
      <x:c r="N19" s="12"/>
      <x:c r="O19" s="12"/>
      <x:c r="P19" s="12" t="str">
        <x:f>IF(OR(H19="",J19="",M19=""),"",ROUND(PERCENTRANK.INC($H$2:$H$941,H19)*35+J19*0.35+M19*0.30,0))</x:f>
      </x:c>
      <x:c r="Q19" s="12" t="str">
        <x:f>IF(P19="","",IF(P19&gt;=80,"ATTACK",IF(P19&gt;=65,"GROW",IF(P19&gt;=50,"PARTNER","WATCH"))))</x:f>
      </x:c>
      <x:c r="R19" s="12" t="str">
        <x:f>IF(Q19="","",IF(Q19="ATTACK","Grassroots + family acquisition",IF(Q19="GROW","Test local campaign",IF(Q19="PARTNER","Organisation-first partnership","Low priority / validate"))))</x:f>
      </x:c>
      <x:c r="S19" s="45" t="n">
        <x:v>6.3879051646144065</x:v>
      </x:c>
      <x:c r="T19" t="str">
        <x:v>NEAR</x:v>
      </x:c>
      <x:c r="U19" s="32" t="n">
        <x:f>PERCENTRANK.INC($G$2:$G$941,G19)</x:f>
        <x:v>0.782</x:v>
      </x:c>
      <x:c r="V19" s="32" t="n">
        <x:f>PERCENTRANK.INC($H$2:$H$941,H19)</x:f>
        <x:v>0.167</x:v>
      </x:c>
      <x:c r="W19" t="n">
        <x:f>ROUND((U19*55+V19*45)*IF(S19&lt;=5,1,IF(S19&lt;=10,0.95,IF(S19&lt;=20,0.85,0.70))),0)</x:f>
        <x:v>48</x:v>
      </x:c>
      <x:c r="X19" t="n">
        <x:v>61</x:v>
      </x:c>
      <x:c r="Y19" t="str">
        <x:v>PARTNER</x:v>
      </x:c>
      <x:c r="Z19" s="12" t="str">
        <x:v>Family + verified grassroots + straight-line geo only; transport not yet routed</x:v>
      </x:c>
      <x:c r="AA19" s="12"/>
      <x:c r="AB19" s="12"/>
      <x:c r="AC19" s="12"/>
      <x:c r="AD19" s="12"/>
      <x:c r="AE19" t="str">
        <x:v>Crystal Palace Women</x:v>
      </x:c>
      <x:c r="AF19" s="45" t="n">
        <x:v>2.3764598023242267</x:v>
      </x:c>
      <x:c r="AG19" t="str">
        <x:v>Dulwich Hamlet Women</x:v>
      </x:c>
      <x:c r="AH19" s="45" t="n">
        <x:v>5.229591825045954</x:v>
      </x:c>
      <x:c r="AI19" t="n">
        <x:v>96</x:v>
      </x:c>
      <x:c r="AJ19" t="str">
        <x:v>HIGH</x:v>
      </x:c>
    </x:row>
    <x:row r="20">
      <x:c r="A20" s="12" t="str">
        <x:v>E01000745</x:v>
      </x:c>
      <x:c r="B20" s="12" t="str">
        <x:v>Bromley 005D</x:v>
      </x:c>
      <x:c r="C20" s="12" t="str">
        <x:v>Bromley</x:v>
      </x:c>
      <x:c r="D20" s="44" t="n">
        <x:v>51.423182748097474</x:v>
      </x:c>
      <x:c r="E20" s="44" t="n">
        <x:v>-0.06251621883349978</x:v>
      </x:c>
      <x:c r="F20" s="33" t="n">
        <x:v>900</x:v>
      </x:c>
      <x:c r="G20" s="33" t="n">
        <x:v>236</x:v>
      </x:c>
      <x:c r="H20" s="26" t="n">
        <x:v>0.26222222222222225</x:v>
      </x:c>
      <x:c r="I20" s="12" t="n">
        <x:v>3</x:v>
      </x:c>
      <x:c r="J20" s="12" t="n">
        <x:v>83</x:v>
      </x:c>
      <x:c r="K20" s="12"/>
      <x:c r="L20" s="12"/>
      <x:c r="M20" s="12" t="str">
        <x:f>IF(K20="", "", MAX(0,IF(K20&lt;=20,100,IF(K20&lt;=30,85,IF(K20&lt;=40,70,IF(K20&lt;=50,55,IF(K20&lt;=60,40,20)))))-MIN(L20*5,20)))</x:f>
      </x:c>
      <x:c r="N20" s="12"/>
      <x:c r="O20" s="12"/>
      <x:c r="P20" s="12" t="str">
        <x:f>IF(OR(H20="",J20="",M20=""),"",ROUND(PERCENTRANK.INC($H$2:$H$941,H20)*35+J20*0.35+M20*0.30,0))</x:f>
      </x:c>
      <x:c r="Q20" s="12" t="str">
        <x:f>IF(P20="","",IF(P20&gt;=80,"ATTACK",IF(P20&gt;=65,"GROW",IF(P20&gt;=50,"PARTNER","WATCH"))))</x:f>
      </x:c>
      <x:c r="R20" s="12" t="str">
        <x:f>IF(Q20="","",IF(Q20="ATTACK","Grassroots + family acquisition",IF(Q20="GROW","Test local campaign",IF(Q20="PARTNER","Organisation-first partnership","Low priority / validate"))))</x:f>
      </x:c>
      <x:c r="S20" s="45" t="n">
        <x:v>6.616934741734519</x:v>
      </x:c>
      <x:c r="T20" t="str">
        <x:v>NEAR</x:v>
      </x:c>
      <x:c r="U20" s="32" t="n">
        <x:f>PERCENTRANK.INC($G$2:$G$941,G20)</x:f>
        <x:v>0.679</x:v>
      </x:c>
      <x:c r="V20" s="32" t="n">
        <x:f>PERCENTRANK.INC($H$2:$H$941,H20)</x:f>
        <x:v>0.228</x:v>
      </x:c>
      <x:c r="W20" t="n">
        <x:f>ROUND((U20*55+V20*45)*IF(S20&lt;=5,1,IF(S20&lt;=10,0.95,IF(S20&lt;=20,0.85,0.70))),0)</x:f>
        <x:v>45</x:v>
      </x:c>
      <x:c r="X20" t="n">
        <x:v>63</x:v>
      </x:c>
      <x:c r="Y20" t="str">
        <x:v>PARTNER</x:v>
      </x:c>
      <x:c r="Z20" s="12" t="str">
        <x:v>Family + verified grassroots + straight-line geo only; transport not yet routed</x:v>
      </x:c>
      <x:c r="AA20" s="12"/>
      <x:c r="AB20" s="12"/>
      <x:c r="AC20" s="12"/>
      <x:c r="AD20" s="12"/>
      <x:c r="AE20" t="str">
        <x:v>Crystal Palace Women</x:v>
      </x:c>
      <x:c r="AF20" s="45" t="n">
        <x:v>3.1830725154894566</x:v>
      </x:c>
      <x:c r="AG20" t="str">
        <x:v>Dulwich Hamlet Women</x:v>
      </x:c>
      <x:c r="AH20" s="45" t="n">
        <x:v>4.494032283566791</x:v>
      </x:c>
      <x:c r="AI20" t="n">
        <x:v>85</x:v>
      </x:c>
      <x:c r="AJ20" t="str">
        <x:v>HIGH</x:v>
      </x:c>
    </x:row>
    <x:row r="21">
      <x:c r="A21" s="12" t="str">
        <x:v>E01000746</x:v>
      </x:c>
      <x:c r="B21" s="12" t="str">
        <x:v>Bromley 005E</x:v>
      </x:c>
      <x:c r="C21" s="12" t="str">
        <x:v>Bromley</x:v>
      </x:c>
      <x:c r="D21" s="44" t="n">
        <x:v>51.41737632514782</x:v>
      </x:c>
      <x:c r="E21" s="44" t="n">
        <x:v>-0.07777682329203352</x:v>
      </x:c>
      <x:c r="F21" s="33" t="n">
        <x:v>965</x:v>
      </x:c>
      <x:c r="G21" s="33" t="n">
        <x:v>248</x:v>
      </x:c>
      <x:c r="H21" s="26" t="n">
        <x:v>0.25699481865284973</x:v>
      </x:c>
      <x:c r="I21" s="12" t="n">
        <x:v>3</x:v>
      </x:c>
      <x:c r="J21" s="12" t="n">
        <x:v>76</x:v>
      </x:c>
      <x:c r="K21" s="12"/>
      <x:c r="L21" s="12"/>
      <x:c r="M21" s="12" t="str">
        <x:f>IF(K21="", "", MAX(0,IF(K21&lt;=20,100,IF(K21&lt;=30,85,IF(K21&lt;=40,70,IF(K21&lt;=50,55,IF(K21&lt;=60,40,20)))))-MIN(L21*5,20)))</x:f>
      </x:c>
      <x:c r="N21" s="12"/>
      <x:c r="O21" s="12"/>
      <x:c r="P21" s="12" t="str">
        <x:f>IF(OR(H21="",J21="",M21=""),"",ROUND(PERCENTRANK.INC($H$2:$H$941,H21)*35+J21*0.35+M21*0.30,0))</x:f>
      </x:c>
      <x:c r="Q21" s="12" t="str">
        <x:f>IF(P21="","",IF(P21&gt;=80,"ATTACK",IF(P21&gt;=65,"GROW",IF(P21&gt;=50,"PARTNER","WATCH"))))</x:f>
      </x:c>
      <x:c r="R21" s="12" t="str">
        <x:f>IF(Q21="","",IF(Q21="ATTACK","Grassroots + family acquisition",IF(Q21="GROW","Test local campaign",IF(Q21="PARTNER","Organisation-first partnership","Low priority / validate"))))</x:f>
      </x:c>
      <x:c r="S21" s="45" t="n">
        <x:v>7.244563807897037</x:v>
      </x:c>
      <x:c r="T21" t="str">
        <x:v>NEAR</x:v>
      </x:c>
      <x:c r="U21" s="32" t="n">
        <x:f>PERCENTRANK.INC($G$2:$G$941,G21)</x:f>
        <x:v>0.757</x:v>
      </x:c>
      <x:c r="V21" s="32" t="n">
        <x:f>PERCENTRANK.INC($H$2:$H$941,H21)</x:f>
        <x:v>0.208</x:v>
      </x:c>
      <x:c r="W21" t="n">
        <x:f>ROUND((U21*55+V21*45)*IF(S21&lt;=5,1,IF(S21&lt;=10,0.95,IF(S21&lt;=20,0.85,0.70))),0)</x:f>
        <x:v>48</x:v>
      </x:c>
      <x:c r="X21" t="n">
        <x:v>61</x:v>
      </x:c>
      <x:c r="Y21" t="str">
        <x:v>PARTNER</x:v>
      </x:c>
      <x:c r="Z21" s="12" t="str">
        <x:v>Family + verified grassroots + straight-line geo only; transport not yet routed</x:v>
      </x:c>
      <x:c r="AA21" s="12"/>
      <x:c r="AB21" s="12"/>
      <x:c r="AC21" s="12"/>
      <x:c r="AD21" s="12"/>
      <x:c r="AE21" t="str">
        <x:v>Crystal Palace Women</x:v>
      </x:c>
      <x:c r="AF21" s="45" t="n">
        <x:v>2.1841333698674057</x:v>
      </x:c>
      <x:c r="AG21" t="str">
        <x:v>Dulwich Hamlet Women</x:v>
      </x:c>
      <x:c r="AH21" s="45" t="n">
        <x:v>4.9052004939069365</x:v>
      </x:c>
      <x:c r="AI21" t="n">
        <x:v>96</x:v>
      </x:c>
      <x:c r="AJ21" t="str">
        <x:v>HIGH</x:v>
      </x:c>
    </x:row>
    <x:row r="22">
      <x:c r="A22" s="12" t="str">
        <x:v>E01034383</x:v>
      </x:c>
      <x:c r="B22" s="12" t="str">
        <x:v>Bromley 005F</x:v>
      </x:c>
      <x:c r="C22" s="12" t="str">
        <x:v>Bromley</x:v>
      </x:c>
      <x:c r="D22" s="44" t="n">
        <x:v>51.41639839987938</x:v>
      </x:c>
      <x:c r="E22" s="44" t="n">
        <x:v>-0.07105225196355994</x:v>
      </x:c>
      <x:c r="F22" s="33" t="n">
        <x:v>627</x:v>
      </x:c>
      <x:c r="G22" s="33" t="n">
        <x:v>161</x:v>
      </x:c>
      <x:c r="H22" s="26" t="n">
        <x:v>0.2567783094098884</x:v>
      </x:c>
      <x:c r="I22" s="12" t="n">
        <x:v>3</x:v>
      </x:c>
      <x:c r="J22" s="12" t="n">
        <x:v>76</x:v>
      </x:c>
      <x:c r="K22" s="12"/>
      <x:c r="L22" s="12"/>
      <x:c r="M22" s="12" t="str">
        <x:f>IF(K22="", "", MAX(0,IF(K22&lt;=20,100,IF(K22&lt;=30,85,IF(K22&lt;=40,70,IF(K22&lt;=50,55,IF(K22&lt;=60,40,20)))))-MIN(L22*5,20)))</x:f>
      </x:c>
      <x:c r="N22" s="12"/>
      <x:c r="O22" s="12"/>
      <x:c r="P22" s="12" t="str">
        <x:f>IF(OR(H22="",J22="",M22=""),"",ROUND(PERCENTRANK.INC($H$2:$H$941,H22)*35+J22*0.35+M22*0.30,0))</x:f>
      </x:c>
      <x:c r="Q22" s="12" t="str">
        <x:f>IF(P22="","",IF(P22&gt;=80,"ATTACK",IF(P22&gt;=65,"GROW",IF(P22&gt;=50,"PARTNER","WATCH"))))</x:f>
      </x:c>
      <x:c r="R22" s="12" t="str">
        <x:f>IF(Q22="","",IF(Q22="ATTACK","Grassroots + family acquisition",IF(Q22="GROW","Test local campaign",IF(Q22="PARTNER","Organisation-first partnership","Low priority / validate"))))</x:f>
      </x:c>
      <x:c r="S22" s="45" t="n">
        <x:v>6.77469527619113</x:v>
      </x:c>
      <x:c r="T22" t="str">
        <x:v>NEAR</x:v>
      </x:c>
      <x:c r="U22" s="32" t="n">
        <x:f>PERCENTRANK.INC($G$2:$G$941,G22)</x:f>
        <x:v>0.129</x:v>
      </x:c>
      <x:c r="V22" s="32" t="n">
        <x:f>PERCENTRANK.INC($H$2:$H$941,H22)</x:f>
        <x:v>0.206</x:v>
      </x:c>
      <x:c r="W22" t="n">
        <x:f>ROUND((U22*55+V22*45)*IF(S22&lt;=5,1,IF(S22&lt;=10,0.95,IF(S22&lt;=20,0.85,0.70))),0)</x:f>
        <x:v>16</x:v>
      </x:c>
      <x:c r="X22" t="n">
        <x:v>43</x:v>
      </x:c>
      <x:c r="Y22" t="str">
        <x:v>WATCH</x:v>
      </x:c>
      <x:c r="Z22" s="12" t="str">
        <x:v>Family + verified grassroots + straight-line geo only; transport not yet routed</x:v>
      </x:c>
      <x:c r="AA22" s="12"/>
      <x:c r="AB22" s="12"/>
      <x:c r="AC22" s="12"/>
      <x:c r="AD22" s="12"/>
      <x:c r="AE22" t="str">
        <x:v>Crystal Palace Women</x:v>
      </x:c>
      <x:c r="AF22" s="45" t="n">
        <x:v>2.2394392154928435</x:v>
      </x:c>
      <x:c r="AG22" t="str">
        <x:v>Dulwich Hamlet Women</x:v>
      </x:c>
      <x:c r="AH22" s="45" t="n">
        <x:v>5.07479731112038</x:v>
      </x:c>
      <x:c r="AI22" t="n">
        <x:v>96</x:v>
      </x:c>
      <x:c r="AJ22" t="str">
        <x:v>HIGH</x:v>
      </x:c>
    </x:row>
    <x:row r="23">
      <x:c r="A23" s="12" t="str">
        <x:v>E01034384</x:v>
      </x:c>
      <x:c r="B23" s="12" t="str">
        <x:v>Bromley 005G</x:v>
      </x:c>
      <x:c r="C23" s="12" t="str">
        <x:v>Bromley</x:v>
      </x:c>
      <x:c r="D23" s="44" t="n">
        <x:v>51.41243123561735</x:v>
      </x:c>
      <x:c r="E23" s="44" t="n">
        <x:v>-0.07065717204832025</x:v>
      </x:c>
      <x:c r="F23" s="33" t="n">
        <x:v>620</x:v>
      </x:c>
      <x:c r="G23" s="33" t="n">
        <x:v>201</x:v>
      </x:c>
      <x:c r="H23" s="26" t="n">
        <x:v>0.3241935483870968</x:v>
      </x:c>
      <x:c r="I23" s="12" t="n">
        <x:v>3</x:v>
      </x:c>
      <x:c r="J23" s="12" t="n">
        <x:v>76</x:v>
      </x:c>
      <x:c r="K23" s="12"/>
      <x:c r="L23" s="12"/>
      <x:c r="M23" s="12" t="str">
        <x:f>IF(K23="", "", MAX(0,IF(K23&lt;=20,100,IF(K23&lt;=30,85,IF(K23&lt;=40,70,IF(K23&lt;=50,55,IF(K23&lt;=60,40,20)))))-MIN(L23*5,20)))</x:f>
      </x:c>
      <x:c r="N23" s="12"/>
      <x:c r="O23" s="12"/>
      <x:c r="P23" s="12" t="str">
        <x:f>IF(OR(H23="",J23="",M23=""),"",ROUND(PERCENTRANK.INC($H$2:$H$941,H23)*35+J23*0.35+M23*0.30,0))</x:f>
      </x:c>
      <x:c r="Q23" s="12" t="str">
        <x:f>IF(P23="","",IF(P23&gt;=80,"ATTACK",IF(P23&gt;=65,"GROW",IF(P23&gt;=50,"PARTNER","WATCH"))))</x:f>
      </x:c>
      <x:c r="R23" s="12" t="str">
        <x:f>IF(Q23="","",IF(Q23="ATTACK","Grassroots + family acquisition",IF(Q23="GROW","Test local campaign",IF(Q23="PARTNER","Organisation-first partnership","Low priority / validate"))))</x:f>
      </x:c>
      <x:c r="S23" s="45" t="n">
        <x:v>6.577568014298313</x:v>
      </x:c>
      <x:c r="T23" t="str">
        <x:v>NEAR</x:v>
      </x:c>
      <x:c r="U23" s="32" t="n">
        <x:f>PERCENTRANK.INC($G$2:$G$941,G23)</x:f>
        <x:v>0.396</x:v>
      </x:c>
      <x:c r="V23" s="32" t="n">
        <x:f>PERCENTRANK.INC($H$2:$H$941,H23)</x:f>
        <x:v>0.537</x:v>
      </x:c>
      <x:c r="W23" t="n">
        <x:f>ROUND((U23*55+V23*45)*IF(S23&lt;=5,1,IF(S23&lt;=10,0.95,IF(S23&lt;=20,0.85,0.70))),0)</x:f>
        <x:v>44</x:v>
      </x:c>
      <x:c r="X23" t="n">
        <x:v>59</x:v>
      </x:c>
      <x:c r="Y23" t="str">
        <x:v>PARTNER</x:v>
      </x:c>
      <x:c r="Z23" s="12" t="str">
        <x:v>Family + verified grassroots + straight-line geo only; transport not yet routed</x:v>
      </x:c>
      <x:c r="AA23" s="12"/>
      <x:c r="AB23" s="12"/>
      <x:c r="AC23" s="12"/>
      <x:c r="AD23" s="12"/>
      <x:c r="AE23" t="str">
        <x:v>Crystal Palace Women</x:v>
      </x:c>
      <x:c r="AF23" s="45" t="n">
        <x:v>1.8672567771764228</x:v>
      </x:c>
      <x:c r="AG23" t="str">
        <x:v>Dulwich Hamlet Women</x:v>
      </x:c>
      <x:c r="AH23" s="45" t="n">
        <x:v>5.5140726202494745</x:v>
      </x:c>
      <x:c r="AI23" t="n">
        <x:v>96</x:v>
      </x:c>
      <x:c r="AJ23" t="str">
        <x:v>HIGH</x:v>
      </x:c>
    </x:row>
    <x:row r="24">
      <x:c r="A24" s="12" t="str">
        <x:v>E01000709</x:v>
      </x:c>
      <x:c r="B24" s="12" t="str">
        <x:v>Bromley 006A</x:v>
      </x:c>
      <x:c r="C24" s="12" t="str">
        <x:v>Bromley</x:v>
      </x:c>
      <x:c r="D24" s="44" t="n">
        <x:v>51.410079395516334</x:v>
      </x:c>
      <x:c r="E24" s="44" t="n">
        <x:v>-0.03348622108434954</x:v>
      </x:c>
      <x:c r="F24" s="33" t="n">
        <x:v>737</x:v>
      </x:c>
      <x:c r="G24" s="33" t="n">
        <x:v>140</x:v>
      </x:c>
      <x:c r="H24" s="26" t="n">
        <x:v>0.18995929443690637</x:v>
      </x:c>
      <x:c r="I24" s="12" t="n">
        <x:v>4</x:v>
      </x:c>
      <x:c r="J24" s="12" t="n">
        <x:v>92</x:v>
      </x:c>
      <x:c r="K24" s="12"/>
      <x:c r="L24" s="12"/>
      <x:c r="M24" s="12" t="str">
        <x:f>IF(K24="", "", MAX(0,IF(K24&lt;=20,100,IF(K24&lt;=30,85,IF(K24&lt;=40,70,IF(K24&lt;=50,55,IF(K24&lt;=60,40,20)))))-MIN(L24*5,20)))</x:f>
      </x:c>
      <x:c r="N24" s="12"/>
      <x:c r="O24" s="12"/>
      <x:c r="P24" s="12" t="str">
        <x:f>IF(OR(H24="",J24="",M24=""),"",ROUND(PERCENTRANK.INC($H$2:$H$941,H24)*35+J24*0.35+M24*0.30,0))</x:f>
      </x:c>
      <x:c r="Q24" s="12" t="str">
        <x:f>IF(P24="","",IF(P24&gt;=80,"ATTACK",IF(P24&gt;=65,"GROW",IF(P24&gt;=50,"PARTNER","WATCH"))))</x:f>
      </x:c>
      <x:c r="R24" s="12" t="str">
        <x:f>IF(Q24="","",IF(Q24="ATTACK","Grassroots + family acquisition",IF(Q24="GROW","Test local campaign",IF(Q24="PARTNER","Organisation-first partnership","Low priority / validate"))))</x:f>
      </x:c>
      <x:c r="S24" s="45" t="n">
        <x:v>4.137879050267274</x:v>
      </x:c>
      <x:c r="T24" t="str">
        <x:v>CORE</x:v>
      </x:c>
      <x:c r="U24" s="32" t="n">
        <x:f>PERCENTRANK.INC($G$2:$G$941,G24)</x:f>
        <x:v>0.066</x:v>
      </x:c>
      <x:c r="V24" s="32" t="n">
        <x:f>PERCENTRANK.INC($H$2:$H$941,H24)</x:f>
        <x:v>0.053</x:v>
      </x:c>
      <x:c r="W24" t="n">
        <x:f>ROUND((U24*55+V24*45)*IF(S24&lt;=5,1,IF(S24&lt;=10,0.95,IF(S24&lt;=20,0.85,0.70))),0)</x:f>
        <x:v>6</x:v>
      </x:c>
      <x:c r="X24" t="n">
        <x:v>45</x:v>
      </x:c>
      <x:c r="Y24" t="str">
        <x:v>WATCH</x:v>
      </x:c>
      <x:c r="Z24" s="12" t="str">
        <x:v>Family + verified grassroots + straight-line geo only; transport not yet routed</x:v>
      </x:c>
      <x:c r="AA24" s="12"/>
      <x:c r="AB24" s="12"/>
      <x:c r="AC24" s="12"/>
      <x:c r="AD24" s="12"/>
      <x:c r="AE24" t="str">
        <x:v>Crystal Palace Women</x:v>
      </x:c>
      <x:c r="AF24" s="45" t="n">
        <x:v>3.8163346681796355</x:v>
      </x:c>
      <x:c r="AG24" t="str">
        <x:v>Dulwich Hamlet Women</x:v>
      </x:c>
      <x:c r="AH24" s="45" t="n">
        <x:v>6.686910687383889</x:v>
      </x:c>
      <x:c r="AI24" t="n">
        <x:v>81</x:v>
      </x:c>
      <x:c r="AJ24" t="str">
        <x:v>HIGH</x:v>
      </x:c>
    </x:row>
    <x:row r="25">
      <x:c r="A25" s="12" t="str">
        <x:v>E01000710</x:v>
      </x:c>
      <x:c r="B25" s="12" t="str">
        <x:v>Bromley 006B</x:v>
      </x:c>
      <x:c r="C25" s="12" t="str">
        <x:v>Bromley</x:v>
      </x:c>
      <x:c r="D25" s="44" t="n">
        <x:v>51.41645450129038</x:v>
      </x:c>
      <x:c r="E25" s="44" t="n">
        <x:v>-0.027713433267223014</x:v>
      </x:c>
      <x:c r="F25" s="33" t="n">
        <x:v>1159</x:v>
      </x:c>
      <x:c r="G25" s="33" t="n">
        <x:v>263</x:v>
      </x:c>
      <x:c r="H25" s="26" t="n">
        <x:v>0.2269197584124245</x:v>
      </x:c>
      <x:c r="I25" s="12" t="n">
        <x:v>3</x:v>
      </x:c>
      <x:c r="J25" s="12" t="n">
        <x:v>69</x:v>
      </x:c>
      <x:c r="K25" s="12"/>
      <x:c r="L25" s="12"/>
      <x:c r="M25" s="12" t="str">
        <x:f>IF(K25="", "", MAX(0,IF(K25&lt;=20,100,IF(K25&lt;=30,85,IF(K25&lt;=40,70,IF(K25&lt;=50,55,IF(K25&lt;=60,40,20)))))-MIN(L25*5,20)))</x:f>
      </x:c>
      <x:c r="N25" s="12"/>
      <x:c r="O25" s="12"/>
      <x:c r="P25" s="12" t="str">
        <x:f>IF(OR(H25="",J25="",M25=""),"",ROUND(PERCENTRANK.INC($H$2:$H$941,H25)*35+J25*0.35+M25*0.30,0))</x:f>
      </x:c>
      <x:c r="Q25" s="12" t="str">
        <x:f>IF(P25="","",IF(P25&gt;=80,"ATTACK",IF(P25&gt;=65,"GROW",IF(P25&gt;=50,"PARTNER","WATCH"))))</x:f>
      </x:c>
      <x:c r="R25" s="12" t="str">
        <x:f>IF(Q25="","",IF(Q25="ATTACK","Grassroots + family acquisition",IF(Q25="GROW","Test local campaign",IF(Q25="PARTNER","Organisation-first partnership","Low priority / validate"))))</x:f>
      </x:c>
      <x:c r="S25" s="45" t="n">
        <x:v>4.236664858038365</x:v>
      </x:c>
      <x:c r="T25" t="str">
        <x:v>CORE</x:v>
      </x:c>
      <x:c r="U25" s="32" t="n">
        <x:f>PERCENTRANK.INC($G$2:$G$941,G25)</x:f>
        <x:v>0.842</x:v>
      </x:c>
      <x:c r="V25" s="32" t="n">
        <x:f>PERCENTRANK.INC($H$2:$H$941,H25)</x:f>
        <x:v>0.125</x:v>
      </x:c>
      <x:c r="W25" t="n">
        <x:f>ROUND((U25*55+V25*45)*IF(S25&lt;=5,1,IF(S25&lt;=10,0.95,IF(S25&lt;=20,0.85,0.70))),0)</x:f>
        <x:v>52</x:v>
      </x:c>
      <x:c r="X25" t="n">
        <x:v>60</x:v>
      </x:c>
      <x:c r="Y25" t="str">
        <x:v>PARTNER</x:v>
      </x:c>
      <x:c r="Z25" s="12" t="str">
        <x:v>Family + verified grassroots + straight-line geo only; transport not yet routed</x:v>
      </x:c>
      <x:c r="AA25" s="12"/>
      <x:c r="AB25" s="12"/>
      <x:c r="AC25" s="12"/>
      <x:c r="AD25" s="12"/>
      <x:c r="AE25" t="str">
        <x:v>Crystal Palace Women</x:v>
      </x:c>
      <x:c r="AF25" s="45" t="n">
        <x:v>4.467135003158395</x:v>
      </x:c>
      <x:c r="AG25" t="str">
        <x:v>Dulwich Hamlet Women</x:v>
      </x:c>
      <x:c r="AH25" s="45" t="n">
        <x:v>6.332340315773342</x:v>
      </x:c>
      <x:c r="AI25" t="n">
        <x:v>81</x:v>
      </x:c>
      <x:c r="AJ25" t="str">
        <x:v>HIGH</x:v>
      </x:c>
    </x:row>
    <x:row r="26">
      <x:c r="A26" s="12" t="str">
        <x:v>E01000711</x:v>
      </x:c>
      <x:c r="B26" s="12" t="str">
        <x:v>Bromley 006C</x:v>
      </x:c>
      <x:c r="C26" s="12" t="str">
        <x:v>Bromley</x:v>
      </x:c>
      <x:c r="D26" s="44" t="n">
        <x:v>51.41419909397605</x:v>
      </x:c>
      <x:c r="E26" s="44" t="n">
        <x:v>-0.0312852750143565</x:v>
      </x:c>
      <x:c r="F26" s="33" t="n">
        <x:v>1030</x:v>
      </x:c>
      <x:c r="G26" s="33" t="n">
        <x:v>188</x:v>
      </x:c>
      <x:c r="H26" s="26" t="n">
        <x:v>0.1825242718446602</x:v>
      </x:c>
      <x:c r="I26" s="12" t="n">
        <x:v>3</x:v>
      </x:c>
      <x:c r="J26" s="12" t="n">
        <x:v>69</x:v>
      </x:c>
      <x:c r="K26" s="12"/>
      <x:c r="L26" s="12"/>
      <x:c r="M26" s="12" t="str">
        <x:f>IF(K26="", "", MAX(0,IF(K26&lt;=20,100,IF(K26&lt;=30,85,IF(K26&lt;=40,70,IF(K26&lt;=50,55,IF(K26&lt;=60,40,20)))))-MIN(L26*5,20)))</x:f>
      </x:c>
      <x:c r="N26" s="12"/>
      <x:c r="O26" s="12"/>
      <x:c r="P26" s="12" t="str">
        <x:f>IF(OR(H26="",J26="",M26=""),"",ROUND(PERCENTRANK.INC($H$2:$H$941,H26)*35+J26*0.35+M26*0.30,0))</x:f>
      </x:c>
      <x:c r="Q26" s="12" t="str">
        <x:f>IF(P26="","",IF(P26&gt;=80,"ATTACK",IF(P26&gt;=65,"GROW",IF(P26&gt;=50,"PARTNER","WATCH"))))</x:f>
      </x:c>
      <x:c r="R26" s="12" t="str">
        <x:f>IF(Q26="","",IF(Q26="ATTACK","Grassroots + family acquisition",IF(Q26="GROW","Test local campaign",IF(Q26="PARTNER","Organisation-first partnership","Low priority / validate"))))</x:f>
      </x:c>
      <x:c r="S26" s="45" t="n">
        <x:v>4.267900410360824</x:v>
      </x:c>
      <x:c r="T26" t="str">
        <x:v>CORE</x:v>
      </x:c>
      <x:c r="U26" s="32" t="n">
        <x:f>PERCENTRANK.INC($G$2:$G$941,G26)</x:f>
        <x:v>0.303</x:v>
      </x:c>
      <x:c r="V26" s="32" t="n">
        <x:f>PERCENTRANK.INC($H$2:$H$941,H26)</x:f>
        <x:v>0.041</x:v>
      </x:c>
      <x:c r="W26" t="n">
        <x:f>ROUND((U26*55+V26*45)*IF(S26&lt;=5,1,IF(S26&lt;=10,0.95,IF(S26&lt;=20,0.85,0.70))),0)</x:f>
        <x:v>19</x:v>
      </x:c>
      <x:c r="X26" t="n">
        <x:v>41</x:v>
      </x:c>
      <x:c r="Y26" t="str">
        <x:v>WATCH</x:v>
      </x:c>
      <x:c r="Z26" s="12" t="str">
        <x:v>Family + verified grassroots + straight-line geo only; transport not yet routed</x:v>
      </x:c>
      <x:c r="AA26" s="12"/>
      <x:c r="AB26" s="12"/>
      <x:c r="AC26" s="12"/>
      <x:c r="AD26" s="12"/>
      <x:c r="AE26" t="str">
        <x:v>Crystal Palace Women</x:v>
      </x:c>
      <x:c r="AF26" s="45" t="n">
        <x:v>4.134322648360293</x:v>
      </x:c>
      <x:c r="AG26" t="str">
        <x:v>Dulwich Hamlet Women</x:v>
      </x:c>
      <x:c r="AH26" s="45" t="n">
        <x:v>6.387062811495315</x:v>
      </x:c>
      <x:c r="AI26" t="n">
        <x:v>81</x:v>
      </x:c>
      <x:c r="AJ26" t="str">
        <x:v>HIGH</x:v>
      </x:c>
    </x:row>
    <x:row r="27">
      <x:c r="A27" s="12" t="str">
        <x:v>E01000714</x:v>
      </x:c>
      <x:c r="B27" s="12" t="str">
        <x:v>Bromley 006D</x:v>
      </x:c>
      <x:c r="C27" s="12" t="str">
        <x:v>Bromley</x:v>
      </x:c>
      <x:c r="D27" s="44" t="n">
        <x:v>51.40849971288772</x:v>
      </x:c>
      <x:c r="E27" s="44" t="n">
        <x:v>-0.026197077706387455</x:v>
      </x:c>
      <x:c r="F27" s="33" t="n">
        <x:v>1091</x:v>
      </x:c>
      <x:c r="G27" s="33" t="n">
        <x:v>273</x:v>
      </x:c>
      <x:c r="H27" s="26" t="n">
        <x:v>0.25022914757103576</x:v>
      </x:c>
      <x:c r="I27" s="12" t="n">
        <x:v>4</x:v>
      </x:c>
      <x:c r="J27" s="12" t="n">
        <x:v>84</x:v>
      </x:c>
      <x:c r="K27" s="12"/>
      <x:c r="L27" s="12"/>
      <x:c r="M27" s="12" t="str">
        <x:f>IF(K27="", "", MAX(0,IF(K27&lt;=20,100,IF(K27&lt;=30,85,IF(K27&lt;=40,70,IF(K27&lt;=50,55,IF(K27&lt;=60,40,20)))))-MIN(L27*5,20)))</x:f>
      </x:c>
      <x:c r="N27" s="12"/>
      <x:c r="O27" s="12"/>
      <x:c r="P27" s="12" t="str">
        <x:f>IF(OR(H27="",J27="",M27=""),"",ROUND(PERCENTRANK.INC($H$2:$H$941,H27)*35+J27*0.35+M27*0.30,0))</x:f>
      </x:c>
      <x:c r="Q27" s="12" t="str">
        <x:f>IF(P27="","",IF(P27&gt;=80,"ATTACK",IF(P27&gt;=65,"GROW",IF(P27&gt;=50,"PARTNER","WATCH"))))</x:f>
      </x:c>
      <x:c r="R27" s="12" t="str">
        <x:f>IF(Q27="","",IF(Q27="ATTACK","Grassroots + family acquisition",IF(Q27="GROW","Test local campaign",IF(Q27="PARTNER","Organisation-first partnership","Low priority / validate"))))</x:f>
      </x:c>
      <x:c r="S27" s="45" t="n">
        <x:v>3.6154140566352084</x:v>
      </x:c>
      <x:c r="T27" t="str">
        <x:v>CORE</x:v>
      </x:c>
      <x:c r="U27" s="32" t="n">
        <x:f>PERCENTRANK.INC($G$2:$G$941,G27)</x:f>
        <x:v>0.877</x:v>
      </x:c>
      <x:c r="V27" s="32" t="n">
        <x:f>PERCENTRANK.INC($H$2:$H$941,H27)</x:f>
        <x:v>0.181</x:v>
      </x:c>
      <x:c r="W27" t="n">
        <x:f>ROUND((U27*55+V27*45)*IF(S27&lt;=5,1,IF(S27&lt;=10,0.95,IF(S27&lt;=20,0.85,0.70))),0)</x:f>
        <x:v>56</x:v>
      </x:c>
      <x:c r="X27" t="n">
        <x:v>69</x:v>
      </x:c>
      <x:c r="Y27" t="str">
        <x:v>GROW</x:v>
      </x:c>
      <x:c r="Z27" s="12" t="str">
        <x:v>Family + verified grassroots + straight-line geo only; transport not yet routed</x:v>
      </x:c>
      <x:c r="AA27" s="12"/>
      <x:c r="AB27" s="12"/>
      <x:c r="AC27" s="12"/>
      <x:c r="AD27" s="12"/>
      <x:c r="AE27" t="str">
        <x:v>Crystal Palace Women</x:v>
      </x:c>
      <x:c r="AF27" s="45" t="n">
        <x:v>4.244354835460326</x:v>
      </x:c>
      <x:c r="AG27" t="str">
        <x:v>Dulwich Hamlet Women</x:v>
      </x:c>
      <x:c r="AH27" s="45" t="n">
        <x:v>7.109159248777209</x:v>
      </x:c>
      <x:c r="AI27" t="n">
        <x:v>81</x:v>
      </x:c>
      <x:c r="AJ27" t="str">
        <x:v>HIGH</x:v>
      </x:c>
    </x:row>
    <x:row r="28">
      <x:c r="A28" s="12" t="str">
        <x:v>E01000718</x:v>
      </x:c>
      <x:c r="B28" s="12" t="str">
        <x:v>Bromley 006E</x:v>
      </x:c>
      <x:c r="C28" s="12" t="str">
        <x:v>Bromley</x:v>
      </x:c>
      <x:c r="D28" s="44" t="n">
        <x:v>51.41959174886152</x:v>
      </x:c>
      <x:c r="E28" s="44" t="n">
        <x:v>-0.02421155336352924</x:v>
      </x:c>
      <x:c r="F28" s="33" t="n">
        <x:v>930</x:v>
      </x:c>
      <x:c r="G28" s="33" t="n">
        <x:v>292</x:v>
      </x:c>
      <x:c r="H28" s="26" t="n">
        <x:v>0.3139784946236559</x:v>
      </x:c>
      <x:c r="I28" s="12" t="n">
        <x:v>3</x:v>
      </x:c>
      <x:c r="J28" s="12" t="n">
        <x:v>77</x:v>
      </x:c>
      <x:c r="K28" s="12"/>
      <x:c r="L28" s="12"/>
      <x:c r="M28" s="12" t="str">
        <x:f>IF(K28="", "", MAX(0,IF(K28&lt;=20,100,IF(K28&lt;=30,85,IF(K28&lt;=40,70,IF(K28&lt;=50,55,IF(K28&lt;=60,40,20)))))-MIN(L28*5,20)))</x:f>
      </x:c>
      <x:c r="N28" s="12"/>
      <x:c r="O28" s="12"/>
      <x:c r="P28" s="12" t="str">
        <x:f>IF(OR(H28="",J28="",M28=""),"",ROUND(PERCENTRANK.INC($H$2:$H$941,H28)*35+J28*0.35+M28*0.30,0))</x:f>
      </x:c>
      <x:c r="Q28" s="12" t="str">
        <x:f>IF(P28="","",IF(P28&gt;=80,"ATTACK",IF(P28&gt;=65,"GROW",IF(P28&gt;=50,"PARTNER","WATCH"))))</x:f>
      </x:c>
      <x:c r="R28" s="12" t="str">
        <x:f>IF(Q28="","",IF(Q28="ATTACK","Grassroots + family acquisition",IF(Q28="GROW","Test local campaign",IF(Q28="PARTNER","Organisation-first partnership","Low priority / validate"))))</x:f>
      </x:c>
      <x:c r="S28" s="45" t="n">
        <x:v>4.309834163326152</x:v>
      </x:c>
      <x:c r="T28" t="str">
        <x:v>CORE</x:v>
      </x:c>
      <x:c r="U28" s="32" t="n">
        <x:f>PERCENTRANK.INC($G$2:$G$941,G28)</x:f>
        <x:v>0.931</x:v>
      </x:c>
      <x:c r="V28" s="32" t="n">
        <x:f>PERCENTRANK.INC($H$2:$H$941,H28)</x:f>
        <x:v>0.473</x:v>
      </x:c>
      <x:c r="W28" t="n">
        <x:f>ROUND((U28*55+V28*45)*IF(S28&lt;=5,1,IF(S28&lt;=10,0.95,IF(S28&lt;=20,0.85,0.70))),0)</x:f>
        <x:v>72</x:v>
      </x:c>
      <x:c r="X28" t="n">
        <x:v>75</x:v>
      </x:c>
      <x:c r="Y28" t="str">
        <x:v>GROW</x:v>
      </x:c>
      <x:c r="Z28" s="12" t="str">
        <x:v>Family + verified grassroots + straight-line geo only; transport not yet routed</x:v>
      </x:c>
      <x:c r="AA28" s="12"/>
      <x:c r="AB28" s="12"/>
      <x:c r="AC28" s="12"/>
      <x:c r="AD28" s="12"/>
      <x:c r="AE28" t="str">
        <x:v>Crystal Palace Women</x:v>
      </x:c>
      <x:c r="AF28" s="45" t="n">
        <x:v>4.8456225030564735</x:v>
      </x:c>
      <x:c r="AG28" t="str">
        <x:v>Dulwich Hamlet Women</x:v>
      </x:c>
      <x:c r="AH28" s="45" t="n">
        <x:v>6.220175310993681</x:v>
      </x:c>
      <x:c r="AI28" t="n">
        <x:v>81</x:v>
      </x:c>
      <x:c r="AJ28" t="str">
        <x:v>HIGH</x:v>
      </x:c>
    </x:row>
    <x:row r="29">
      <x:c r="A29" s="12" t="str">
        <x:v>E01000645</x:v>
      </x:c>
      <x:c r="B29" s="12" t="str">
        <x:v>Bromley 007A</x:v>
      </x:c>
      <x:c r="C29" s="12" t="str">
        <x:v>Bromley</x:v>
      </x:c>
      <x:c r="D29" s="44" t="n">
        <x:v>51.408710046128114</x:v>
      </x:c>
      <x:c r="E29" s="44" t="n">
        <x:v>0.045958205132700596</x:v>
      </x:c>
      <x:c r="F29" s="33" t="n">
        <x:v>544</x:v>
      </x:c>
      <x:c r="G29" s="33" t="n">
        <x:v>188</x:v>
      </x:c>
      <x:c r="H29" s="26" t="n">
        <x:v>0.34558823529411764</x:v>
      </x:c>
      <x:c r="I29" s="12" t="n">
        <x:v>3</x:v>
      </x:c>
      <x:c r="J29" s="12" t="n">
        <x:v>86</x:v>
      </x:c>
      <x:c r="K29" s="12"/>
      <x:c r="L29" s="12"/>
      <x:c r="M29" s="12" t="str">
        <x:f>IF(K29="", "", MAX(0,IF(K29&lt;=20,100,IF(K29&lt;=30,85,IF(K29&lt;=40,70,IF(K29&lt;=50,55,IF(K29&lt;=60,40,20)))))-MIN(L29*5,20)))</x:f>
      </x:c>
      <x:c r="N29" s="12"/>
      <x:c r="O29" s="12"/>
      <x:c r="P29" s="12" t="str">
        <x:f>IF(OR(H29="",J29="",M29=""),"",ROUND(PERCENTRANK.INC($H$2:$H$941,H29)*35+J29*0.35+M29*0.30,0))</x:f>
      </x:c>
      <x:c r="Q29" s="12" t="str">
        <x:f>IF(P29="","",IF(P29&gt;=80,"ATTACK",IF(P29&gt;=65,"GROW",IF(P29&gt;=50,"PARTNER","WATCH"))))</x:f>
      </x:c>
      <x:c r="R29" s="12" t="str">
        <x:f>IF(Q29="","",IF(Q29="ATTACK","Grassroots + family acquisition",IF(Q29="GROW","Test local campaign",IF(Q29="PARTNER","Organisation-first partnership","Low priority / validate"))))</x:f>
      </x:c>
      <x:c r="S29" s="45" t="n">
        <x:v>2.7794361421126776</x:v>
      </x:c>
      <x:c r="T29" t="str">
        <x:v>CORE</x:v>
      </x:c>
      <x:c r="U29" s="32" t="n">
        <x:f>PERCENTRANK.INC($G$2:$G$941,G29)</x:f>
        <x:v>0.303</x:v>
      </x:c>
      <x:c r="V29" s="32" t="n">
        <x:f>PERCENTRANK.INC($H$2:$H$941,H29)</x:f>
        <x:v>0.659</x:v>
      </x:c>
      <x:c r="W29" t="n">
        <x:f>ROUND((U29*55+V29*45)*IF(S29&lt;=5,1,IF(S29&lt;=10,0.95,IF(S29&lt;=20,0.85,0.70))),0)</x:f>
        <x:v>46</x:v>
      </x:c>
      <x:c r="X29" t="n">
        <x:v>64</x:v>
      </x:c>
      <x:c r="Y29" t="str">
        <x:v>PARTNER</x:v>
      </x:c>
      <x:c r="Z29" s="12" t="str">
        <x:v>Family + verified grassroots + straight-line geo only; transport not yet routed</x:v>
      </x:c>
      <x:c r="AA29" s="12"/>
      <x:c r="AB29" s="12"/>
      <x:c r="AC29" s="12"/>
      <x:c r="AD29" s="12"/>
      <x:c r="AE29" t="str">
        <x:v>Charlton Athletic Women</x:v>
      </x:c>
      <x:c r="AF29" s="45" t="n">
        <x:v>8.665439748060935</x:v>
      </x:c>
      <x:c r="AG29" t="str">
        <x:v>Dulwich Hamlet Women</x:v>
      </x:c>
      <x:c r="AH29" s="45" t="n">
        <x:v>10.740204720811372</x:v>
      </x:c>
      <x:c r="AI29" t="n">
        <x:v>65</x:v>
      </x:c>
      <x:c r="AJ29" t="str">
        <x:v>MEDIUM</x:v>
      </x:c>
    </x:row>
    <x:row r="30">
      <x:c r="A30" s="12" t="str">
        <x:v>E01000649</x:v>
      </x:c>
      <x:c r="B30" s="12" t="str">
        <x:v>Bromley 007B</x:v>
      </x:c>
      <x:c r="C30" s="12" t="str">
        <x:v>Bromley</x:v>
      </x:c>
      <x:c r="D30" s="44" t="n">
        <x:v>51.40209369977117</x:v>
      </x:c>
      <x:c r="E30" s="44" t="n">
        <x:v>0.055049820295672514</x:v>
      </x:c>
      <x:c r="F30" s="33" t="n">
        <x:v>817</x:v>
      </x:c>
      <x:c r="G30" s="33" t="n">
        <x:v>284</x:v>
      </x:c>
      <x:c r="H30" s="26" t="n">
        <x:v>0.34761321909424725</x:v>
      </x:c>
      <x:c r="I30" s="12" t="n">
        <x:v>3</x:v>
      </x:c>
      <x:c r="J30" s="12" t="n">
        <x:v>86</x:v>
      </x:c>
      <x:c r="K30" s="12"/>
      <x:c r="L30" s="12"/>
      <x:c r="M30" s="12" t="str">
        <x:f>IF(K30="", "", MAX(0,IF(K30&lt;=20,100,IF(K30&lt;=30,85,IF(K30&lt;=40,70,IF(K30&lt;=50,55,IF(K30&lt;=60,40,20)))))-MIN(L30*5,20)))</x:f>
      </x:c>
      <x:c r="N30" s="12"/>
      <x:c r="O30" s="12"/>
      <x:c r="P30" s="12" t="str">
        <x:f>IF(OR(H30="",J30="",M30=""),"",ROUND(PERCENTRANK.INC($H$2:$H$941,H30)*35+J30*0.35+M30*0.30,0))</x:f>
      </x:c>
      <x:c r="Q30" s="12" t="str">
        <x:f>IF(P30="","",IF(P30&gt;=80,"ATTACK",IF(P30&gt;=65,"GROW",IF(P30&gt;=50,"PARTNER","WATCH"))))</x:f>
      </x:c>
      <x:c r="R30" s="12" t="str">
        <x:f>IF(Q30="","",IF(Q30="ATTACK","Grassroots + family acquisition",IF(Q30="GROW","Test local campaign",IF(Q30="PARTNER","Organisation-first partnership","Low priority / validate"))))</x:f>
      </x:c>
      <x:c r="S30" s="45" t="n">
        <x:v>2.87001865838008</x:v>
      </x:c>
      <x:c r="T30" t="str">
        <x:v>CORE</x:v>
      </x:c>
      <x:c r="U30" s="32" t="n">
        <x:f>PERCENTRANK.INC($G$2:$G$941,G30)</x:f>
        <x:v>0.912</x:v>
      </x:c>
      <x:c r="V30" s="32" t="n">
        <x:f>PERCENTRANK.INC($H$2:$H$941,H30)</x:f>
        <x:v>0.671</x:v>
      </x:c>
      <x:c r="W30" t="n">
        <x:f>ROUND((U30*55+V30*45)*IF(S30&lt;=5,1,IF(S30&lt;=10,0.95,IF(S30&lt;=20,0.85,0.70))),0)</x:f>
        <x:v>80</x:v>
      </x:c>
      <x:c r="X30" t="n">
        <x:v>83</x:v>
      </x:c>
      <x:c r="Y30" t="str">
        <x:v>ATTACK</x:v>
      </x:c>
      <x:c r="Z30" s="12" t="str">
        <x:v>Family + verified grassroots + straight-line geo only; transport not yet routed</x:v>
      </x:c>
      <x:c r="AA30" s="12"/>
      <x:c r="AB30" s="12"/>
      <x:c r="AC30" s="12"/>
      <x:c r="AD30" s="12"/>
      <x:c r="AE30" t="str">
        <x:v>Charlton Athletic Women</x:v>
      </x:c>
      <x:c r="AF30" s="45" t="n">
        <x:v>9.465514009460046</x:v>
      </x:c>
      <x:c r="AG30" t="str">
        <x:v>Dulwich Hamlet Women</x:v>
      </x:c>
      <x:c r="AH30" s="45" t="n">
        <x:v>11.673247055220733</x:v>
      </x:c>
      <x:c r="AI30" t="n">
        <x:v>65</x:v>
      </x:c>
      <x:c r="AJ30" t="str">
        <x:v>MEDIUM</x:v>
      </x:c>
    </x:row>
    <x:row r="31">
      <x:c r="A31" s="12" t="str">
        <x:v>E01000694</x:v>
      </x:c>
      <x:c r="B31" s="12" t="str">
        <x:v>Bromley 007C</x:v>
      </x:c>
      <x:c r="C31" s="12" t="str">
        <x:v>Bromley</x:v>
      </x:c>
      <x:c r="D31" s="44" t="n">
        <x:v>51.419191765265495</x:v>
      </x:c>
      <x:c r="E31" s="44" t="n">
        <x:v>0.05130159915630972</x:v>
      </x:c>
      <x:c r="F31" s="33" t="n">
        <x:v>887</x:v>
      </x:c>
      <x:c r="G31" s="33" t="n">
        <x:v>331</x:v>
      </x:c>
      <x:c r="H31" s="26" t="n">
        <x:v>0.37316798196166856</x:v>
      </x:c>
      <x:c r="I31" s="12" t="n">
        <x:v>4</x:v>
      </x:c>
      <x:c r="J31" s="12" t="n">
        <x:v>86</x:v>
      </x:c>
      <x:c r="K31" s="12"/>
      <x:c r="L31" s="12"/>
      <x:c r="M31" s="12" t="str">
        <x:f>IF(K31="", "", MAX(0,IF(K31&lt;=20,100,IF(K31&lt;=30,85,IF(K31&lt;=40,70,IF(K31&lt;=50,55,IF(K31&lt;=60,40,20)))))-MIN(L31*5,20)))</x:f>
      </x:c>
      <x:c r="N31" s="12"/>
      <x:c r="O31" s="12"/>
      <x:c r="P31" s="12" t="str">
        <x:f>IF(OR(H31="",J31="",M31=""),"",ROUND(PERCENTRANK.INC($H$2:$H$941,H31)*35+J31*0.35+M31*0.30,0))</x:f>
      </x:c>
      <x:c r="Q31" s="12" t="str">
        <x:f>IF(P31="","",IF(P31&gt;=80,"ATTACK",IF(P31&gt;=65,"GROW",IF(P31&gt;=50,"PARTNER","WATCH"))))</x:f>
      </x:c>
      <x:c r="R31" s="12" t="str">
        <x:f>IF(Q31="","",IF(Q31="ATTACK","Grassroots + family acquisition",IF(Q31="GROW","Test local campaign",IF(Q31="PARTNER","Organisation-first partnership","Low priority / validate"))))</x:f>
      </x:c>
      <x:c r="S31" s="45" t="n">
        <x:v>3.9073338136248394</x:v>
      </x:c>
      <x:c r="T31" t="str">
        <x:v>CORE</x:v>
      </x:c>
      <x:c r="U31" s="32" t="n">
        <x:f>PERCENTRANK.INC($G$2:$G$941,G31)</x:f>
        <x:v>0.977</x:v>
      </x:c>
      <x:c r="V31" s="32" t="n">
        <x:f>PERCENTRANK.INC($H$2:$H$941,H31)</x:f>
        <x:v>0.808</x:v>
      </x:c>
      <x:c r="W31" t="n">
        <x:f>ROUND((U31*55+V31*45)*IF(S31&lt;=5,1,IF(S31&lt;=10,0.95,IF(S31&lt;=20,0.85,0.70))),0)</x:f>
        <x:v>90</x:v>
      </x:c>
      <x:c r="X31" t="n">
        <x:v>88</x:v>
      </x:c>
      <x:c r="Y31" t="str">
        <x:v>ATTACK</x:v>
      </x:c>
      <x:c r="Z31" s="12" t="str">
        <x:v>Family + verified grassroots + straight-line geo only; transport not yet routed</x:v>
      </x:c>
      <x:c r="AA31" s="12"/>
      <x:c r="AB31" s="12"/>
      <x:c r="AC31" s="12"/>
      <x:c r="AD31" s="12"/>
      <x:c r="AE31" t="str">
        <x:v>Charlton Athletic Women</x:v>
      </x:c>
      <x:c r="AF31" s="45" t="n">
        <x:v>7.546612298317112</x:v>
      </x:c>
      <x:c r="AG31" t="str">
        <x:v>Dulwich Hamlet Women</x:v>
      </x:c>
      <x:c r="AH31" s="45" t="n">
        <x:v>10.48158070898356</x:v>
      </x:c>
      <x:c r="AI31" t="n">
        <x:v>65</x:v>
      </x:c>
      <x:c r="AJ31" t="str">
        <x:v>MEDIUM</x:v>
      </x:c>
    </x:row>
    <x:row r="32">
      <x:c r="A32" s="12" t="str">
        <x:v>E01000695</x:v>
      </x:c>
      <x:c r="B32" s="12" t="str">
        <x:v>Bromley 007D</x:v>
      </x:c>
      <x:c r="C32" s="12" t="str">
        <x:v>Bromley</x:v>
      </x:c>
      <x:c r="D32" s="44" t="n">
        <x:v>51.416981184094055</x:v>
      </x:c>
      <x:c r="E32" s="44" t="n">
        <x:v>0.05920783692439173</x:v>
      </x:c>
      <x:c r="F32" s="33" t="n">
        <x:v>620</x:v>
      </x:c>
      <x:c r="G32" s="33" t="n">
        <x:v>186</x:v>
      </x:c>
      <x:c r="H32" s="26" t="n">
        <x:v>0.3</x:v>
      </x:c>
      <x:c r="I32" s="12" t="n">
        <x:v>3</x:v>
      </x:c>
      <x:c r="J32" s="12" t="n">
        <x:v>70</x:v>
      </x:c>
      <x:c r="K32" s="12"/>
      <x:c r="L32" s="12"/>
      <x:c r="M32" s="12" t="str">
        <x:f>IF(K32="", "", MAX(0,IF(K32&lt;=20,100,IF(K32&lt;=30,85,IF(K32&lt;=40,70,IF(K32&lt;=50,55,IF(K32&lt;=60,40,20)))))-MIN(L32*5,20)))</x:f>
      </x:c>
      <x:c r="N32" s="12"/>
      <x:c r="O32" s="12"/>
      <x:c r="P32" s="12" t="str">
        <x:f>IF(OR(H32="",J32="",M32=""),"",ROUND(PERCENTRANK.INC($H$2:$H$941,H32)*35+J32*0.35+M32*0.30,0))</x:f>
      </x:c>
      <x:c r="Q32" s="12" t="str">
        <x:f>IF(P32="","",IF(P32&gt;=80,"ATTACK",IF(P32&gt;=65,"GROW",IF(P32&gt;=50,"PARTNER","WATCH"))))</x:f>
      </x:c>
      <x:c r="R32" s="12" t="str">
        <x:f>IF(Q32="","",IF(Q32="ATTACK","Grassroots + family acquisition",IF(Q32="GROW","Test local campaign",IF(Q32="PARTNER","Organisation-first partnership","Low priority / validate"))))</x:f>
      </x:c>
      <x:c r="S32" s="45" t="n">
        <x:v>4.079527531028535</x:v>
      </x:c>
      <x:c r="T32" t="str">
        <x:v>CORE</x:v>
      </x:c>
      <x:c r="U32" s="32" t="n">
        <x:f>PERCENTRANK.INC($G$2:$G$941,G32)</x:f>
        <x:v>0.277</x:v>
      </x:c>
      <x:c r="V32" s="32" t="n">
        <x:f>PERCENTRANK.INC($H$2:$H$941,H32)</x:f>
        <x:v>0.394</x:v>
      </x:c>
      <x:c r="W32" t="n">
        <x:f>ROUND((U32*55+V32*45)*IF(S32&lt;=5,1,IF(S32&lt;=10,0.95,IF(S32&lt;=20,0.85,0.70))),0)</x:f>
        <x:v>33</x:v>
      </x:c>
      <x:c r="X32" t="n">
        <x:v>50</x:v>
      </x:c>
      <x:c r="Y32" t="str">
        <x:v>PARTNER</x:v>
      </x:c>
      <x:c r="Z32" s="12" t="str">
        <x:v>Family + verified grassroots + straight-line geo only; transport not yet routed</x:v>
      </x:c>
      <x:c r="AA32" s="12"/>
      <x:c r="AB32" s="12"/>
      <x:c r="AC32" s="12"/>
      <x:c r="AD32" s="12"/>
      <x:c r="AE32" t="str">
        <x:v>Charlton Athletic Women</x:v>
      </x:c>
      <x:c r="AF32" s="45" t="n">
        <x:v>7.882657964153495</x:v>
      </x:c>
      <x:c r="AG32" t="str">
        <x:v>Dulwich Hamlet Women</x:v>
      </x:c>
      <x:c r="AH32" s="45" t="n">
        <x:v>11.081897867301292</x:v>
      </x:c>
      <x:c r="AI32" t="n">
        <x:v>65</x:v>
      </x:c>
      <x:c r="AJ32" t="str">
        <x:v>MEDIUM</x:v>
      </x:c>
    </x:row>
    <x:row r="33">
      <x:c r="A33" s="12" t="str">
        <x:v>E01000696</x:v>
      </x:c>
      <x:c r="B33" s="12" t="str">
        <x:v>Bromley 007E</x:v>
      </x:c>
      <x:c r="C33" s="12" t="str">
        <x:v>Bromley</x:v>
      </x:c>
      <x:c r="D33" s="44" t="n">
        <x:v>51.41115695718722</x:v>
      </x:c>
      <x:c r="E33" s="44" t="n">
        <x:v>0.07127221519727556</x:v>
      </x:c>
      <x:c r="F33" s="33" t="n">
        <x:v>690</x:v>
      </x:c>
      <x:c r="G33" s="33" t="n">
        <x:v>181</x:v>
      </x:c>
      <x:c r="H33" s="26" t="n">
        <x:v>0.26231884057971017</x:v>
      </x:c>
      <x:c r="I33" s="12" t="n">
        <x:v>3</x:v>
      </x:c>
      <x:c r="J33" s="12" t="n">
        <x:v>78</x:v>
      </x:c>
      <x:c r="K33" s="12"/>
      <x:c r="L33" s="12"/>
      <x:c r="M33" s="12" t="str">
        <x:f>IF(K33="", "", MAX(0,IF(K33&lt;=20,100,IF(K33&lt;=30,85,IF(K33&lt;=40,70,IF(K33&lt;=50,55,IF(K33&lt;=60,40,20)))))-MIN(L33*5,20)))</x:f>
      </x:c>
      <x:c r="N33" s="12"/>
      <x:c r="O33" s="12"/>
      <x:c r="P33" s="12" t="str">
        <x:f>IF(OR(H33="",J33="",M33=""),"",ROUND(PERCENTRANK.INC($H$2:$H$941,H33)*35+J33*0.35+M33*0.30,0))</x:f>
      </x:c>
      <x:c r="Q33" s="12" t="str">
        <x:f>IF(P33="","",IF(P33&gt;=80,"ATTACK",IF(P33&gt;=65,"GROW",IF(P33&gt;=50,"PARTNER","WATCH"))))</x:f>
      </x:c>
      <x:c r="R33" s="12" t="str">
        <x:f>IF(Q33="","",IF(Q33="ATTACK","Grassroots + family acquisition",IF(Q33="GROW","Test local campaign",IF(Q33="PARTNER","Organisation-first partnership","Low priority / validate"))))</x:f>
      </x:c>
      <x:c r="S33" s="45" t="n">
        <x:v>4.340241568985936</x:v>
      </x:c>
      <x:c r="T33" t="str">
        <x:v>CORE</x:v>
      </x:c>
      <x:c r="U33" s="32" t="n">
        <x:f>PERCENTRANK.INC($G$2:$G$941,G33)</x:f>
        <x:v>0.23</x:v>
      </x:c>
      <x:c r="V33" s="32" t="n">
        <x:f>PERCENTRANK.INC($H$2:$H$941,H33)</x:f>
        <x:v>0.23</x:v>
      </x:c>
      <x:c r="W33" t="n">
        <x:f>ROUND((U33*55+V33*45)*IF(S33&lt;=5,1,IF(S33&lt;=10,0.95,IF(S33&lt;=20,0.85,0.70))),0)</x:f>
        <x:v>23</x:v>
      </x:c>
      <x:c r="X33" t="n">
        <x:v>48</x:v>
      </x:c>
      <x:c r="Y33" t="str">
        <x:v>WATCH</x:v>
      </x:c>
      <x:c r="Z33" s="12" t="str">
        <x:v>Family + verified grassroots + straight-line geo only; transport not yet routed</x:v>
      </x:c>
      <x:c r="AA33" s="12"/>
      <x:c r="AB33" s="12"/>
      <x:c r="AC33" s="12"/>
      <x:c r="AD33" s="12"/>
      <x:c r="AE33" t="str">
        <x:v>Charlton Athletic Women</x:v>
      </x:c>
      <x:c r="AF33" s="45" t="n">
        <x:v>8.713486868146605</x:v>
      </x:c>
      <x:c r="AG33" t="str">
        <x:v>Dulwich Hamlet Women</x:v>
      </x:c>
      <x:c r="AH33" s="45" t="n">
        <x:v>12.12131739721758</x:v>
      </x:c>
      <x:c r="AI33" t="n">
        <x:v>65</x:v>
      </x:c>
      <x:c r="AJ33" t="str">
        <x:v>MEDIUM</x:v>
      </x:c>
    </x:row>
    <x:row r="34">
      <x:c r="A34" s="12" t="str">
        <x:v>E01000697</x:v>
      </x:c>
      <x:c r="B34" s="12" t="str">
        <x:v>Bromley 007F</x:v>
      </x:c>
      <x:c r="C34" s="12" t="str">
        <x:v>Bromley</x:v>
      </x:c>
      <x:c r="D34" s="44" t="n">
        <x:v>51.40841301774316</x:v>
      </x:c>
      <x:c r="E34" s="44" t="n">
        <x:v>0.05824202652980217</x:v>
      </x:c>
      <x:c r="F34" s="33" t="n">
        <x:v>779</x:v>
      </x:c>
      <x:c r="G34" s="33" t="n">
        <x:v>230</x:v>
      </x:c>
      <x:c r="H34" s="26" t="n">
        <x:v>0.2952503209242619</x:v>
      </x:c>
      <x:c r="I34" s="12" t="n">
        <x:v>3</x:v>
      </x:c>
      <x:c r="J34" s="12" t="n">
        <x:v>86</x:v>
      </x:c>
      <x:c r="K34" s="12"/>
      <x:c r="L34" s="12"/>
      <x:c r="M34" s="12" t="str">
        <x:f>IF(K34="", "", MAX(0,IF(K34&lt;=20,100,IF(K34&lt;=30,85,IF(K34&lt;=40,70,IF(K34&lt;=50,55,IF(K34&lt;=60,40,20)))))-MIN(L34*5,20)))</x:f>
      </x:c>
      <x:c r="N34" s="12"/>
      <x:c r="O34" s="12"/>
      <x:c r="P34" s="12" t="str">
        <x:f>IF(OR(H34="",J34="",M34=""),"",ROUND(PERCENTRANK.INC($H$2:$H$941,H34)*35+J34*0.35+M34*0.30,0))</x:f>
      </x:c>
      <x:c r="Q34" s="12" t="str">
        <x:f>IF(P34="","",IF(P34&gt;=80,"ATTACK",IF(P34&gt;=65,"GROW",IF(P34&gt;=50,"PARTNER","WATCH"))))</x:f>
      </x:c>
      <x:c r="R34" s="12" t="str">
        <x:f>IF(Q34="","",IF(Q34="ATTACK","Grassroots + family acquisition",IF(Q34="GROW","Test local campaign",IF(Q34="PARTNER","Organisation-first partnership","Low priority / validate"))))</x:f>
      </x:c>
      <x:c r="S34" s="45" t="n">
        <x:v>3.415004745190577</x:v>
      </x:c>
      <x:c r="T34" t="str">
        <x:v>CORE</x:v>
      </x:c>
      <x:c r="U34" s="32" t="n">
        <x:f>PERCENTRANK.INC($G$2:$G$941,G34)</x:f>
        <x:v>0.632</x:v>
      </x:c>
      <x:c r="V34" s="32" t="n">
        <x:f>PERCENTRANK.INC($H$2:$H$941,H34)</x:f>
        <x:v>0.37</x:v>
      </x:c>
      <x:c r="W34" t="n">
        <x:f>ROUND((U34*55+V34*45)*IF(S34&lt;=5,1,IF(S34&lt;=10,0.95,IF(S34&lt;=20,0.85,0.70))),0)</x:f>
        <x:v>51</x:v>
      </x:c>
      <x:c r="X34" t="n">
        <x:v>67</x:v>
      </x:c>
      <x:c r="Y34" t="str">
        <x:v>GROW</x:v>
      </x:c>
      <x:c r="Z34" s="12" t="str">
        <x:v>Family + verified grassroots + straight-line geo only; transport not yet routed</x:v>
      </x:c>
      <x:c r="AA34" s="12"/>
      <x:c r="AB34" s="12"/>
      <x:c r="AC34" s="12"/>
      <x:c r="AD34" s="12"/>
      <x:c r="AE34" t="str">
        <x:v>Charlton Athletic Women</x:v>
      </x:c>
      <x:c r="AF34" s="45" t="n">
        <x:v>8.805878219131714</x:v>
      </x:c>
      <x:c r="AG34" t="str">
        <x:v>Dulwich Hamlet Women</x:v>
      </x:c>
      <x:c r="AH34" s="45" t="n">
        <x:v>11.480617041938006</x:v>
      </x:c>
      <x:c r="AI34" t="n">
        <x:v>65</x:v>
      </x:c>
      <x:c r="AJ34" t="str">
        <x:v>MEDIUM</x:v>
      </x:c>
    </x:row>
    <x:row r="35">
      <x:c r="A35" s="12" t="str">
        <x:v>E01000674</x:v>
      </x:c>
      <x:c r="B35" s="12" t="str">
        <x:v>Bromley 008A</x:v>
      </x:c>
      <x:c r="C35" s="12" t="str">
        <x:v>Bromley</x:v>
      </x:c>
      <x:c r="D35" s="44" t="n">
        <x:v>51.41074838429235</x:v>
      </x:c>
      <x:c r="E35" s="44" t="n">
        <x:v>0.00740276845028937</x:v>
      </x:c>
      <x:c r="F35" s="33" t="n">
        <x:v>800</x:v>
      </x:c>
      <x:c r="G35" s="33" t="n">
        <x:v>224</x:v>
      </x:c>
      <x:c r="H35" s="26" t="n">
        <x:v>0.28</x:v>
      </x:c>
      <x:c r="I35" s="12" t="n">
        <x:v>4</x:v>
      </x:c>
      <x:c r="J35" s="12" t="n">
        <x:v>85</x:v>
      </x:c>
      <x:c r="K35" s="12"/>
      <x:c r="L35" s="12"/>
      <x:c r="M35" s="12" t="str">
        <x:f>IF(K35="", "", MAX(0,IF(K35&lt;=20,100,IF(K35&lt;=30,85,IF(K35&lt;=40,70,IF(K35&lt;=50,55,IF(K35&lt;=60,40,20)))))-MIN(L35*5,20)))</x:f>
      </x:c>
      <x:c r="N35" s="12"/>
      <x:c r="O35" s="12"/>
      <x:c r="P35" s="12" t="str">
        <x:f>IF(OR(H35="",J35="",M35=""),"",ROUND(PERCENTRANK.INC($H$2:$H$941,H35)*35+J35*0.35+M35*0.30,0))</x:f>
      </x:c>
      <x:c r="Q35" s="12" t="str">
        <x:f>IF(P35="","",IF(P35&gt;=80,"ATTACK",IF(P35&gt;=65,"GROW",IF(P35&gt;=50,"PARTNER","WATCH"))))</x:f>
      </x:c>
      <x:c r="R35" s="12" t="str">
        <x:f>IF(Q35="","",IF(Q35="ATTACK","Grassroots + family acquisition",IF(Q35="GROW","Test local campaign",IF(Q35="PARTNER","Organisation-first partnership","Low priority / validate"))))</x:f>
      </x:c>
      <x:c r="S35" s="45" t="n">
        <x:v>2.31109359471348</x:v>
      </x:c>
      <x:c r="T35" t="str">
        <x:v>CORE</x:v>
      </x:c>
      <x:c r="U35" s="32" t="n">
        <x:f>PERCENTRANK.INC($G$2:$G$941,G35)</x:f>
        <x:v>0.576</x:v>
      </x:c>
      <x:c r="V35" s="32" t="n">
        <x:f>PERCENTRANK.INC($H$2:$H$941,H35)</x:f>
        <x:v>0.294</x:v>
      </x:c>
      <x:c r="W35" t="n">
        <x:f>ROUND((U35*55+V35*45)*IF(S35&lt;=5,1,IF(S35&lt;=10,0.95,IF(S35&lt;=20,0.85,0.70))),0)</x:f>
        <x:v>45</x:v>
      </x:c>
      <x:c r="X35" t="n">
        <x:v>63</x:v>
      </x:c>
      <x:c r="Y35" t="str">
        <x:v>PARTNER</x:v>
      </x:c>
      <x:c r="Z35" s="12" t="str">
        <x:v>Family + verified grassroots + straight-line geo only; transport not yet routed</x:v>
      </x:c>
      <x:c r="AA35" s="12"/>
      <x:c r="AB35" s="12"/>
      <x:c r="AC35" s="12"/>
      <x:c r="AD35" s="12"/>
      <x:c r="AE35" t="str">
        <x:v>Crystal Palace Women</x:v>
      </x:c>
      <x:c r="AF35" s="45" t="n">
        <x:v>6.56796459618884</x:v>
      </x:c>
      <x:c r="AG35" t="str">
        <x:v>Dulwich Hamlet Women</x:v>
      </x:c>
      <x:c r="AH35" s="45" t="n">
        <x:v>8.470347858294026</x:v>
      </x:c>
      <x:c r="AI35" t="n">
        <x:v>70</x:v>
      </x:c>
      <x:c r="AJ35" t="str">
        <x:v>MEDIUM</x:v>
      </x:c>
    </x:row>
    <x:row r="36">
      <x:c r="A36" s="12" t="str">
        <x:v>E01000676</x:v>
      </x:c>
      <x:c r="B36" s="12" t="str">
        <x:v>Bromley 008B</x:v>
      </x:c>
      <x:c r="C36" s="12" t="str">
        <x:v>Bromley</x:v>
      </x:c>
      <x:c r="D36" s="44" t="n">
        <x:v>51.408579897607716</x:v>
      </x:c>
      <x:c r="E36" s="44" t="n">
        <x:v>0.013448981419079457</x:v>
      </x:c>
      <x:c r="F36" s="33" t="n">
        <x:v>967</x:v>
      </x:c>
      <x:c r="G36" s="33" t="n">
        <x:v>250</x:v>
      </x:c>
      <x:c r="H36" s="26" t="n">
        <x:v>0.25853154084798347</x:v>
      </x:c>
      <x:c r="I36" s="12" t="n">
        <x:v>4</x:v>
      </x:c>
      <x:c r="J36" s="12" t="n">
        <x:v>94</x:v>
      </x:c>
      <x:c r="K36" s="12"/>
      <x:c r="L36" s="12"/>
      <x:c r="M36" s="12" t="str">
        <x:f>IF(K36="", "", MAX(0,IF(K36&lt;=20,100,IF(K36&lt;=30,85,IF(K36&lt;=40,70,IF(K36&lt;=50,55,IF(K36&lt;=60,40,20)))))-MIN(L36*5,20)))</x:f>
      </x:c>
      <x:c r="N36" s="12"/>
      <x:c r="O36" s="12"/>
      <x:c r="P36" s="12" t="str">
        <x:f>IF(OR(H36="",J36="",M36=""),"",ROUND(PERCENTRANK.INC($H$2:$H$941,H36)*35+J36*0.35+M36*0.30,0))</x:f>
      </x:c>
      <x:c r="Q36" s="12" t="str">
        <x:f>IF(P36="","",IF(P36&gt;=80,"ATTACK",IF(P36&gt;=65,"GROW",IF(P36&gt;=50,"PARTNER","WATCH"))))</x:f>
      </x:c>
      <x:c r="R36" s="12" t="str">
        <x:f>IF(Q36="","",IF(Q36="ATTACK","Grassroots + family acquisition",IF(Q36="GROW","Test local campaign",IF(Q36="PARTNER","Organisation-first partnership","Low priority / validate"))))</x:f>
      </x:c>
      <x:c r="S36" s="45" t="n">
        <x:v>1.9787806447693936</x:v>
      </x:c>
      <x:c r="T36" t="str">
        <x:v>CORE</x:v>
      </x:c>
      <x:c r="U36" s="32" t="n">
        <x:f>PERCENTRANK.INC($G$2:$G$941,G36)</x:f>
        <x:v>0.782</x:v>
      </x:c>
      <x:c r="V36" s="32" t="n">
        <x:f>PERCENTRANK.INC($H$2:$H$941,H36)</x:f>
        <x:v>0.21</x:v>
      </x:c>
      <x:c r="W36" t="n">
        <x:f>ROUND((U36*55+V36*45)*IF(S36&lt;=5,1,IF(S36&lt;=10,0.95,IF(S36&lt;=20,0.85,0.70))),0)</x:f>
        <x:v>52</x:v>
      </x:c>
      <x:c r="X36" t="n">
        <x:v>71</x:v>
      </x:c>
      <x:c r="Y36" t="str">
        <x:v>GROW</x:v>
      </x:c>
      <x:c r="Z36" s="12" t="str">
        <x:v>Family + verified grassroots + straight-line geo only; transport not yet routed</x:v>
      </x:c>
      <x:c r="AA36" s="12"/>
      <x:c r="AB36" s="12"/>
      <x:c r="AC36" s="12"/>
      <x:c r="AD36" s="12"/>
      <x:c r="AE36" t="str">
        <x:v>Crystal Palace Women</x:v>
      </x:c>
      <x:c r="AF36" s="45" t="n">
        <x:v>6.934757425494427</x:v>
      </x:c>
      <x:c r="AG36" t="str">
        <x:v>Dulwich Hamlet Women</x:v>
      </x:c>
      <x:c r="AH36" s="45" t="n">
        <x:v>8.944508874566763</x:v>
      </x:c>
      <x:c r="AI36" t="n">
        <x:v>70</x:v>
      </x:c>
      <x:c r="AJ36" t="str">
        <x:v>MEDIUM</x:v>
      </x:c>
    </x:row>
    <x:row r="37">
      <x:c r="A37" s="12" t="str">
        <x:v>E01000820</x:v>
      </x:c>
      <x:c r="B37" s="12" t="str">
        <x:v>Bromley 008C</x:v>
      </x:c>
      <x:c r="C37" s="12" t="str">
        <x:v>Bromley</x:v>
      </x:c>
      <x:c r="D37" s="44" t="n">
        <x:v>51.414994850499916</x:v>
      </x:c>
      <x:c r="E37" s="44" t="n">
        <x:v>0.022226174833689844</x:v>
      </x:c>
      <x:c r="F37" s="33" t="n">
        <x:v>703</x:v>
      </x:c>
      <x:c r="G37" s="33" t="n">
        <x:v>223</x:v>
      </x:c>
      <x:c r="H37" s="26" t="n">
        <x:v>0.31721194879089615</x:v>
      </x:c>
      <x:c r="I37" s="12" t="n">
        <x:v>4</x:v>
      </x:c>
      <x:c r="J37" s="12" t="n">
        <x:v>85</x:v>
      </x:c>
      <x:c r="K37" s="12"/>
      <x:c r="L37" s="12"/>
      <x:c r="M37" s="12" t="str">
        <x:f>IF(K37="", "", MAX(0,IF(K37&lt;=20,100,IF(K37&lt;=30,85,IF(K37&lt;=40,70,IF(K37&lt;=50,55,IF(K37&lt;=60,40,20)))))-MIN(L37*5,20)))</x:f>
      </x:c>
      <x:c r="N37" s="12"/>
      <x:c r="O37" s="12"/>
      <x:c r="P37" s="12" t="str">
        <x:f>IF(OR(H37="",J37="",M37=""),"",ROUND(PERCENTRANK.INC($H$2:$H$941,H37)*35+J37*0.35+M37*0.30,0))</x:f>
      </x:c>
      <x:c r="Q37" s="12" t="str">
        <x:f>IF(P37="","",IF(P37&gt;=80,"ATTACK",IF(P37&gt;=65,"GROW",IF(P37&gt;=50,"PARTNER","WATCH"))))</x:f>
      </x:c>
      <x:c r="R37" s="12" t="str">
        <x:f>IF(Q37="","",IF(Q37="ATTACK","Grassroots + family acquisition",IF(Q37="GROW","Test local campaign",IF(Q37="PARTNER","Organisation-first partnership","Low priority / validate"))))</x:f>
      </x:c>
      <x:c r="S37" s="45" t="n">
        <x:v>2.688205142170312</x:v>
      </x:c>
      <x:c r="T37" t="str">
        <x:v>CORE</x:v>
      </x:c>
      <x:c r="U37" s="32" t="n">
        <x:f>PERCENTRANK.INC($G$2:$G$941,G37)</x:f>
        <x:v>0.567</x:v>
      </x:c>
      <x:c r="V37" s="32" t="n">
        <x:f>PERCENTRANK.INC($H$2:$H$941,H37)</x:f>
        <x:v>0.496</x:v>
      </x:c>
      <x:c r="W37" t="n">
        <x:f>ROUND((U37*55+V37*45)*IF(S37&lt;=5,1,IF(S37&lt;=10,0.95,IF(S37&lt;=20,0.85,0.70))),0)</x:f>
        <x:v>54</x:v>
      </x:c>
      <x:c r="X37" t="n">
        <x:v>68</x:v>
      </x:c>
      <x:c r="Y37" t="str">
        <x:v>GROW</x:v>
      </x:c>
      <x:c r="Z37" s="12" t="str">
        <x:v>Family + verified grassroots + straight-line geo only; transport not yet routed</x:v>
      </x:c>
      <x:c r="AA37" s="12"/>
      <x:c r="AB37" s="12"/>
      <x:c r="AC37" s="12"/>
      <x:c r="AD37" s="12"/>
      <x:c r="AE37" t="str">
        <x:v>Crystal Palace Women</x:v>
      </x:c>
      <x:c r="AF37" s="45" t="n">
        <x:v>7.676260167475235</x:v>
      </x:c>
      <x:c r="AG37" t="str">
        <x:v>Dulwich Hamlet Women</x:v>
      </x:c>
      <x:c r="AH37" s="45" t="n">
        <x:v>8.984853473625709</x:v>
      </x:c>
      <x:c r="AI37" t="n">
        <x:v>70</x:v>
      </x:c>
      <x:c r="AJ37" t="str">
        <x:v>MEDIUM</x:v>
      </x:c>
    </x:row>
    <x:row r="38">
      <x:c r="A38" s="12" t="str">
        <x:v>E01000822</x:v>
      </x:c>
      <x:c r="B38" s="12" t="str">
        <x:v>Bromley 008D</x:v>
      </x:c>
      <x:c r="C38" s="12" t="str">
        <x:v>Bromley</x:v>
      </x:c>
      <x:c r="D38" s="44" t="n">
        <x:v>51.413668837495294</x:v>
      </x:c>
      <x:c r="E38" s="44" t="n">
        <x:v>0.011551948305188414</x:v>
      </x:c>
      <x:c r="F38" s="33" t="n">
        <x:v>710</x:v>
      </x:c>
      <x:c r="G38" s="33" t="n">
        <x:v>249</x:v>
      </x:c>
      <x:c r="H38" s="26" t="n">
        <x:v>0.35070422535211265</x:v>
      </x:c>
      <x:c r="I38" s="12" t="n">
        <x:v>4</x:v>
      </x:c>
      <x:c r="J38" s="12" t="n">
        <x:v>92</x:v>
      </x:c>
      <x:c r="K38" s="12"/>
      <x:c r="L38" s="12"/>
      <x:c r="M38" s="12" t="str">
        <x:f>IF(K38="", "", MAX(0,IF(K38&lt;=20,100,IF(K38&lt;=30,85,IF(K38&lt;=40,70,IF(K38&lt;=50,55,IF(K38&lt;=60,40,20)))))-MIN(L38*5,20)))</x:f>
      </x:c>
      <x:c r="N38" s="12"/>
      <x:c r="O38" s="12"/>
      <x:c r="P38" s="12" t="str">
        <x:f>IF(OR(H38="",J38="",M38=""),"",ROUND(PERCENTRANK.INC($H$2:$H$941,H38)*35+J38*0.35+M38*0.30,0))</x:f>
      </x:c>
      <x:c r="Q38" s="12" t="str">
        <x:f>IF(P38="","",IF(P38&gt;=80,"ATTACK",IF(P38&gt;=65,"GROW",IF(P38&gt;=50,"PARTNER","WATCH"))))</x:f>
      </x:c>
      <x:c r="R38" s="12" t="str">
        <x:f>IF(Q38="","",IF(Q38="ATTACK","Grassroots + family acquisition",IF(Q38="GROW","Test local campaign",IF(Q38="PARTNER","Organisation-first partnership","Low priority / validate"))))</x:f>
      </x:c>
      <x:c r="S38" s="45" t="n">
        <x:v>2.558357917999569</x:v>
      </x:c>
      <x:c r="T38" t="str">
        <x:v>CORE</x:v>
      </x:c>
      <x:c r="U38" s="32" t="n">
        <x:f>PERCENTRANK.INC($G$2:$G$941,G38)</x:f>
        <x:v>0.766</x:v>
      </x:c>
      <x:c r="V38" s="32" t="n">
        <x:f>PERCENTRANK.INC($H$2:$H$941,H38)</x:f>
        <x:v>0.692</x:v>
      </x:c>
      <x:c r="W38" t="n">
        <x:f>ROUND((U38*55+V38*45)*IF(S38&lt;=5,1,IF(S38&lt;=10,0.95,IF(S38&lt;=20,0.85,0.70))),0)</x:f>
        <x:v>73</x:v>
      </x:c>
      <x:c r="X38" t="n">
        <x:v>82</x:v>
      </x:c>
      <x:c r="Y38" t="str">
        <x:v>ATTACK</x:v>
      </x:c>
      <x:c r="Z38" s="12" t="str">
        <x:v>Family + verified grassroots + straight-line geo only; transport not yet routed</x:v>
      </x:c>
      <x:c r="AA38" s="12"/>
      <x:c r="AB38" s="12"/>
      <x:c r="AC38" s="12"/>
      <x:c r="AD38" s="12"/>
      <x:c r="AE38" t="str">
        <x:v>Crystal Palace Women</x:v>
      </x:c>
      <x:c r="AF38" s="45" t="n">
        <x:v>6.922390470317156</x:v>
      </x:c>
      <x:c r="AG38" t="str">
        <x:v>Dulwich Hamlet Women</x:v>
      </x:c>
      <x:c r="AH38" s="45" t="n">
        <x:v>8.480781241098889</x:v>
      </x:c>
      <x:c r="AI38" t="n">
        <x:v>70</x:v>
      </x:c>
      <x:c r="AJ38" t="str">
        <x:v>MEDIUM</x:v>
      </x:c>
    </x:row>
    <x:row r="39">
      <x:c r="A39" s="12" t="str">
        <x:v>E01000823</x:v>
      </x:c>
      <x:c r="B39" s="12" t="str">
        <x:v>Bromley 008E</x:v>
      </x:c>
      <x:c r="C39" s="12" t="str">
        <x:v>Bromley</x:v>
      </x:c>
      <x:c r="D39" s="44" t="n">
        <x:v>51.41213557596899</x:v>
      </x:c>
      <x:c r="E39" s="44" t="n">
        <x:v>0.020151992569264265</x:v>
      </x:c>
      <x:c r="F39" s="33" t="n">
        <x:v>734</x:v>
      </x:c>
      <x:c r="G39" s="33" t="n">
        <x:v>232</x:v>
      </x:c>
      <x:c r="H39" s="26" t="n">
        <x:v>0.31607629427792916</x:v>
      </x:c>
      <x:c r="I39" s="12" t="n">
        <x:v>4</x:v>
      </x:c>
      <x:c r="J39" s="12" t="n">
        <x:v>85</x:v>
      </x:c>
      <x:c r="K39" s="12"/>
      <x:c r="L39" s="12"/>
      <x:c r="M39" s="12" t="str">
        <x:f>IF(K39="", "", MAX(0,IF(K39&lt;=20,100,IF(K39&lt;=30,85,IF(K39&lt;=40,70,IF(K39&lt;=50,55,IF(K39&lt;=60,40,20)))))-MIN(L39*5,20)))</x:f>
      </x:c>
      <x:c r="N39" s="12"/>
      <x:c r="O39" s="12"/>
      <x:c r="P39" s="12" t="str">
        <x:f>IF(OR(H39="",J39="",M39=""),"",ROUND(PERCENTRANK.INC($H$2:$H$941,H39)*35+J39*0.35+M39*0.30,0))</x:f>
      </x:c>
      <x:c r="Q39" s="12" t="str">
        <x:f>IF(P39="","",IF(P39&gt;=80,"ATTACK",IF(P39&gt;=65,"GROW",IF(P39&gt;=50,"PARTNER","WATCH"))))</x:f>
      </x:c>
      <x:c r="R39" s="12" t="str">
        <x:f>IF(Q39="","",IF(Q39="ATTACK","Grassroots + family acquisition",IF(Q39="GROW","Test local campaign",IF(Q39="PARTNER","Organisation-first partnership","Low priority / validate"))))</x:f>
      </x:c>
      <x:c r="S39" s="45" t="n">
        <x:v>2.3580439078094124</x:v>
      </x:c>
      <x:c r="T39" t="str">
        <x:v>CORE</x:v>
      </x:c>
      <x:c r="U39" s="32" t="n">
        <x:f>PERCENTRANK.INC($G$2:$G$941,G39)</x:f>
        <x:v>0.648</x:v>
      </x:c>
      <x:c r="V39" s="32" t="n">
        <x:f>PERCENTRANK.INC($H$2:$H$941,H39)</x:f>
        <x:v>0.489</x:v>
      </x:c>
      <x:c r="W39" t="n">
        <x:f>ROUND((U39*55+V39*45)*IF(S39&lt;=5,1,IF(S39&lt;=10,0.95,IF(S39&lt;=20,0.85,0.70))),0)</x:f>
        <x:v>58</x:v>
      </x:c>
      <x:c r="X39" t="n">
        <x:v>70</x:v>
      </x:c>
      <x:c r="Y39" t="str">
        <x:v>GROW</x:v>
      </x:c>
      <x:c r="Z39" s="12" t="str">
        <x:v>Family + verified grassroots + straight-line geo only; transport not yet routed</x:v>
      </x:c>
      <x:c r="AA39" s="12"/>
      <x:c r="AB39" s="12"/>
      <x:c r="AC39" s="12"/>
      <x:c r="AD39" s="12"/>
      <x:c r="AE39" t="str">
        <x:v>Crystal Palace Women</x:v>
      </x:c>
      <x:c r="AF39" s="45" t="n">
        <x:v>7.464931476391595</x:v>
      </x:c>
      <x:c r="AG39" t="str">
        <x:v>Dulwich Hamlet Women</x:v>
      </x:c>
      <x:c r="AH39" s="45" t="n">
        <x:v>9.056009342914287</x:v>
      </x:c>
      <x:c r="AI39" t="n">
        <x:v>70</x:v>
      </x:c>
      <x:c r="AJ39" t="str">
        <x:v>MEDIUM</x:v>
      </x:c>
    </x:row>
    <x:row r="40">
      <x:c r="A40" s="12" t="str">
        <x:v>E01000824</x:v>
      </x:c>
      <x:c r="B40" s="12" t="str">
        <x:v>Bromley 008F</x:v>
      </x:c>
      <x:c r="C40" s="12" t="str">
        <x:v>Bromley</x:v>
      </x:c>
      <x:c r="D40" s="44" t="n">
        <x:v>51.41170825364365</x:v>
      </x:c>
      <x:c r="E40" s="44" t="n">
        <x:v>0.01354535720121558</x:v>
      </x:c>
      <x:c r="F40" s="33" t="n">
        <x:v>578</x:v>
      </x:c>
      <x:c r="G40" s="33" t="n">
        <x:v>201</x:v>
      </x:c>
      <x:c r="H40" s="26" t="n">
        <x:v>0.3477508650519031</x:v>
      </x:c>
      <x:c r="I40" s="12" t="n">
        <x:v>4</x:v>
      </x:c>
      <x:c r="J40" s="12" t="n">
        <x:v>85</x:v>
      </x:c>
      <x:c r="K40" s="12"/>
      <x:c r="L40" s="12"/>
      <x:c r="M40" s="12" t="str">
        <x:f>IF(K40="", "", MAX(0,IF(K40&lt;=20,100,IF(K40&lt;=30,85,IF(K40&lt;=40,70,IF(K40&lt;=50,55,IF(K40&lt;=60,40,20)))))-MIN(L40*5,20)))</x:f>
      </x:c>
      <x:c r="N40" s="12"/>
      <x:c r="O40" s="12"/>
      <x:c r="P40" s="12" t="str">
        <x:f>IF(OR(H40="",J40="",M40=""),"",ROUND(PERCENTRANK.INC($H$2:$H$941,H40)*35+J40*0.35+M40*0.30,0))</x:f>
      </x:c>
      <x:c r="Q40" s="12" t="str">
        <x:f>IF(P40="","",IF(P40&gt;=80,"ATTACK",IF(P40&gt;=65,"GROW",IF(P40&gt;=50,"PARTNER","WATCH"))))</x:f>
      </x:c>
      <x:c r="R40" s="12" t="str">
        <x:f>IF(Q40="","",IF(Q40="ATTACK","Grassroots + family acquisition",IF(Q40="GROW","Test local campaign",IF(Q40="PARTNER","Organisation-first partnership","Low priority / validate"))))</x:f>
      </x:c>
      <x:c r="S40" s="45" t="n">
        <x:v>2.32247401399712</x:v>
      </x:c>
      <x:c r="T40" t="str">
        <x:v>CORE</x:v>
      </x:c>
      <x:c r="U40" s="32" t="n">
        <x:f>PERCENTRANK.INC($G$2:$G$941,G40)</x:f>
        <x:v>0.396</x:v>
      </x:c>
      <x:c r="V40" s="32" t="n">
        <x:f>PERCENTRANK.INC($H$2:$H$941,H40)</x:f>
        <x:v>0.673</x:v>
      </x:c>
      <x:c r="W40" t="n">
        <x:f>ROUND((U40*55+V40*45)*IF(S40&lt;=5,1,IF(S40&lt;=10,0.95,IF(S40&lt;=20,0.85,0.70))),0)</x:f>
        <x:v>52</x:v>
      </x:c>
      <x:c r="X40" t="n">
        <x:v>67</x:v>
      </x:c>
      <x:c r="Y40" t="str">
        <x:v>GROW</x:v>
      </x:c>
      <x:c r="Z40" s="12" t="str">
        <x:v>Family + verified grassroots + straight-line geo only; transport not yet routed</x:v>
      </x:c>
      <x:c r="AA40" s="12"/>
      <x:c r="AB40" s="12"/>
      <x:c r="AC40" s="12"/>
      <x:c r="AD40" s="12"/>
      <x:c r="AE40" t="str">
        <x:v>Crystal Palace Women</x:v>
      </x:c>
      <x:c r="AF40" s="45" t="n">
        <x:v>7.006921865355724</x:v>
      </x:c>
      <x:c r="AG40" t="str">
        <x:v>Dulwich Hamlet Women</x:v>
      </x:c>
      <x:c r="AH40" s="45" t="n">
        <x:v>8.725389256801323</x:v>
      </x:c>
      <x:c r="AI40" t="n">
        <x:v>70</x:v>
      </x:c>
      <x:c r="AJ40" t="str">
        <x:v>MEDIUM</x:v>
      </x:c>
    </x:row>
    <x:row r="41">
      <x:c r="A41" s="12" t="str">
        <x:v>E01000825</x:v>
      </x:c>
      <x:c r="B41" s="12" t="str">
        <x:v>Bromley 008G</x:v>
      </x:c>
      <x:c r="C41" s="12" t="str">
        <x:v>Bromley</x:v>
      </x:c>
      <x:c r="D41" s="44" t="n">
        <x:v>51.40868599922712</x:v>
      </x:c>
      <x:c r="E41" s="44" t="n">
        <x:v>0.023705461428094904</x:v>
      </x:c>
      <x:c r="F41" s="33" t="n">
        <x:v>814</x:v>
      </x:c>
      <x:c r="G41" s="33" t="n">
        <x:v>224</x:v>
      </x:c>
      <x:c r="H41" s="26" t="n">
        <x:v>0.2751842751842752</x:v>
      </x:c>
      <x:c r="I41" s="12" t="n">
        <x:v>4</x:v>
      </x:c>
      <x:c r="J41" s="12" t="n">
        <x:v>85</x:v>
      </x:c>
      <x:c r="K41" s="12"/>
      <x:c r="L41" s="12"/>
      <x:c r="M41" s="12" t="str">
        <x:f>IF(K41="", "", MAX(0,IF(K41&lt;=20,100,IF(K41&lt;=30,85,IF(K41&lt;=40,70,IF(K41&lt;=50,55,IF(K41&lt;=60,40,20)))))-MIN(L41*5,20)))</x:f>
      </x:c>
      <x:c r="N41" s="12"/>
      <x:c r="O41" s="12"/>
      <x:c r="P41" s="12" t="str">
        <x:f>IF(OR(H41="",J41="",M41=""),"",ROUND(PERCENTRANK.INC($H$2:$H$941,H41)*35+J41*0.35+M41*0.30,0))</x:f>
      </x:c>
      <x:c r="Q41" s="12" t="str">
        <x:f>IF(P41="","",IF(P41&gt;=80,"ATTACK",IF(P41&gt;=65,"GROW",IF(P41&gt;=50,"PARTNER","WATCH"))))</x:f>
      </x:c>
      <x:c r="R41" s="12" t="str">
        <x:f>IF(Q41="","",IF(Q41="ATTACK","Grassroots + family acquisition",IF(Q41="GROW","Test local campaign",IF(Q41="PARTNER","Organisation-first partnership","Low priority / validate"))))</x:f>
      </x:c>
      <x:c r="S41" s="45" t="n">
        <x:v>2.011837728177969</x:v>
      </x:c>
      <x:c r="T41" t="str">
        <x:v>CORE</x:v>
      </x:c>
      <x:c r="U41" s="32" t="n">
        <x:f>PERCENTRANK.INC($G$2:$G$941,G41)</x:f>
        <x:v>0.576</x:v>
      </x:c>
      <x:c r="V41" s="32" t="n">
        <x:f>PERCENTRANK.INC($H$2:$H$941,H41)</x:f>
        <x:v>0.273</x:v>
      </x:c>
      <x:c r="W41" t="n">
        <x:f>ROUND((U41*55+V41*45)*IF(S41&lt;=5,1,IF(S41&lt;=10,0.95,IF(S41&lt;=20,0.85,0.70))),0)</x:f>
        <x:v>44</x:v>
      </x:c>
      <x:c r="X41" t="n">
        <x:v>63</x:v>
      </x:c>
      <x:c r="Y41" t="str">
        <x:v>PARTNER</x:v>
      </x:c>
      <x:c r="Z41" s="12" t="str">
        <x:v>Family + verified grassroots + straight-line geo only; transport not yet routed</x:v>
      </x:c>
      <x:c r="AA41" s="12"/>
      <x:c r="AB41" s="12"/>
      <x:c r="AC41" s="12"/>
      <x:c r="AD41" s="12"/>
      <x:c r="AE41" t="str">
        <x:v>Crystal Palace Women</x:v>
      </x:c>
      <x:c r="AF41" s="45" t="n">
        <x:v>7.639123449157609</x:v>
      </x:c>
      <x:c r="AG41" t="str">
        <x:v>Dulwich Hamlet Women</x:v>
      </x:c>
      <x:c r="AH41" s="45" t="n">
        <x:v>9.485501953373461</x:v>
      </x:c>
      <x:c r="AI41" t="n">
        <x:v>70</x:v>
      </x:c>
      <x:c r="AJ41" t="str">
        <x:v>MEDIUM</x:v>
      </x:c>
    </x:row>
    <x:row r="42">
      <x:c r="A42" s="12" t="str">
        <x:v>E01000743</x:v>
      </x:c>
      <x:c r="B42" s="12" t="str">
        <x:v>Bromley 009A</x:v>
      </x:c>
      <x:c r="C42" s="12" t="str">
        <x:v>Bromley</x:v>
      </x:c>
      <x:c r="D42" s="44" t="n">
        <x:v>51.41015637532818</x:v>
      </x:c>
      <x:c r="E42" s="44" t="n">
        <x:v>-0.06430812273217486</x:v>
      </x:c>
      <x:c r="F42" s="33" t="n">
        <x:v>852</x:v>
      </x:c>
      <x:c r="G42" s="33" t="n">
        <x:v>214</x:v>
      </x:c>
      <x:c r="H42" s="26" t="n">
        <x:v>0.2511737089201878</x:v>
      </x:c>
      <x:c r="I42" s="12" t="n">
        <x:v>3</x:v>
      </x:c>
      <x:c r="J42" s="12" t="n">
        <x:v>69</x:v>
      </x:c>
      <x:c r="K42" s="12"/>
      <x:c r="L42" s="12"/>
      <x:c r="M42" s="12" t="str">
        <x:f>IF(K42="", "", MAX(0,IF(K42&lt;=20,100,IF(K42&lt;=30,85,IF(K42&lt;=40,70,IF(K42&lt;=50,55,IF(K42&lt;=60,40,20)))))-MIN(L42*5,20)))</x:f>
      </x:c>
      <x:c r="N42" s="12"/>
      <x:c r="O42" s="12"/>
      <x:c r="P42" s="12" t="str">
        <x:f>IF(OR(H42="",J42="",M42=""),"",ROUND(PERCENTRANK.INC($H$2:$H$941,H42)*35+J42*0.35+M42*0.30,0))</x:f>
      </x:c>
      <x:c r="Q42" s="12" t="str">
        <x:f>IF(P42="","",IF(P42&gt;=80,"ATTACK",IF(P42&gt;=65,"GROW",IF(P42&gt;=50,"PARTNER","WATCH"))))</x:f>
      </x:c>
      <x:c r="R42" s="12" t="str">
        <x:f>IF(Q42="","",IF(Q42="ATTACK","Grassroots + family acquisition",IF(Q42="GROW","Test local campaign",IF(Q42="PARTNER","Organisation-first partnership","Low priority / validate"))))</x:f>
      </x:c>
      <x:c r="S42" s="45" t="n">
        <x:v>6.075999946683643</x:v>
      </x:c>
      <x:c r="T42" t="str">
        <x:v>NEAR</x:v>
      </x:c>
      <x:c r="U42" s="32" t="n">
        <x:f>PERCENTRANK.INC($G$2:$G$941,G42)</x:f>
        <x:v>0.502</x:v>
      </x:c>
      <x:c r="V42" s="32" t="n">
        <x:f>PERCENTRANK.INC($H$2:$H$941,H42)</x:f>
        <x:v>0.186</x:v>
      </x:c>
      <x:c r="W42" t="n">
        <x:f>ROUND((U42*55+V42*45)*IF(S42&lt;=5,1,IF(S42&lt;=10,0.95,IF(S42&lt;=20,0.85,0.70))),0)</x:f>
        <x:v>34</x:v>
      </x:c>
      <x:c r="X42" t="n">
        <x:v>50</x:v>
      </x:c>
      <x:c r="Y42" t="str">
        <x:v>PARTNER</x:v>
      </x:c>
      <x:c r="Z42" s="12" t="str">
        <x:v>Family + verified grassroots + straight-line geo only; transport not yet routed</x:v>
      </x:c>
      <x:c r="AA42" s="12"/>
      <x:c r="AB42" s="12"/>
      <x:c r="AC42" s="12"/>
      <x:c r="AD42" s="12"/>
      <x:c r="AE42" t="str">
        <x:v>Crystal Palace Women</x:v>
      </x:c>
      <x:c r="AF42" s="45" t="n">
        <x:v>1.9580771079530088</x:v>
      </x:c>
      <x:c r="AG42" t="str">
        <x:v>Dulwich Hamlet Women</x:v>
      </x:c>
      <x:c r="AH42" s="45" t="n">
        <x:v>5.850282417597386</x:v>
      </x:c>
      <x:c r="AI42" t="n">
        <x:v>96</x:v>
      </x:c>
      <x:c r="AJ42" t="str">
        <x:v>HIGH</x:v>
      </x:c>
    </x:row>
    <x:row r="43">
      <x:c r="A43" s="12" t="str">
        <x:v>E01000744</x:v>
      </x:c>
      <x:c r="B43" s="12" t="str">
        <x:v>Bromley 009B</x:v>
      </x:c>
      <x:c r="C43" s="12" t="str">
        <x:v>Bromley</x:v>
      </x:c>
      <x:c r="D43" s="44" t="n">
        <x:v>51.40664074527341</x:v>
      </x:c>
      <x:c r="E43" s="44" t="n">
        <x:v>-0.06704799541330714</x:v>
      </x:c>
      <x:c r="F43" s="33" t="n">
        <x:v>661</x:v>
      </x:c>
      <x:c r="G43" s="33" t="n">
        <x:v>204</x:v>
      </x:c>
      <x:c r="H43" s="26" t="n">
        <x:v>0.3086232980332829</x:v>
      </x:c>
      <x:c r="I43" s="12" t="n">
        <x:v>4</x:v>
      </x:c>
      <x:c r="J43" s="12" t="n">
        <x:v>92</x:v>
      </x:c>
      <x:c r="K43" s="12"/>
      <x:c r="L43" s="12"/>
      <x:c r="M43" s="12" t="str">
        <x:f>IF(K43="", "", MAX(0,IF(K43&lt;=20,100,IF(K43&lt;=30,85,IF(K43&lt;=40,70,IF(K43&lt;=50,55,IF(K43&lt;=60,40,20)))))-MIN(L43*5,20)))</x:f>
      </x:c>
      <x:c r="N43" s="12"/>
      <x:c r="O43" s="12"/>
      <x:c r="P43" s="12" t="str">
        <x:f>IF(OR(H43="",J43="",M43=""),"",ROUND(PERCENTRANK.INC($H$2:$H$941,H43)*35+J43*0.35+M43*0.30,0))</x:f>
      </x:c>
      <x:c r="Q43" s="12" t="str">
        <x:f>IF(P43="","",IF(P43&gt;=80,"ATTACK",IF(P43&gt;=65,"GROW",IF(P43&gt;=50,"PARTNER","WATCH"))))</x:f>
      </x:c>
      <x:c r="R43" s="12" t="str">
        <x:f>IF(Q43="","",IF(Q43="ATTACK","Grassroots + family acquisition",IF(Q43="GROW","Test local campaign",IF(Q43="PARTNER","Organisation-first partnership","Low priority / validate"))))</x:f>
      </x:c>
      <x:c r="S43" s="45" t="n">
        <x:v>6.132329806768242</x:v>
      </x:c>
      <x:c r="T43" t="str">
        <x:v>NEAR</x:v>
      </x:c>
      <x:c r="U43" s="32" t="n">
        <x:f>PERCENTRANK.INC($G$2:$G$941,G43)</x:f>
        <x:v>0.421</x:v>
      </x:c>
      <x:c r="V43" s="32" t="n">
        <x:f>PERCENTRANK.INC($H$2:$H$941,H43)</x:f>
        <x:v>0.439</x:v>
      </x:c>
      <x:c r="W43" t="n">
        <x:f>ROUND((U43*55+V43*45)*IF(S43&lt;=5,1,IF(S43&lt;=10,0.95,IF(S43&lt;=20,0.85,0.70))),0)</x:f>
        <x:v>41</x:v>
      </x:c>
      <x:c r="X43" t="n">
        <x:v>64</x:v>
      </x:c>
      <x:c r="Y43" t="str">
        <x:v>PARTNER</x:v>
      </x:c>
      <x:c r="Z43" s="12" t="str">
        <x:v>Family + verified grassroots + straight-line geo only; transport not yet routed</x:v>
      </x:c>
      <x:c r="AA43" s="12"/>
      <x:c r="AB43" s="12"/>
      <x:c r="AC43" s="12"/>
      <x:c r="AD43" s="12"/>
      <x:c r="AE43" t="str">
        <x:v>Crystal Palace Women</x:v>
      </x:c>
      <x:c r="AF43" s="45" t="n">
        <x:v>1.562402989030195</x:v>
      </x:c>
      <x:c r="AG43" t="str">
        <x:v>Dulwich Hamlet Women</x:v>
      </x:c>
      <x:c r="AH43" s="45" t="n">
        <x:v>6.192321417284054</x:v>
      </x:c>
      <x:c r="AI43" t="n">
        <x:v>92</x:v>
      </x:c>
      <x:c r="AJ43" t="str">
        <x:v>HIGH</x:v>
      </x:c>
    </x:row>
    <x:row r="44">
      <x:c r="A44" s="12" t="str">
        <x:v>E01000796</x:v>
      </x:c>
      <x:c r="B44" s="12" t="str">
        <x:v>Bromley 009C</x:v>
      </x:c>
      <x:c r="C44" s="12" t="str">
        <x:v>Bromley</x:v>
      </x:c>
      <x:c r="D44" s="44" t="n">
        <x:v>51.413273837618256</x:v>
      </x:c>
      <x:c r="E44" s="44" t="n">
        <x:v>-0.060241169567450396</x:v>
      </x:c>
      <x:c r="F44" s="33" t="n">
        <x:v>619</x:v>
      </x:c>
      <x:c r="G44" s="33" t="n">
        <x:v>224</x:v>
      </x:c>
      <x:c r="H44" s="26" t="n">
        <x:v>0.36187399030694667</x:v>
      </x:c>
      <x:c r="I44" s="12" t="n">
        <x:v>4</x:v>
      </x:c>
      <x:c r="J44" s="12" t="n">
        <x:v>77</x:v>
      </x:c>
      <x:c r="K44" s="12"/>
      <x:c r="L44" s="12"/>
      <x:c r="M44" s="12" t="str">
        <x:f>IF(K44="", "", MAX(0,IF(K44&lt;=20,100,IF(K44&lt;=30,85,IF(K44&lt;=40,70,IF(K44&lt;=50,55,IF(K44&lt;=60,40,20)))))-MIN(L44*5,20)))</x:f>
      </x:c>
      <x:c r="N44" s="12"/>
      <x:c r="O44" s="12"/>
      <x:c r="P44" s="12" t="str">
        <x:f>IF(OR(H44="",J44="",M44=""),"",ROUND(PERCENTRANK.INC($H$2:$H$941,H44)*35+J44*0.35+M44*0.30,0))</x:f>
      </x:c>
      <x:c r="Q44" s="12" t="str">
        <x:f>IF(P44="","",IF(P44&gt;=80,"ATTACK",IF(P44&gt;=65,"GROW",IF(P44&gt;=50,"PARTNER","WATCH"))))</x:f>
      </x:c>
      <x:c r="R44" s="12" t="str">
        <x:f>IF(Q44="","",IF(Q44="ATTACK","Grassroots + family acquisition",IF(Q44="GROW","Test local campaign",IF(Q44="PARTNER","Organisation-first partnership","Low priority / validate"))))</x:f>
      </x:c>
      <x:c r="S44" s="45" t="n">
        <x:v>5.948367025716065</x:v>
      </x:c>
      <x:c r="T44" t="str">
        <x:v>NEAR</x:v>
      </x:c>
      <x:c r="U44" s="32" t="n">
        <x:f>PERCENTRANK.INC($G$2:$G$941,G44)</x:f>
        <x:v>0.576</x:v>
      </x:c>
      <x:c r="V44" s="32" t="n">
        <x:f>PERCENTRANK.INC($H$2:$H$941,H44)</x:f>
        <x:v>0.746</x:v>
      </x:c>
      <x:c r="W44" t="n">
        <x:f>ROUND((U44*55+V44*45)*IF(S44&lt;=5,1,IF(S44&lt;=10,0.95,IF(S44&lt;=20,0.85,0.70))),0)</x:f>
        <x:v>62</x:v>
      </x:c>
      <x:c r="X44" t="n">
        <x:v>69</x:v>
      </x:c>
      <x:c r="Y44" t="str">
        <x:v>GROW</x:v>
      </x:c>
      <x:c r="Z44" s="12" t="str">
        <x:v>Family + verified grassroots + straight-line geo only; transport not yet routed</x:v>
      </x:c>
      <x:c r="AA44" s="12"/>
      <x:c r="AB44" s="12"/>
      <x:c r="AC44" s="12"/>
      <x:c r="AD44" s="12"/>
      <x:c r="AE44" t="str">
        <x:v>Crystal Palace Women</x:v>
      </x:c>
      <x:c r="AF44" s="45" t="n">
        <x:v>2.401013631541308</x:v>
      </x:c>
      <x:c r="AG44" t="str">
        <x:v>Dulwich Hamlet Women</x:v>
      </x:c>
      <x:c r="AH44" s="45" t="n">
        <x:v>5.590157429200696</x:v>
      </x:c>
      <x:c r="AI44" t="n">
        <x:v>96</x:v>
      </x:c>
      <x:c r="AJ44" t="str">
        <x:v>HIGH</x:v>
      </x:c>
    </x:row>
    <x:row r="45">
      <x:c r="A45" s="12" t="str">
        <x:v>E01000798</x:v>
      </x:c>
      <x:c r="B45" s="12" t="str">
        <x:v>Bromley 009D</x:v>
      </x:c>
      <x:c r="C45" s="12" t="str">
        <x:v>Bromley</x:v>
      </x:c>
      <x:c r="D45" s="44" t="n">
        <x:v>51.41292455667172</x:v>
      </x:c>
      <x:c r="E45" s="44" t="n">
        <x:v>-0.055601813200766015</x:v>
      </x:c>
      <x:c r="F45" s="33" t="n">
        <x:v>735</x:v>
      </x:c>
      <x:c r="G45" s="33" t="n">
        <x:v>176</x:v>
      </x:c>
      <x:c r="H45" s="26" t="n">
        <x:v>0.23945578231292516</x:v>
      </x:c>
      <x:c r="I45" s="12" t="n">
        <x:v>4</x:v>
      </x:c>
      <x:c r="J45" s="12" t="n">
        <x:v>84</x:v>
      </x:c>
      <x:c r="K45" s="12"/>
      <x:c r="L45" s="12"/>
      <x:c r="M45" s="12" t="str">
        <x:f>IF(K45="", "", MAX(0,IF(K45&lt;=20,100,IF(K45&lt;=30,85,IF(K45&lt;=40,70,IF(K45&lt;=50,55,IF(K45&lt;=60,40,20)))))-MIN(L45*5,20)))</x:f>
      </x:c>
      <x:c r="N45" s="12"/>
      <x:c r="O45" s="12"/>
      <x:c r="P45" s="12" t="str">
        <x:f>IF(OR(H45="",J45="",M45=""),"",ROUND(PERCENTRANK.INC($H$2:$H$941,H45)*35+J45*0.35+M45*0.30,0))</x:f>
      </x:c>
      <x:c r="Q45" s="12" t="str">
        <x:f>IF(P45="","",IF(P45&gt;=80,"ATTACK",IF(P45&gt;=65,"GROW",IF(P45&gt;=50,"PARTNER","WATCH"))))</x:f>
      </x:c>
      <x:c r="R45" s="12" t="str">
        <x:f>IF(Q45="","",IF(Q45="ATTACK","Grassroots + family acquisition",IF(Q45="GROW","Test local campaign",IF(Q45="PARTNER","Organisation-first partnership","Low priority / validate"))))</x:f>
      </x:c>
      <x:c r="S45" s="45" t="n">
        <x:v>5.640506996443981</x:v>
      </x:c>
      <x:c r="T45" t="str">
        <x:v>NEAR</x:v>
      </x:c>
      <x:c r="U45" s="32" t="n">
        <x:f>PERCENTRANK.INC($G$2:$G$941,G45)</x:f>
        <x:v>0.197</x:v>
      </x:c>
      <x:c r="V45" s="32" t="n">
        <x:f>PERCENTRANK.INC($H$2:$H$941,H45)</x:f>
        <x:v>0.152</x:v>
      </x:c>
      <x:c r="W45" t="n">
        <x:f>ROUND((U45*55+V45*45)*IF(S45&lt;=5,1,IF(S45&lt;=10,0.95,IF(S45&lt;=20,0.85,0.70))),0)</x:f>
        <x:v>17</x:v>
      </x:c>
      <x:c r="X45" t="n">
        <x:v>47</x:v>
      </x:c>
      <x:c r="Y45" t="str">
        <x:v>WATCH</x:v>
      </x:c>
      <x:c r="Z45" s="12" t="str">
        <x:v>Family + verified grassroots + straight-line geo only; transport not yet routed</x:v>
      </x:c>
      <x:c r="AA45" s="12"/>
      <x:c r="AB45" s="12"/>
      <x:c r="AC45" s="12"/>
      <x:c r="AD45" s="12"/>
      <x:c r="AE45" t="str">
        <x:v>Crystal Palace Women</x:v>
      </x:c>
      <x:c r="AF45" s="45" t="n">
        <x:v>2.617719639193563</x:v>
      </x:c>
      <x:c r="AG45" t="str">
        <x:v>Dulwich Hamlet Women</x:v>
      </x:c>
      <x:c r="AH45" s="45" t="n">
        <x:v>5.729581511563022</x:v>
      </x:c>
      <x:c r="AI45" t="n">
        <x:v>96</x:v>
      </x:c>
      <x:c r="AJ45" t="str">
        <x:v>HIGH</x:v>
      </x:c>
    </x:row>
    <x:row r="46">
      <x:c r="A46" s="12" t="str">
        <x:v>E01000800</x:v>
      </x:c>
      <x:c r="B46" s="12" t="str">
        <x:v>Bromley 009E</x:v>
      </x:c>
      <x:c r="C46" s="12" t="str">
        <x:v>Bromley</x:v>
      </x:c>
      <x:c r="D46" s="44" t="n">
        <x:v>51.41152767263925</x:v>
      </x:c>
      <x:c r="E46" s="44" t="n">
        <x:v>-0.06094501046272863</x:v>
      </x:c>
      <x:c r="F46" s="33" t="n">
        <x:v>797</x:v>
      </x:c>
      <x:c r="G46" s="33" t="n">
        <x:v>210</x:v>
      </x:c>
      <x:c r="H46" s="26" t="n">
        <x:v>0.26348808030112925</x:v>
      </x:c>
      <x:c r="I46" s="12" t="n">
        <x:v>4</x:v>
      </x:c>
      <x:c r="J46" s="12" t="n">
        <x:v>77</x:v>
      </x:c>
      <x:c r="K46" s="12"/>
      <x:c r="L46" s="12"/>
      <x:c r="M46" s="12" t="str">
        <x:f>IF(K46="", "", MAX(0,IF(K46&lt;=20,100,IF(K46&lt;=30,85,IF(K46&lt;=40,70,IF(K46&lt;=50,55,IF(K46&lt;=60,40,20)))))-MIN(L46*5,20)))</x:f>
      </x:c>
      <x:c r="N46" s="12"/>
      <x:c r="O46" s="12"/>
      <x:c r="P46" s="12" t="str">
        <x:f>IF(OR(H46="",J46="",M46=""),"",ROUND(PERCENTRANK.INC($H$2:$H$941,H46)*35+J46*0.35+M46*0.30,0))</x:f>
      </x:c>
      <x:c r="Q46" s="12" t="str">
        <x:f>IF(P46="","",IF(P46&gt;=80,"ATTACK",IF(P46&gt;=65,"GROW",IF(P46&gt;=50,"PARTNER","WATCH"))))</x:f>
      </x:c>
      <x:c r="R46" s="12" t="str">
        <x:f>IF(Q46="","",IF(Q46="ATTACK","Grassroots + family acquisition",IF(Q46="GROW","Test local campaign",IF(Q46="PARTNER","Organisation-first partnership","Low priority / validate"))))</x:f>
      </x:c>
      <x:c r="S46" s="45" t="n">
        <x:v>5.915220910013337</x:v>
      </x:c>
      <x:c r="T46" t="str">
        <x:v>NEAR</x:v>
      </x:c>
      <x:c r="U46" s="32" t="n">
        <x:f>PERCENTRANK.INC($G$2:$G$941,G46)</x:f>
        <x:v>0.471</x:v>
      </x:c>
      <x:c r="V46" s="32" t="n">
        <x:f>PERCENTRANK.INC($H$2:$H$941,H46)</x:f>
        <x:v>0.238</x:v>
      </x:c>
      <x:c r="W46" t="n">
        <x:f>ROUND((U46*55+V46*45)*IF(S46&lt;=5,1,IF(S46&lt;=10,0.95,IF(S46&lt;=20,0.85,0.70))),0)</x:f>
        <x:v>35</x:v>
      </x:c>
      <x:c r="X46" t="n">
        <x:v>54</x:v>
      </x:c>
      <x:c r="Y46" t="str">
        <x:v>PARTNER</x:v>
      </x:c>
      <x:c r="Z46" s="12" t="str">
        <x:v>Family + verified grassroots + straight-line geo only; transport not yet routed</x:v>
      </x:c>
      <x:c r="AA46" s="12"/>
      <x:c r="AB46" s="12"/>
      <x:c r="AC46" s="12"/>
      <x:c r="AD46" s="12"/>
      <x:c r="AE46" t="str">
        <x:v>Crystal Palace Women</x:v>
      </x:c>
      <x:c r="AF46" s="45" t="n">
        <x:v>2.2335881155446238</x:v>
      </x:c>
      <x:c r="AG46" t="str">
        <x:v>Dulwich Hamlet Women</x:v>
      </x:c>
      <x:c r="AH46" s="45" t="n">
        <x:v>5.762302720244238</x:v>
      </x:c>
      <x:c r="AI46" t="n">
        <x:v>96</x:v>
      </x:c>
      <x:c r="AJ46" t="str">
        <x:v>HIGH</x:v>
      </x:c>
    </x:row>
    <x:row r="47">
      <x:c r="A47" s="12" t="str">
        <x:v>E01000806</x:v>
      </x:c>
      <x:c r="B47" s="12" t="str">
        <x:v>Bromley 009F</x:v>
      </x:c>
      <x:c r="C47" s="12" t="str">
        <x:v>Bromley</x:v>
      </x:c>
      <x:c r="D47" s="44" t="n">
        <x:v>51.41699263099364</x:v>
      </x:c>
      <x:c r="E47" s="44" t="n">
        <x:v>-0.05587470591962928</x:v>
      </x:c>
      <x:c r="F47" s="33" t="n">
        <x:v>777</x:v>
      </x:c>
      <x:c r="G47" s="33" t="n">
        <x:v>269</x:v>
      </x:c>
      <x:c r="H47" s="26" t="n">
        <x:v>0.3462033462033462</x:v>
      </x:c>
      <x:c r="I47" s="12" t="n">
        <x:v>4</x:v>
      </x:c>
      <x:c r="J47" s="12" t="n">
        <x:v>92</x:v>
      </x:c>
      <x:c r="K47" s="12"/>
      <x:c r="L47" s="12"/>
      <x:c r="M47" s="12" t="str">
        <x:f>IF(K47="", "", MAX(0,IF(K47&lt;=20,100,IF(K47&lt;=30,85,IF(K47&lt;=40,70,IF(K47&lt;=50,55,IF(K47&lt;=60,40,20)))))-MIN(L47*5,20)))</x:f>
      </x:c>
      <x:c r="N47" s="12"/>
      <x:c r="O47" s="12"/>
      <x:c r="P47" s="12" t="str">
        <x:f>IF(OR(H47="",J47="",M47=""),"",ROUND(PERCENTRANK.INC($H$2:$H$941,H47)*35+J47*0.35+M47*0.30,0))</x:f>
      </x:c>
      <x:c r="Q47" s="12" t="str">
        <x:f>IF(P47="","",IF(P47&gt;=80,"ATTACK",IF(P47&gt;=65,"GROW",IF(P47&gt;=50,"PARTNER","WATCH"))))</x:f>
      </x:c>
      <x:c r="R47" s="12" t="str">
        <x:f>IF(Q47="","",IF(Q47="ATTACK","Grassroots + family acquisition",IF(Q47="GROW","Test local campaign",IF(Q47="PARTNER","Organisation-first partnership","Low priority / validate"))))</x:f>
      </x:c>
      <x:c r="S47" s="45" t="n">
        <x:v>5.866660355429687</x:v>
      </x:c>
      <x:c r="T47" t="str">
        <x:v>NEAR</x:v>
      </x:c>
      <x:c r="U47" s="32" t="n">
        <x:f>PERCENTRANK.INC($G$2:$G$941,G47)</x:f>
        <x:v>0.866</x:v>
      </x:c>
      <x:c r="V47" s="32" t="n">
        <x:f>PERCENTRANK.INC($H$2:$H$941,H47)</x:f>
        <x:v>0.662</x:v>
      </x:c>
      <x:c r="W47" t="n">
        <x:f>ROUND((U47*55+V47*45)*IF(S47&lt;=5,1,IF(S47&lt;=10,0.95,IF(S47&lt;=20,0.85,0.70))),0)</x:f>
        <x:v>74</x:v>
      </x:c>
      <x:c r="X47" t="n">
        <x:v>82</x:v>
      </x:c>
      <x:c r="Y47" t="str">
        <x:v>ATTACK</x:v>
      </x:c>
      <x:c r="Z47" s="12" t="str">
        <x:v>Family + verified grassroots + straight-line geo only; transport not yet routed</x:v>
      </x:c>
      <x:c r="AA47" s="12"/>
      <x:c r="AB47" s="12"/>
      <x:c r="AC47" s="12"/>
      <x:c r="AD47" s="12"/>
      <x:c r="AE47" t="str">
        <x:v>Crystal Palace Women</x:v>
      </x:c>
      <x:c r="AF47" s="45" t="n">
        <x:v>2.9073511845009303</x:v>
      </x:c>
      <x:c r="AG47" t="str">
        <x:v>Dulwich Hamlet Women</x:v>
      </x:c>
      <x:c r="AH47" s="45" t="n">
        <x:v>5.299984441477477</x:v>
      </x:c>
      <x:c r="AI47" t="n">
        <x:v>96</x:v>
      </x:c>
      <x:c r="AJ47" t="str">
        <x:v>HIGH</x:v>
      </x:c>
    </x:row>
    <x:row r="48">
      <x:c r="A48" s="12" t="str">
        <x:v>E01000693</x:v>
      </x:c>
      <x:c r="B48" s="12" t="str">
        <x:v>Bromley 010A</x:v>
      </x:c>
      <x:c r="C48" s="12" t="str">
        <x:v>Bromley</x:v>
      </x:c>
      <x:c r="D48" s="44" t="n">
        <x:v>51.41160364416586</x:v>
      </x:c>
      <x:c r="E48" s="44" t="n">
        <x:v>0.08054357588530761</x:v>
      </x:c>
      <x:c r="F48" s="33" t="n">
        <x:v>646</x:v>
      </x:c>
      <x:c r="G48" s="33" t="n">
        <x:v>137</x:v>
      </x:c>
      <x:c r="H48" s="26" t="n">
        <x:v>0.21207430340557276</x:v>
      </x:c>
      <x:c r="I48" s="12" t="n">
        <x:v>3</x:v>
      </x:c>
      <x:c r="J48" s="12" t="n">
        <x:v>78</x:v>
      </x:c>
      <x:c r="K48" s="12"/>
      <x:c r="L48" s="12"/>
      <x:c r="M48" s="12" t="str">
        <x:f>IF(K48="", "", MAX(0,IF(K48&lt;=20,100,IF(K48&lt;=30,85,IF(K48&lt;=40,70,IF(K48&lt;=50,55,IF(K48&lt;=60,40,20)))))-MIN(L48*5,20)))</x:f>
      </x:c>
      <x:c r="N48" s="12"/>
      <x:c r="O48" s="12"/>
      <x:c r="P48" s="12" t="str">
        <x:f>IF(OR(H48="",J48="",M48=""),"",ROUND(PERCENTRANK.INC($H$2:$H$941,H48)*35+J48*0.35+M48*0.30,0))</x:f>
      </x:c>
      <x:c r="Q48" s="12" t="str">
        <x:f>IF(P48="","",IF(P48&gt;=80,"ATTACK",IF(P48&gt;=65,"GROW",IF(P48&gt;=50,"PARTNER","WATCH"))))</x:f>
      </x:c>
      <x:c r="R48" s="12" t="str">
        <x:f>IF(Q48="","",IF(Q48="ATTACK","Grassroots + family acquisition",IF(Q48="GROW","Test local campaign",IF(Q48="PARTNER","Organisation-first partnership","Low priority / validate"))))</x:f>
      </x:c>
      <x:c r="S48" s="45" t="n">
        <x:v>4.925036523473959</x:v>
      </x:c>
      <x:c r="T48" t="str">
        <x:v>CORE</x:v>
      </x:c>
      <x:c r="U48" s="32" t="n">
        <x:f>PERCENTRANK.INC($G$2:$G$941,G48)</x:f>
        <x:v>0.063</x:v>
      </x:c>
      <x:c r="V48" s="32" t="n">
        <x:f>PERCENTRANK.INC($H$2:$H$941,H48)</x:f>
        <x:v>0.086</x:v>
      </x:c>
      <x:c r="W48" t="n">
        <x:f>ROUND((U48*55+V48*45)*IF(S48&lt;=5,1,IF(S48&lt;=10,0.95,IF(S48&lt;=20,0.85,0.70))),0)</x:f>
        <x:v>7</x:v>
      </x:c>
      <x:c r="X48" t="n">
        <x:v>39</x:v>
      </x:c>
      <x:c r="Y48" t="str">
        <x:v>WATCH</x:v>
      </x:c>
      <x:c r="Z48" s="12" t="str">
        <x:v>Family + verified grassroots + straight-line geo only; transport not yet routed</x:v>
      </x:c>
      <x:c r="AA48" s="12"/>
      <x:c r="AB48" s="12"/>
      <x:c r="AC48" s="12"/>
      <x:c r="AD48" s="12"/>
      <x:c r="AE48" t="str">
        <x:v>Charlton Athletic Women</x:v>
      </x:c>
      <x:c r="AF48" s="45" t="n">
        <x:v>8.867717337441645</x:v>
      </x:c>
      <x:c r="AG48" t="str">
        <x:v>Dulwich Hamlet Women</x:v>
      </x:c>
      <x:c r="AH48" s="45" t="n">
        <x:v>12.673545891648264</x:v>
      </x:c>
      <x:c r="AI48" t="n">
        <x:v>65</x:v>
      </x:c>
      <x:c r="AJ48" t="str">
        <x:v>MEDIUM</x:v>
      </x:c>
    </x:row>
    <x:row r="49">
      <x:c r="A49" s="12" t="str">
        <x:v>E01000698</x:v>
      </x:c>
      <x:c r="B49" s="12" t="str">
        <x:v>Bromley 010B</x:v>
      </x:c>
      <x:c r="C49" s="12" t="str">
        <x:v>Bromley</x:v>
      </x:c>
      <x:c r="D49" s="44" t="n">
        <x:v>51.398599850773465</x:v>
      </x:c>
      <x:c r="E49" s="44" t="n">
        <x:v>0.0927770003768149</x:v>
      </x:c>
      <x:c r="F49" s="33" t="n">
        <x:v>434</x:v>
      </x:c>
      <x:c r="G49" s="33" t="n">
        <x:v>131</x:v>
      </x:c>
      <x:c r="H49" s="26" t="n">
        <x:v>0.30184331797235026</x:v>
      </x:c>
      <x:c r="I49" s="12" t="n">
        <x:v>3</x:v>
      </x:c>
      <x:c r="J49" s="12" t="n">
        <x:v>63</x:v>
      </x:c>
      <x:c r="K49" s="12"/>
      <x:c r="L49" s="12"/>
      <x:c r="M49" s="12" t="str">
        <x:f>IF(K49="", "", MAX(0,IF(K49&lt;=20,100,IF(K49&lt;=30,85,IF(K49&lt;=40,70,IF(K49&lt;=50,55,IF(K49&lt;=60,40,20)))))-MIN(L49*5,20)))</x:f>
      </x:c>
      <x:c r="N49" s="12"/>
      <x:c r="O49" s="12"/>
      <x:c r="P49" s="12" t="str">
        <x:f>IF(OR(H49="",J49="",M49=""),"",ROUND(PERCENTRANK.INC($H$2:$H$941,H49)*35+J49*0.35+M49*0.30,0))</x:f>
      </x:c>
      <x:c r="Q49" s="12" t="str">
        <x:f>IF(P49="","",IF(P49&gt;=80,"ATTACK",IF(P49&gt;=65,"GROW",IF(P49&gt;=50,"PARTNER","WATCH"))))</x:f>
      </x:c>
      <x:c r="R49" s="12" t="str">
        <x:f>IF(Q49="","",IF(Q49="ATTACK","Grassroots + family acquisition",IF(Q49="GROW","Test local campaign",IF(Q49="PARTNER","Organisation-first partnership","Low priority / validate"))))</x:f>
      </x:c>
      <x:c r="S49" s="45" t="n">
        <x:v>5.276565448763073</x:v>
      </x:c>
      <x:c r="T49" t="str">
        <x:v>NEAR</x:v>
      </x:c>
      <x:c r="U49" s="32" t="n">
        <x:f>PERCENTRANK.INC($G$2:$G$941,G49)</x:f>
        <x:v>0.052</x:v>
      </x:c>
      <x:c r="V49" s="32" t="n">
        <x:f>PERCENTRANK.INC($H$2:$H$941,H49)</x:f>
        <x:v>0.407</x:v>
      </x:c>
      <x:c r="W49" t="n">
        <x:f>ROUND((U49*55+V49*45)*IF(S49&lt;=5,1,IF(S49&lt;=10,0.95,IF(S49&lt;=20,0.85,0.70))),0)</x:f>
        <x:v>20</x:v>
      </x:c>
      <x:c r="X49" t="n">
        <x:v>39</x:v>
      </x:c>
      <x:c r="Y49" t="str">
        <x:v>WATCH</x:v>
      </x:c>
      <x:c r="Z49" s="12" t="str">
        <x:v>Family + verified grassroots + straight-line geo only; transport not yet routed</x:v>
      </x:c>
      <x:c r="AA49" s="12"/>
      <x:c r="AB49" s="12"/>
      <x:c r="AC49" s="12"/>
      <x:c r="AD49" s="12"/>
      <x:c r="AE49" t="str">
        <x:v>Charlton Athletic Women</x:v>
      </x:c>
      <x:c r="AF49" s="45" t="n">
        <x:v>10.522276916087622</x:v>
      </x:c>
      <x:c r="AG49" t="str">
        <x:v>Dulwich Hamlet Women</x:v>
      </x:c>
      <x:c r="AH49" s="45" t="n">
        <x:v>14.099636945856206</x:v>
      </x:c>
      <x:c r="AI49" t="n">
        <x:v>50</x:v>
      </x:c>
      <x:c r="AJ49" t="str">
        <x:v>MEDIUM</x:v>
      </x:c>
    </x:row>
    <x:row r="50">
      <x:c r="A50" s="12" t="str">
        <x:v>E01000736</x:v>
      </x:c>
      <x:c r="B50" s="12" t="str">
        <x:v>Bromley 010C</x:v>
      </x:c>
      <x:c r="C50" s="12" t="str">
        <x:v>Bromley</x:v>
      </x:c>
      <x:c r="D50" s="44" t="n">
        <x:v>51.406296223563594</x:v>
      </x:c>
      <x:c r="E50" s="44" t="n">
        <x:v>0.09559724286419732</x:v>
      </x:c>
      <x:c r="F50" s="33" t="n">
        <x:v>628</x:v>
      </x:c>
      <x:c r="G50" s="33" t="n">
        <x:v>230</x:v>
      </x:c>
      <x:c r="H50" s="26" t="n">
        <x:v>0.3662420382165605</x:v>
      </x:c>
      <x:c r="I50" s="12" t="n">
        <x:v>3</x:v>
      </x:c>
      <x:c r="J50" s="12" t="n">
        <x:v>71</x:v>
      </x:c>
      <x:c r="K50" s="12"/>
      <x:c r="L50" s="12"/>
      <x:c r="M50" s="12" t="str">
        <x:f>IF(K50="", "", MAX(0,IF(K50&lt;=20,100,IF(K50&lt;=30,85,IF(K50&lt;=40,70,IF(K50&lt;=50,55,IF(K50&lt;=60,40,20)))))-MIN(L50*5,20)))</x:f>
      </x:c>
      <x:c r="N50" s="12"/>
      <x:c r="O50" s="12"/>
      <x:c r="P50" s="12" t="str">
        <x:f>IF(OR(H50="",J50="",M50=""),"",ROUND(PERCENTRANK.INC($H$2:$H$941,H50)*35+J50*0.35+M50*0.30,0))</x:f>
      </x:c>
      <x:c r="Q50" s="12" t="str">
        <x:f>IF(P50="","",IF(P50&gt;=80,"ATTACK",IF(P50&gt;=65,"GROW",IF(P50&gt;=50,"PARTNER","WATCH"))))</x:f>
      </x:c>
      <x:c r="R50" s="12" t="str">
        <x:f>IF(Q50="","",IF(Q50="ATTACK","Grassroots + family acquisition",IF(Q50="GROW","Test local campaign",IF(Q50="PARTNER","Organisation-first partnership","Low priority / validate"))))</x:f>
      </x:c>
      <x:c r="S50" s="45" t="n">
        <x:v>5.665290787435694</x:v>
      </x:c>
      <x:c r="T50" t="str">
        <x:v>NEAR</x:v>
      </x:c>
      <x:c r="U50" s="32" t="n">
        <x:f>PERCENTRANK.INC($G$2:$G$941,G50)</x:f>
        <x:v>0.632</x:v>
      </x:c>
      <x:c r="V50" s="32" t="n">
        <x:f>PERCENTRANK.INC($H$2:$H$941,H50)</x:f>
        <x:v>0.779</x:v>
      </x:c>
      <x:c r="W50" t="n">
        <x:f>ROUND((U50*55+V50*45)*IF(S50&lt;=5,1,IF(S50&lt;=10,0.95,IF(S50&lt;=20,0.85,0.70))),0)</x:f>
        <x:v>66</x:v>
      </x:c>
      <x:c r="X50" t="n">
        <x:v>69</x:v>
      </x:c>
      <x:c r="Y50" t="str">
        <x:v>GROW</x:v>
      </x:c>
      <x:c r="Z50" s="12" t="str">
        <x:v>Family + verified grassroots + straight-line geo only; transport not yet routed</x:v>
      </x:c>
      <x:c r="AA50" s="12"/>
      <x:c r="AB50" s="12"/>
      <x:c r="AC50" s="12"/>
      <x:c r="AD50" s="12"/>
      <x:c r="AE50" t="str">
        <x:v>Charlton Athletic Women</x:v>
      </x:c>
      <x:c r="AF50" s="45" t="n">
        <x:v>9.81377088915314</x:v>
      </x:c>
      <x:c r="AG50" t="str">
        <x:v>Dulwich Hamlet Women</x:v>
      </x:c>
      <x:c r="AH50" s="45" t="n">
        <x:v>13.870799780958237</x:v>
      </x:c>
      <x:c r="AI50" t="n">
        <x:v>65</x:v>
      </x:c>
      <x:c r="AJ50" t="str">
        <x:v>MEDIUM</x:v>
      </x:c>
    </x:row>
    <x:row r="51">
      <x:c r="A51" s="12" t="str">
        <x:v>E01000737</x:v>
      </x:c>
      <x:c r="B51" s="12" t="str">
        <x:v>Bromley 010D</x:v>
      </x:c>
      <x:c r="C51" s="12" t="str">
        <x:v>Bromley</x:v>
      </x:c>
      <x:c r="D51" s="44" t="n">
        <x:v>51.40487090046249</x:v>
      </x:c>
      <x:c r="E51" s="44" t="n">
        <x:v>0.09956997776384371</x:v>
      </x:c>
      <x:c r="F51" s="33" t="n">
        <x:v>584</x:v>
      </x:c>
      <x:c r="G51" s="33" t="n">
        <x:v>191</x:v>
      </x:c>
      <x:c r="H51" s="26" t="n">
        <x:v>0.3270547945205479</x:v>
      </x:c>
      <x:c r="I51" s="12" t="n">
        <x:v>3</x:v>
      </x:c>
      <x:c r="J51" s="12" t="n">
        <x:v>71</x:v>
      </x:c>
      <x:c r="K51" s="12"/>
      <x:c r="L51" s="12"/>
      <x:c r="M51" s="12" t="str">
        <x:f>IF(K51="", "", MAX(0,IF(K51&lt;=20,100,IF(K51&lt;=30,85,IF(K51&lt;=40,70,IF(K51&lt;=50,55,IF(K51&lt;=60,40,20)))))-MIN(L51*5,20)))</x:f>
      </x:c>
      <x:c r="N51" s="12"/>
      <x:c r="O51" s="12"/>
      <x:c r="P51" s="12" t="str">
        <x:f>IF(OR(H51="",J51="",M51=""),"",ROUND(PERCENTRANK.INC($H$2:$H$941,H51)*35+J51*0.35+M51*0.30,0))</x:f>
      </x:c>
      <x:c r="Q51" s="12" t="str">
        <x:f>IF(P51="","",IF(P51&gt;=80,"ATTACK",IF(P51&gt;=65,"GROW",IF(P51&gt;=50,"PARTNER","WATCH"))))</x:f>
      </x:c>
      <x:c r="R51" s="12" t="str">
        <x:f>IF(Q51="","",IF(Q51="ATTACK","Grassroots + family acquisition",IF(Q51="GROW","Test local campaign",IF(Q51="PARTNER","Organisation-first partnership","Low priority / validate"))))</x:f>
      </x:c>
      <x:c r="S51" s="45" t="n">
        <x:v>5.885262186648182</x:v>
      </x:c>
      <x:c r="T51" t="str">
        <x:v>NEAR</x:v>
      </x:c>
      <x:c r="U51" s="32" t="n">
        <x:f>PERCENTRANK.INC($G$2:$G$941,G51)</x:f>
        <x:v>0.319</x:v>
      </x:c>
      <x:c r="V51" s="32" t="n">
        <x:f>PERCENTRANK.INC($H$2:$H$941,H51)</x:f>
        <x:v>0.551</x:v>
      </x:c>
      <x:c r="W51" t="n">
        <x:f>ROUND((U51*55+V51*45)*IF(S51&lt;=5,1,IF(S51&lt;=10,0.95,IF(S51&lt;=20,0.85,0.70))),0)</x:f>
        <x:v>40</x:v>
      </x:c>
      <x:c r="X51" t="n">
        <x:v>54</x:v>
      </x:c>
      <x:c r="Y51" t="str">
        <x:v>PARTNER</x:v>
      </x:c>
      <x:c r="Z51" s="12" t="str">
        <x:v>Family + verified grassroots + straight-line geo only; transport not yet routed</x:v>
      </x:c>
      <x:c r="AA51" s="12"/>
      <x:c r="AB51" s="12"/>
      <x:c r="AC51" s="12"/>
      <x:c r="AD51" s="12"/>
      <x:c r="AE51" t="str">
        <x:v>Charlton Athletic Women</x:v>
      </x:c>
      <x:c r="AF51" s="45" t="n">
        <x:v>10.074894956820271</x:v>
      </x:c>
      <x:c r="AG51" t="str">
        <x:v>Dulwich Hamlet Women</x:v>
      </x:c>
      <x:c r="AH51" s="45" t="n">
        <x:v>14.188056692343986</x:v>
      </x:c>
      <x:c r="AI51" t="n">
        <x:v>50</x:v>
      </x:c>
      <x:c r="AJ51" t="str">
        <x:v>MEDIUM</x:v>
      </x:c>
    </x:row>
    <x:row r="52">
      <x:c r="A52" s="12" t="str">
        <x:v>E01000672</x:v>
      </x:c>
      <x:c r="B52" s="12" t="str">
        <x:v>Bromley 011A</x:v>
      </x:c>
      <x:c r="C52" s="12" t="str">
        <x:v>Bromley</x:v>
      </x:c>
      <x:c r="D52" s="44" t="n">
        <x:v>51.41464469138561</x:v>
      </x:c>
      <x:c r="E52" s="44" t="n">
        <x:v>0.0032698408192611337</x:v>
      </x:c>
      <x:c r="F52" s="33" t="n">
        <x:v>695</x:v>
      </x:c>
      <x:c r="G52" s="33" t="n">
        <x:v>216</x:v>
      </x:c>
      <x:c r="H52" s="26" t="n">
        <x:v>0.3107913669064748</x:v>
      </x:c>
      <x:c r="I52" s="12" t="n">
        <x:v>4</x:v>
      </x:c>
      <x:c r="J52" s="12" t="n">
        <x:v>85</x:v>
      </x:c>
      <x:c r="K52" s="12"/>
      <x:c r="L52" s="12"/>
      <x:c r="M52" s="12" t="str">
        <x:f>IF(K52="", "", MAX(0,IF(K52&lt;=20,100,IF(K52&lt;=30,85,IF(K52&lt;=40,70,IF(K52&lt;=50,55,IF(K52&lt;=60,40,20)))))-MIN(L52*5,20)))</x:f>
      </x:c>
      <x:c r="N52" s="12"/>
      <x:c r="O52" s="12"/>
      <x:c r="P52" s="12" t="str">
        <x:f>IF(OR(H52="",J52="",M52=""),"",ROUND(PERCENTRANK.INC($H$2:$H$941,H52)*35+J52*0.35+M52*0.30,0))</x:f>
      </x:c>
      <x:c r="Q52" s="12" t="str">
        <x:f>IF(P52="","",IF(P52&gt;=80,"ATTACK",IF(P52&gt;=65,"GROW",IF(P52&gt;=50,"PARTNER","WATCH"))))</x:f>
      </x:c>
      <x:c r="R52" s="12" t="str">
        <x:f>IF(Q52="","",IF(Q52="ATTACK","Grassroots + family acquisition",IF(Q52="GROW","Test local campaign",IF(Q52="PARTNER","Organisation-first partnership","Low priority / validate"))))</x:f>
      </x:c>
      <x:c r="S52" s="45" t="n">
        <x:v>2.8151884007432613</x:v>
      </x:c>
      <x:c r="T52" t="str">
        <x:v>CORE</x:v>
      </x:c>
      <x:c r="U52" s="32" t="n">
        <x:f>PERCENTRANK.INC($G$2:$G$941,G52)</x:f>
        <x:v>0.523</x:v>
      </x:c>
      <x:c r="V52" s="32" t="n">
        <x:f>PERCENTRANK.INC($H$2:$H$941,H52)</x:f>
        <x:v>0.454</x:v>
      </x:c>
      <x:c r="W52" t="n">
        <x:f>ROUND((U52*55+V52*45)*IF(S52&lt;=5,1,IF(S52&lt;=10,0.95,IF(S52&lt;=20,0.85,0.70))),0)</x:f>
        <x:v>49</x:v>
      </x:c>
      <x:c r="X52" t="n">
        <x:v>66</x:v>
      </x:c>
      <x:c r="Y52" t="str">
        <x:v>GROW</x:v>
      </x:c>
      <x:c r="Z52" s="12" t="str">
        <x:v>Family + verified grassroots + straight-line geo only; transport not yet routed</x:v>
      </x:c>
      <x:c r="AA52" s="12"/>
      <x:c r="AB52" s="12"/>
      <x:c r="AC52" s="12"/>
      <x:c r="AD52" s="12"/>
      <x:c r="AE52" t="str">
        <x:v>Crystal Palace Women</x:v>
      </x:c>
      <x:c r="AF52" s="45" t="n">
        <x:v>6.397280422076275</x:v>
      </x:c>
      <x:c r="AG52" t="str">
        <x:v>Dulwich Hamlet Women</x:v>
      </x:c>
      <x:c r="AH52" s="45" t="n">
        <x:v>7.969404513158241</x:v>
      </x:c>
      <x:c r="AI52" t="n">
        <x:v>70</x:v>
      </x:c>
      <x:c r="AJ52" t="str">
        <x:v>MEDIUM</x:v>
      </x:c>
    </x:row>
    <x:row r="53">
      <x:c r="A53" s="12" t="str">
        <x:v>E01000673</x:v>
      </x:c>
      <x:c r="B53" s="12" t="str">
        <x:v>Bromley 011B</x:v>
      </x:c>
      <x:c r="C53" s="12" t="str">
        <x:v>Bromley</x:v>
      </x:c>
      <x:c r="D53" s="44" t="n">
        <x:v>51.41031571886122</x:v>
      </x:c>
      <x:c r="E53" s="44" t="n">
        <x:v>-0.0007183210917081003</x:v>
      </x:c>
      <x:c r="F53" s="33" t="n">
        <x:v>636</x:v>
      </x:c>
      <x:c r="G53" s="33" t="n">
        <x:v>249</x:v>
      </x:c>
      <x:c r="H53" s="26" t="n">
        <x:v>0.3915094339622642</x:v>
      </x:c>
      <x:c r="I53" s="12" t="n">
        <x:v>3</x:v>
      </x:c>
      <x:c r="J53" s="12" t="n">
        <x:v>85</x:v>
      </x:c>
      <x:c r="K53" s="12"/>
      <x:c r="L53" s="12"/>
      <x:c r="M53" s="12" t="str">
        <x:f>IF(K53="", "", MAX(0,IF(K53&lt;=20,100,IF(K53&lt;=30,85,IF(K53&lt;=40,70,IF(K53&lt;=50,55,IF(K53&lt;=60,40,20)))))-MIN(L53*5,20)))</x:f>
      </x:c>
      <x:c r="N53" s="12"/>
      <x:c r="O53" s="12"/>
      <x:c r="P53" s="12" t="str">
        <x:f>IF(OR(H53="",J53="",M53=""),"",ROUND(PERCENTRANK.INC($H$2:$H$941,H53)*35+J53*0.35+M53*0.30,0))</x:f>
      </x:c>
      <x:c r="Q53" s="12" t="str">
        <x:f>IF(P53="","",IF(P53&gt;=80,"ATTACK",IF(P53&gt;=65,"GROW",IF(P53&gt;=50,"PARTNER","WATCH"))))</x:f>
      </x:c>
      <x:c r="R53" s="12" t="str">
        <x:f>IF(Q53="","",IF(Q53="ATTACK","Grassroots + family acquisition",IF(Q53="GROW","Test local campaign",IF(Q53="PARTNER","Organisation-first partnership","Low priority / validate"))))</x:f>
      </x:c>
      <x:c r="S53" s="45" t="n">
        <x:v>2.501009053831017</x:v>
      </x:c>
      <x:c r="T53" t="str">
        <x:v>CORE</x:v>
      </x:c>
      <x:c r="U53" s="32" t="n">
        <x:f>PERCENTRANK.INC($G$2:$G$941,G53)</x:f>
        <x:v>0.766</x:v>
      </x:c>
      <x:c r="V53" s="32" t="n">
        <x:f>PERCENTRANK.INC($H$2:$H$941,H53)</x:f>
        <x:v>0.878</x:v>
      </x:c>
      <x:c r="W53" t="n">
        <x:f>ROUND((U53*55+V53*45)*IF(S53&lt;=5,1,IF(S53&lt;=10,0.95,IF(S53&lt;=20,0.85,0.70))),0)</x:f>
        <x:v>82</x:v>
      </x:c>
      <x:c r="X53" t="n">
        <x:v>84</x:v>
      </x:c>
      <x:c r="Y53" t="str">
        <x:v>ATTACK</x:v>
      </x:c>
      <x:c r="Z53" s="12" t="str">
        <x:v>Family + verified grassroots + straight-line geo only; transport not yet routed</x:v>
      </x:c>
      <x:c r="AA53" s="12"/>
      <x:c r="AB53" s="12"/>
      <x:c r="AC53" s="12"/>
      <x:c r="AD53" s="12"/>
      <x:c r="AE53" t="str">
        <x:v>Crystal Palace Women</x:v>
      </x:c>
      <x:c r="AF53" s="45" t="n">
        <x:v>6.007636293267008</x:v>
      </x:c>
      <x:c r="AG53" t="str">
        <x:v>Dulwich Hamlet Women</x:v>
      </x:c>
      <x:c r="AH53" s="45" t="n">
        <x:v>8.091702137056005</x:v>
      </x:c>
      <x:c r="AI53" t="n">
        <x:v>70</x:v>
      </x:c>
      <x:c r="AJ53" t="str">
        <x:v>MEDIUM</x:v>
      </x:c>
    </x:row>
    <x:row r="54">
      <x:c r="A54" s="12" t="str">
        <x:v>E01000716</x:v>
      </x:c>
      <x:c r="B54" s="12" t="str">
        <x:v>Bromley 011C</x:v>
      </x:c>
      <x:c r="C54" s="12" t="str">
        <x:v>Bromley</x:v>
      </x:c>
      <x:c r="D54" s="44" t="n">
        <x:v>51.405599367759834</x:v>
      </x:c>
      <x:c r="E54" s="44" t="n">
        <x:v>-0.010524955915416941</x:v>
      </x:c>
      <x:c r="F54" s="33" t="n">
        <x:v>707</x:v>
      </x:c>
      <x:c r="G54" s="33" t="n">
        <x:v>183</x:v>
      </x:c>
      <x:c r="H54" s="26" t="n">
        <x:v>0.25884016973125884</x:v>
      </x:c>
      <x:c r="I54" s="12" t="n">
        <x:v>4</x:v>
      </x:c>
      <x:c r="J54" s="12" t="n">
        <x:v>85</x:v>
      </x:c>
      <x:c r="K54" s="12"/>
      <x:c r="L54" s="12"/>
      <x:c r="M54" s="12" t="str">
        <x:f>IF(K54="", "", MAX(0,IF(K54&lt;=20,100,IF(K54&lt;=30,85,IF(K54&lt;=40,70,IF(K54&lt;=50,55,IF(K54&lt;=60,40,20)))))-MIN(L54*5,20)))</x:f>
      </x:c>
      <x:c r="N54" s="12"/>
      <x:c r="O54" s="12"/>
      <x:c r="P54" s="12" t="str">
        <x:f>IF(OR(H54="",J54="",M54=""),"",ROUND(PERCENTRANK.INC($H$2:$H$941,H54)*35+J54*0.35+M54*0.30,0))</x:f>
      </x:c>
      <x:c r="Q54" s="12" t="str">
        <x:f>IF(P54="","",IF(P54&gt;=80,"ATTACK",IF(P54&gt;=65,"GROW",IF(P54&gt;=50,"PARTNER","WATCH"))))</x:f>
      </x:c>
      <x:c r="R54" s="12" t="str">
        <x:f>IF(Q54="","",IF(Q54="ATTACK","Grassroots + family acquisition",IF(Q54="GROW","Test local campaign",IF(Q54="PARTNER","Organisation-first partnership","Low priority / validate"))))</x:f>
      </x:c>
      <x:c r="S54" s="45" t="n">
        <x:v>2.545196524188092</x:v>
      </x:c>
      <x:c r="T54" t="str">
        <x:v>CORE</x:v>
      </x:c>
      <x:c r="U54" s="32" t="n">
        <x:f>PERCENTRANK.INC($G$2:$G$941,G54)</x:f>
        <x:v>0.248</x:v>
      </x:c>
      <x:c r="V54" s="32" t="n">
        <x:f>PERCENTRANK.INC($H$2:$H$941,H54)</x:f>
        <x:v>0.212</x:v>
      </x:c>
      <x:c r="W54" t="n">
        <x:f>ROUND((U54*55+V54*45)*IF(S54&lt;=5,1,IF(S54&lt;=10,0.95,IF(S54&lt;=20,0.85,0.70))),0)</x:f>
        <x:v>23</x:v>
      </x:c>
      <x:c r="X54" t="n">
        <x:v>51</x:v>
      </x:c>
      <x:c r="Y54" t="str">
        <x:v>PARTNER</x:v>
      </x:c>
      <x:c r="Z54" s="12" t="str">
        <x:v>Family + verified grassroots + straight-line geo only; transport not yet routed</x:v>
      </x:c>
      <x:c r="AA54" s="12"/>
      <x:c r="AB54" s="12"/>
      <x:c r="AC54" s="12"/>
      <x:c r="AD54" s="12"/>
      <x:c r="AE54" t="str">
        <x:v>Crystal Palace Women</x:v>
      </x:c>
      <x:c r="AF54" s="45" t="n">
        <x:v>5.240282484954054</x:v>
      </x:c>
      <x:c r="AG54" t="str">
        <x:v>Dulwich Hamlet Women</x:v>
      </x:c>
      <x:c r="AH54" s="45" t="n">
        <x:v>8.019808921729664</x:v>
      </x:c>
      <x:c r="AI54" t="n">
        <x:v>81</x:v>
      </x:c>
      <x:c r="AJ54" t="str">
        <x:v>HIGH</x:v>
      </x:c>
    </x:row>
    <x:row r="55">
      <x:c r="A55" s="12" t="str">
        <x:v>E01000717</x:v>
      </x:c>
      <x:c r="B55" s="12" t="str">
        <x:v>Bromley 011D</x:v>
      </x:c>
      <x:c r="C55" s="12" t="str">
        <x:v>Bromley</x:v>
      </x:c>
      <x:c r="D55" s="44" t="n">
        <x:v>51.40429593579817</x:v>
      </x:c>
      <x:c r="E55" s="44" t="n">
        <x:v>-0.003693464956480781</x:v>
      </x:c>
      <x:c r="F55" s="33" t="n">
        <x:v>864</x:v>
      </x:c>
      <x:c r="G55" s="33" t="n">
        <x:v>199</x:v>
      </x:c>
      <x:c r="H55" s="26" t="n">
        <x:v>0.23032407407407407</x:v>
      </x:c>
      <x:c r="I55" s="12" t="n">
        <x:v>4</x:v>
      </x:c>
      <x:c r="J55" s="12" t="n">
        <x:v>85</x:v>
      </x:c>
      <x:c r="K55" s="12"/>
      <x:c r="L55" s="12"/>
      <x:c r="M55" s="12" t="str">
        <x:f>IF(K55="", "", MAX(0,IF(K55&lt;=20,100,IF(K55&lt;=30,85,IF(K55&lt;=40,70,IF(K55&lt;=50,55,IF(K55&lt;=60,40,20)))))-MIN(L55*5,20)))</x:f>
      </x:c>
      <x:c r="N55" s="12"/>
      <x:c r="O55" s="12"/>
      <x:c r="P55" s="12" t="str">
        <x:f>IF(OR(H55="",J55="",M55=""),"",ROUND(PERCENTRANK.INC($H$2:$H$941,H55)*35+J55*0.35+M55*0.30,0))</x:f>
      </x:c>
      <x:c r="Q55" s="12" t="str">
        <x:f>IF(P55="","",IF(P55&gt;=80,"ATTACK",IF(P55&gt;=65,"GROW",IF(P55&gt;=50,"PARTNER","WATCH"))))</x:f>
      </x:c>
      <x:c r="R55" s="12" t="str">
        <x:f>IF(Q55="","",IF(Q55="ATTACK","Grassroots + family acquisition",IF(Q55="GROW","Test local campaign",IF(Q55="PARTNER","Organisation-first partnership","Low priority / validate"))))</x:f>
      </x:c>
      <x:c r="S55" s="45" t="n">
        <x:v>2.096649749313605</x:v>
      </x:c>
      <x:c r="T55" t="str">
        <x:v>CORE</x:v>
      </x:c>
      <x:c r="U55" s="32" t="n">
        <x:f>PERCENTRANK.INC($G$2:$G$941,G55)</x:f>
        <x:v>0.376</x:v>
      </x:c>
      <x:c r="V55" s="32" t="n">
        <x:f>PERCENTRANK.INC($H$2:$H$941,H55)</x:f>
        <x:v>0.138</x:v>
      </x:c>
      <x:c r="W55" t="n">
        <x:f>ROUND((U55*55+V55*45)*IF(S55&lt;=5,1,IF(S55&lt;=10,0.95,IF(S55&lt;=20,0.85,0.70))),0)</x:f>
        <x:v>27</x:v>
      </x:c>
      <x:c r="X55" t="n">
        <x:v>53</x:v>
      </x:c>
      <x:c r="Y55" t="str">
        <x:v>PARTNER</x:v>
      </x:c>
      <x:c r="Z55" s="12" t="str">
        <x:v>Family + verified grassroots + straight-line geo only; transport not yet routed</x:v>
      </x:c>
      <x:c r="AA55" s="12"/>
      <x:c r="AB55" s="12"/>
      <x:c r="AC55" s="12"/>
      <x:c r="AD55" s="12"/>
      <x:c r="AE55" t="str">
        <x:v>Crystal Palace Women</x:v>
      </x:c>
      <x:c r="AF55" s="45" t="n">
        <x:v>5.690129049068129</x:v>
      </x:c>
      <x:c r="AG55" t="str">
        <x:v>Dulwich Hamlet Women</x:v>
      </x:c>
      <x:c r="AH55" s="45" t="n">
        <x:v>8.43696269314013</x:v>
      </x:c>
      <x:c r="AI55" t="n">
        <x:v>81</x:v>
      </x:c>
      <x:c r="AJ55" t="str">
        <x:v>HIGH</x:v>
      </x:c>
    </x:row>
    <x:row r="56">
      <x:c r="A56" s="12" t="str">
        <x:v>E01000828</x:v>
      </x:c>
      <x:c r="B56" s="12" t="str">
        <x:v>Bromley 011E</x:v>
      </x:c>
      <x:c r="C56" s="12" t="str">
        <x:v>Bromley</x:v>
      </x:c>
      <x:c r="D56" s="44" t="n">
        <x:v>51.401952297020095</x:v>
      </x:c>
      <x:c r="E56" s="44" t="n">
        <x:v>-0.0006439391922998455</x:v>
      </x:c>
      <x:c r="F56" s="33" t="n">
        <x:v>771</x:v>
      </x:c>
      <x:c r="G56" s="33" t="n">
        <x:v>213</x:v>
      </x:c>
      <x:c r="H56" s="26" t="n">
        <x:v>0.27626459143968873</x:v>
      </x:c>
      <x:c r="I56" s="12" t="n">
        <x:v>4</x:v>
      </x:c>
      <x:c r="J56" s="12" t="n">
        <x:v>94</x:v>
      </x:c>
      <x:c r="K56" s="12"/>
      <x:c r="L56" s="12"/>
      <x:c r="M56" s="12" t="str">
        <x:f>IF(K56="", "", MAX(0,IF(K56&lt;=20,100,IF(K56&lt;=30,85,IF(K56&lt;=40,70,IF(K56&lt;=50,55,IF(K56&lt;=60,40,20)))))-MIN(L56*5,20)))</x:f>
      </x:c>
      <x:c r="N56" s="12"/>
      <x:c r="O56" s="12"/>
      <x:c r="P56" s="12" t="str">
        <x:f>IF(OR(H56="",J56="",M56=""),"",ROUND(PERCENTRANK.INC($H$2:$H$941,H56)*35+J56*0.35+M56*0.30,0))</x:f>
      </x:c>
      <x:c r="Q56" s="12" t="str">
        <x:f>IF(P56="","",IF(P56&gt;=80,"ATTACK",IF(P56&gt;=65,"GROW",IF(P56&gt;=50,"PARTNER","WATCH"))))</x:f>
      </x:c>
      <x:c r="R56" s="12" t="str">
        <x:f>IF(Q56="","",IF(Q56="ATTACK","Grassroots + family acquisition",IF(Q56="GROW","Test local campaign",IF(Q56="PARTNER","Organisation-first partnership","Low priority / validate"))))</x:f>
      </x:c>
      <x:c r="S56" s="45" t="n">
        <x:v>1.7632087497955728</x:v>
      </x:c>
      <x:c r="T56" t="str">
        <x:v>CORE</x:v>
      </x:c>
      <x:c r="U56" s="32" t="n">
        <x:f>PERCENTRANK.INC($G$2:$G$941,G56)</x:f>
        <x:v>0.496</x:v>
      </x:c>
      <x:c r="V56" s="32" t="n">
        <x:f>PERCENTRANK.INC($H$2:$H$941,H56)</x:f>
        <x:v>0.279</x:v>
      </x:c>
      <x:c r="W56" t="n">
        <x:f>ROUND((U56*55+V56*45)*IF(S56&lt;=5,1,IF(S56&lt;=10,0.95,IF(S56&lt;=20,0.85,0.70))),0)</x:f>
        <x:v>40</x:v>
      </x:c>
      <x:c r="X56" t="n">
        <x:v>64</x:v>
      </x:c>
      <x:c r="Y56" t="str">
        <x:v>PARTNER</x:v>
      </x:c>
      <x:c r="Z56" s="12" t="str">
        <x:v>Family + verified grassroots + straight-line geo only; transport not yet routed</x:v>
      </x:c>
      <x:c r="AA56" s="12"/>
      <x:c r="AB56" s="12"/>
      <x:c r="AC56" s="12"/>
      <x:c r="AD56" s="12"/>
      <x:c r="AE56" t="str">
        <x:v>Crystal Palace Women</x:v>
      </x:c>
      <x:c r="AF56" s="45" t="n">
        <x:v>5.8765723532333185</x:v>
      </x:c>
      <x:c r="AG56" t="str">
        <x:v>Dulwich Hamlet Women</x:v>
      </x:c>
      <x:c r="AH56" s="45" t="n">
        <x:v>8.772380751993682</x:v>
      </x:c>
      <x:c r="AI56" t="n">
        <x:v>81</x:v>
      </x:c>
      <x:c r="AJ56" t="str">
        <x:v>HIGH</x:v>
      </x:c>
    </x:row>
    <x:row r="57">
      <x:c r="A57" s="12" t="str">
        <x:v>E01000712</x:v>
      </x:c>
      <x:c r="B57" s="12" t="str">
        <x:v>Bromley 012A</x:v>
      </x:c>
      <x:c r="C57" s="12" t="str">
        <x:v>Bromley</x:v>
      </x:c>
      <x:c r="D57" s="44" t="n">
        <x:v>51.411671543054446</x:v>
      </x:c>
      <x:c r="E57" s="44" t="n">
        <x:v>-0.01990640999681386</x:v>
      </x:c>
      <x:c r="F57" s="33" t="n">
        <x:v>876</x:v>
      </x:c>
      <x:c r="G57" s="33" t="n">
        <x:v>185</x:v>
      </x:c>
      <x:c r="H57" s="26" t="n">
        <x:v>0.21118721461187215</x:v>
      </x:c>
      <x:c r="I57" s="12" t="n">
        <x:v>4</x:v>
      </x:c>
      <x:c r="J57" s="12" t="n">
        <x:v>92</x:v>
      </x:c>
      <x:c r="K57" s="12"/>
      <x:c r="L57" s="12"/>
      <x:c r="M57" s="12" t="str">
        <x:f>IF(K57="", "", MAX(0,IF(K57&lt;=20,100,IF(K57&lt;=30,85,IF(K57&lt;=40,70,IF(K57&lt;=50,55,IF(K57&lt;=60,40,20)))))-MIN(L57*5,20)))</x:f>
      </x:c>
      <x:c r="N57" s="12"/>
      <x:c r="O57" s="12"/>
      <x:c r="P57" s="12" t="str">
        <x:f>IF(OR(H57="",J57="",M57=""),"",ROUND(PERCENTRANK.INC($H$2:$H$941,H57)*35+J57*0.35+M57*0.30,0))</x:f>
      </x:c>
      <x:c r="Q57" s="12" t="str">
        <x:f>IF(P57="","",IF(P57&gt;=80,"ATTACK",IF(P57&gt;=65,"GROW",IF(P57&gt;=50,"PARTNER","WATCH"))))</x:f>
      </x:c>
      <x:c r="R57" s="12" t="str">
        <x:f>IF(Q57="","",IF(Q57="ATTACK","Grassroots + family acquisition",IF(Q57="GROW","Test local campaign",IF(Q57="PARTNER","Organisation-first partnership","Low priority / validate"))))</x:f>
      </x:c>
      <x:c r="S57" s="45" t="n">
        <x:v>3.478637516066664</x:v>
      </x:c>
      <x:c r="T57" t="str">
        <x:v>CORE</x:v>
      </x:c>
      <x:c r="U57" s="32" t="n">
        <x:f>PERCENTRANK.INC($G$2:$G$941,G57)</x:f>
        <x:v>0.266</x:v>
      </x:c>
      <x:c r="V57" s="32" t="n">
        <x:f>PERCENTRANK.INC($H$2:$H$941,H57)</x:f>
        <x:v>0.085</x:v>
      </x:c>
      <x:c r="W57" t="n">
        <x:f>ROUND((U57*55+V57*45)*IF(S57&lt;=5,1,IF(S57&lt;=10,0.95,IF(S57&lt;=20,0.85,0.70))),0)</x:f>
        <x:v>18</x:v>
      </x:c>
      <x:c r="X57" t="n">
        <x:v>52</x:v>
      </x:c>
      <x:c r="Y57" t="str">
        <x:v>PARTNER</x:v>
      </x:c>
      <x:c r="Z57" s="12" t="str">
        <x:v>Family + verified grassroots + straight-line geo only; transport not yet routed</x:v>
      </x:c>
      <x:c r="AA57" s="12"/>
      <x:c r="AB57" s="12"/>
      <x:c r="AC57" s="12"/>
      <x:c r="AD57" s="12"/>
      <x:c r="AE57" t="str">
        <x:v>Crystal Palace Women</x:v>
      </x:c>
      <x:c r="AF57" s="45" t="n">
        <x:v>4.764290970273944</x:v>
      </x:c>
      <x:c r="AG57" t="str">
        <x:v>Dulwich Hamlet Women</x:v>
      </x:c>
      <x:c r="AH57" s="45" t="n">
        <x:v>7.085453143804965</x:v>
      </x:c>
      <x:c r="AI57" t="n">
        <x:v>81</x:v>
      </x:c>
      <x:c r="AJ57" t="str">
        <x:v>HIGH</x:v>
      </x:c>
    </x:row>
    <x:row r="58">
      <x:c r="A58" s="12" t="str">
        <x:v>E01000713</x:v>
      </x:c>
      <x:c r="B58" s="12" t="str">
        <x:v>Bromley 012B</x:v>
      </x:c>
      <x:c r="C58" s="12" t="str">
        <x:v>Bromley</x:v>
      </x:c>
      <x:c r="D58" s="44" t="n">
        <x:v>51.41103334240823</x:v>
      </x:c>
      <x:c r="E58" s="44" t="n">
        <x:v>-0.011639662790620257</x:v>
      </x:c>
      <x:c r="F58" s="33" t="n">
        <x:v>888</x:v>
      </x:c>
      <x:c r="G58" s="33" t="n">
        <x:v>238</x:v>
      </x:c>
      <x:c r="H58" s="26" t="n">
        <x:v>0.268018018018018</x:v>
      </x:c>
      <x:c r="I58" s="12" t="n">
        <x:v>4</x:v>
      </x:c>
      <x:c r="J58" s="12" t="n">
        <x:v>92</x:v>
      </x:c>
      <x:c r="K58" s="12"/>
      <x:c r="L58" s="12"/>
      <x:c r="M58" s="12" t="str">
        <x:f>IF(K58="", "", MAX(0,IF(K58&lt;=20,100,IF(K58&lt;=30,85,IF(K58&lt;=40,70,IF(K58&lt;=50,55,IF(K58&lt;=60,40,20)))))-MIN(L58*5,20)))</x:f>
      </x:c>
      <x:c r="N58" s="12"/>
      <x:c r="O58" s="12"/>
      <x:c r="P58" s="12" t="str">
        <x:f>IF(OR(H58="",J58="",M58=""),"",ROUND(PERCENTRANK.INC($H$2:$H$941,H58)*35+J58*0.35+M58*0.30,0))</x:f>
      </x:c>
      <x:c r="Q58" s="12" t="str">
        <x:f>IF(P58="","",IF(P58&gt;=80,"ATTACK",IF(P58&gt;=65,"GROW",IF(P58&gt;=50,"PARTNER","WATCH"))))</x:f>
      </x:c>
      <x:c r="R58" s="12" t="str">
        <x:f>IF(Q58="","",IF(Q58="ATTACK","Grassroots + family acquisition",IF(Q58="GROW","Test local campaign",IF(Q58="PARTNER","Organisation-first partnership","Low priority / validate"))))</x:f>
      </x:c>
      <x:c r="S58" s="45" t="n">
        <x:v>3.019189971619439</x:v>
      </x:c>
      <x:c r="T58" t="str">
        <x:v>CORE</x:v>
      </x:c>
      <x:c r="U58" s="32" t="n">
        <x:f>PERCENTRANK.INC($G$2:$G$941,G58)</x:f>
        <x:v>0.695</x:v>
      </x:c>
      <x:c r="V58" s="32" t="n">
        <x:f>PERCENTRANK.INC($H$2:$H$941,H58)</x:f>
        <x:v>0.252</x:v>
      </x:c>
      <x:c r="W58" t="n">
        <x:f>ROUND((U58*55+V58*45)*IF(S58&lt;=5,1,IF(S58&lt;=10,0.95,IF(S58&lt;=20,0.85,0.70))),0)</x:f>
        <x:v>50</x:v>
      </x:c>
      <x:c r="X58" t="n">
        <x:v>69</x:v>
      </x:c>
      <x:c r="Y58" t="str">
        <x:v>GROW</x:v>
      </x:c>
      <x:c r="Z58" s="12" t="str">
        <x:v>Family + verified grassroots + straight-line geo only; transport not yet routed</x:v>
      </x:c>
      <x:c r="AA58" s="12"/>
      <x:c r="AB58" s="12"/>
      <x:c r="AC58" s="12"/>
      <x:c r="AD58" s="12"/>
      <x:c r="AE58" t="str">
        <x:v>Crystal Palace Women</x:v>
      </x:c>
      <x:c r="AF58" s="45" t="n">
        <x:v>5.2925886245820415</x:v>
      </x:c>
      <x:c r="AG58" t="str">
        <x:v>Dulwich Hamlet Women</x:v>
      </x:c>
      <x:c r="AH58" s="45" t="n">
        <x:v>7.510725308083194</x:v>
      </x:c>
      <x:c r="AI58" t="n">
        <x:v>81</x:v>
      </x:c>
      <x:c r="AJ58" t="str">
        <x:v>HIGH</x:v>
      </x:c>
    </x:row>
    <x:row r="59">
      <x:c r="A59" s="12" t="str">
        <x:v>E01000715</x:v>
      </x:c>
      <x:c r="B59" s="12" t="str">
        <x:v>Bromley 012C</x:v>
      </x:c>
      <x:c r="C59" s="12" t="str">
        <x:v>Bromley</x:v>
      </x:c>
      <x:c r="D59" s="44" t="n">
        <x:v>51.40736799510189</x:v>
      </x:c>
      <x:c r="E59" s="44" t="n">
        <x:v>-0.016499309852443533</x:v>
      </x:c>
      <x:c r="F59" s="33" t="n">
        <x:v>927</x:v>
      </x:c>
      <x:c r="G59" s="33" t="n">
        <x:v>185</x:v>
      </x:c>
      <x:c r="H59" s="26" t="n">
        <x:v>0.19956850053937433</x:v>
      </x:c>
      <x:c r="I59" s="12" t="n">
        <x:v>4</x:v>
      </x:c>
      <x:c r="J59" s="12" t="n">
        <x:v>92</x:v>
      </x:c>
      <x:c r="K59" s="12"/>
      <x:c r="L59" s="12"/>
      <x:c r="M59" s="12" t="str">
        <x:f>IF(K59="", "", MAX(0,IF(K59&lt;=20,100,IF(K59&lt;=30,85,IF(K59&lt;=40,70,IF(K59&lt;=50,55,IF(K59&lt;=60,40,20)))))-MIN(L59*5,20)))</x:f>
      </x:c>
      <x:c r="N59" s="12"/>
      <x:c r="O59" s="12"/>
      <x:c r="P59" s="12" t="str">
        <x:f>IF(OR(H59="",J59="",M59=""),"",ROUND(PERCENTRANK.INC($H$2:$H$941,H59)*35+J59*0.35+M59*0.30,0))</x:f>
      </x:c>
      <x:c r="Q59" s="12" t="str">
        <x:f>IF(P59="","",IF(P59&gt;=80,"ATTACK",IF(P59&gt;=65,"GROW",IF(P59&gt;=50,"PARTNER","WATCH"))))</x:f>
      </x:c>
      <x:c r="R59" s="12" t="str">
        <x:f>IF(Q59="","",IF(Q59="ATTACK","Grassroots + family acquisition",IF(Q59="GROW","Test local campaign",IF(Q59="PARTNER","Organisation-first partnership","Low priority / validate"))))</x:f>
      </x:c>
      <x:c r="S59" s="45" t="n">
        <x:v>2.991857692396031</x:v>
      </x:c>
      <x:c r="T59" t="str">
        <x:v>CORE</x:v>
      </x:c>
      <x:c r="U59" s="32" t="n">
        <x:f>PERCENTRANK.INC($G$2:$G$941,G59)</x:f>
        <x:v>0.266</x:v>
      </x:c>
      <x:c r="V59" s="32" t="n">
        <x:f>PERCENTRANK.INC($H$2:$H$941,H59)</x:f>
        <x:v>0.068</x:v>
      </x:c>
      <x:c r="W59" t="n">
        <x:f>ROUND((U59*55+V59*45)*IF(S59&lt;=5,1,IF(S59&lt;=10,0.95,IF(S59&lt;=20,0.85,0.70))),0)</x:f>
        <x:v>18</x:v>
      </x:c>
      <x:c r="X59" t="n">
        <x:v>51</x:v>
      </x:c>
      <x:c r="Y59" t="str">
        <x:v>PARTNER</x:v>
      </x:c>
      <x:c r="Z59" s="12" t="str">
        <x:v>Family + verified grassroots + straight-line geo only; transport not yet routed</x:v>
      </x:c>
      <x:c r="AA59" s="12"/>
      <x:c r="AB59" s="12"/>
      <x:c r="AC59" s="12"/>
      <x:c r="AD59" s="12"/>
      <x:c r="AE59" t="str">
        <x:v>Crystal Palace Women</x:v>
      </x:c>
      <x:c r="AF59" s="45" t="n">
        <x:v>4.86820359360173</x:v>
      </x:c>
      <x:c r="AG59" t="str">
        <x:v>Dulwich Hamlet Women</x:v>
      </x:c>
      <x:c r="AH59" s="45" t="n">
        <x:v>7.607362436116698</x:v>
      </x:c>
      <x:c r="AI59" t="n">
        <x:v>81</x:v>
      </x:c>
      <x:c r="AJ59" t="str">
        <x:v>HIGH</x:v>
      </x:c>
    </x:row>
    <x:row r="60">
      <x:c r="A60" s="12" t="str">
        <x:v>E01000770</x:v>
      </x:c>
      <x:c r="B60" s="12" t="str">
        <x:v>Bromley 012D</x:v>
      </x:c>
      <x:c r="C60" s="12" t="str">
        <x:v>Bromley</x:v>
      </x:c>
      <x:c r="D60" s="44" t="n">
        <x:v>51.40356162487925</x:v>
      </x:c>
      <x:c r="E60" s="44" t="n">
        <x:v>-0.024105947592446077</x:v>
      </x:c>
      <x:c r="F60" s="33" t="n">
        <x:v>689</x:v>
      </x:c>
      <x:c r="G60" s="33" t="n">
        <x:v>156</x:v>
      </x:c>
      <x:c r="H60" s="26" t="n">
        <x:v>0.22641509433962265</x:v>
      </x:c>
      <x:c r="I60" s="12" t="n">
        <x:v>4</x:v>
      </x:c>
      <x:c r="J60" s="12" t="n">
        <x:v>85</x:v>
      </x:c>
      <x:c r="K60" s="12"/>
      <x:c r="L60" s="12"/>
      <x:c r="M60" s="12" t="str">
        <x:f>IF(K60="", "", MAX(0,IF(K60&lt;=20,100,IF(K60&lt;=30,85,IF(K60&lt;=40,70,IF(K60&lt;=50,55,IF(K60&lt;=60,40,20)))))-MIN(L60*5,20)))</x:f>
      </x:c>
      <x:c r="N60" s="12"/>
      <x:c r="O60" s="12"/>
      <x:c r="P60" s="12" t="str">
        <x:f>IF(OR(H60="",J60="",M60=""),"",ROUND(PERCENTRANK.INC($H$2:$H$941,H60)*35+J60*0.35+M60*0.30,0))</x:f>
      </x:c>
      <x:c r="Q60" s="12" t="str">
        <x:f>IF(P60="","",IF(P60&gt;=80,"ATTACK",IF(P60&gt;=65,"GROW",IF(P60&gt;=50,"PARTNER","WATCH"))))</x:f>
      </x:c>
      <x:c r="R60" s="12" t="str">
        <x:f>IF(Q60="","",IF(Q60="ATTACK","Grassroots + family acquisition",IF(Q60="GROW","Test local campaign",IF(Q60="PARTNER","Organisation-first partnership","Low priority / validate"))))</x:f>
      </x:c>
      <x:c r="S60" s="45" t="n">
        <x:v>3.2205665854813907</x:v>
      </x:c>
      <x:c r="T60" t="str">
        <x:v>CORE</x:v>
      </x:c>
      <x:c r="U60" s="32" t="n">
        <x:f>PERCENTRANK.INC($G$2:$G$941,G60)</x:f>
        <x:v>0.11</x:v>
      </x:c>
      <x:c r="V60" s="32" t="n">
        <x:f>PERCENTRANK.INC($H$2:$H$941,H60)</x:f>
        <x:v>0.122</x:v>
      </x:c>
      <x:c r="W60" t="n">
        <x:f>ROUND((U60*55+V60*45)*IF(S60&lt;=5,1,IF(S60&lt;=10,0.95,IF(S60&lt;=20,0.85,0.70))),0)</x:f>
        <x:v>12</x:v>
      </x:c>
      <x:c r="X60" t="n">
        <x:v>45</x:v>
      </x:c>
      <x:c r="Y60" t="str">
        <x:v>WATCH</x:v>
      </x:c>
      <x:c r="Z60" s="12" t="str">
        <x:v>Family + verified grassroots + straight-line geo only; transport not yet routed</x:v>
      </x:c>
      <x:c r="AA60" s="12"/>
      <x:c r="AB60" s="12"/>
      <x:c r="AC60" s="12"/>
      <x:c r="AD60" s="12"/>
      <x:c r="AE60" t="str">
        <x:v>Crystal Palace Women</x:v>
      </x:c>
      <x:c r="AF60" s="45" t="n">
        <x:v>4.275213979626079</x:v>
      </x:c>
      <x:c r="AG60" t="str">
        <x:v>Dulwich Hamlet Women</x:v>
      </x:c>
      <x:c r="AH60" s="45" t="n">
        <x:v>7.646945012454281</x:v>
      </x:c>
      <x:c r="AI60" t="n">
        <x:v>81</x:v>
      </x:c>
      <x:c r="AJ60" t="str">
        <x:v>HIGH</x:v>
      </x:c>
    </x:row>
    <x:row r="61">
      <x:c r="A61" s="12" t="str">
        <x:v>E01000772</x:v>
      </x:c>
      <x:c r="B61" s="12" t="str">
        <x:v>Bromley 012E</x:v>
      </x:c>
      <x:c r="C61" s="12" t="str">
        <x:v>Bromley</x:v>
      </x:c>
      <x:c r="D61" s="44" t="n">
        <x:v>51.40284777913213</x:v>
      </x:c>
      <x:c r="E61" s="44" t="n">
        <x:v>-0.01717214756709571</x:v>
      </x:c>
      <x:c r="F61" s="33" t="n">
        <x:v>755</x:v>
      </x:c>
      <x:c r="G61" s="33" t="n">
        <x:v>155</x:v>
      </x:c>
      <x:c r="H61" s="26" t="n">
        <x:v>0.2052980132450331</x:v>
      </x:c>
      <x:c r="I61" s="12" t="n">
        <x:v>4</x:v>
      </x:c>
      <x:c r="J61" s="12" t="n">
        <x:v>85</x:v>
      </x:c>
      <x:c r="K61" s="12"/>
      <x:c r="L61" s="12"/>
      <x:c r="M61" s="12" t="str">
        <x:f>IF(K61="", "", MAX(0,IF(K61&lt;=20,100,IF(K61&lt;=30,85,IF(K61&lt;=40,70,IF(K61&lt;=50,55,IF(K61&lt;=60,40,20)))))-MIN(L61*5,20)))</x:f>
      </x:c>
      <x:c r="N61" s="12"/>
      <x:c r="O61" s="12"/>
      <x:c r="P61" s="12" t="str">
        <x:f>IF(OR(H61="",J61="",M61=""),"",ROUND(PERCENTRANK.INC($H$2:$H$941,H61)*35+J61*0.35+M61*0.30,0))</x:f>
      </x:c>
      <x:c r="Q61" s="12" t="str">
        <x:f>IF(P61="","",IF(P61&gt;=80,"ATTACK",IF(P61&gt;=65,"GROW",IF(P61&gt;=50,"PARTNER","WATCH"))))</x:f>
      </x:c>
      <x:c r="R61" s="12" t="str">
        <x:f>IF(Q61="","",IF(Q61="ATTACK","Grassroots + family acquisition",IF(Q61="GROW","Test local campaign",IF(Q61="PARTNER","Organisation-first partnership","Low priority / validate"))))</x:f>
      </x:c>
      <x:c r="S61" s="45" t="n">
        <x:v>2.756223191435041</x:v>
      </x:c>
      <x:c r="T61" t="str">
        <x:v>CORE</x:v>
      </x:c>
      <x:c r="U61" s="32" t="n">
        <x:f>PERCENTRANK.INC($G$2:$G$941,G61)</x:f>
        <x:v>0.106</x:v>
      </x:c>
      <x:c r="V61" s="32" t="n">
        <x:f>PERCENTRANK.INC($H$2:$H$941,H61)</x:f>
        <x:v>0.075</x:v>
      </x:c>
      <x:c r="W61" t="n">
        <x:f>ROUND((U61*55+V61*45)*IF(S61&lt;=5,1,IF(S61&lt;=10,0.95,IF(S61&lt;=20,0.85,0.70))),0)</x:f>
        <x:v>9</x:v>
      </x:c>
      <x:c r="X61" t="n">
        <x:v>43</x:v>
      </x:c>
      <x:c r="Y61" t="str">
        <x:v>WATCH</x:v>
      </x:c>
      <x:c r="Z61" s="12" t="str">
        <x:v>Family + verified grassroots + straight-line geo only; transport not yet routed</x:v>
      </x:c>
      <x:c r="AA61" s="12"/>
      <x:c r="AB61" s="12"/>
      <x:c r="AC61" s="12"/>
      <x:c r="AD61" s="12"/>
      <x:c r="AE61" t="str">
        <x:v>Crystal Palace Women</x:v>
      </x:c>
      <x:c r="AF61" s="45" t="n">
        <x:v>4.742998499329888</x:v>
      </x:c>
      <x:c r="AG61" t="str">
        <x:v>Dulwich Hamlet Women</x:v>
      </x:c>
      <x:c r="AH61" s="45" t="n">
        <x:v>7.982683748597205</x:v>
      </x:c>
      <x:c r="AI61" t="n">
        <x:v>81</x:v>
      </x:c>
      <x:c r="AJ61" t="str">
        <x:v>HIGH</x:v>
      </x:c>
    </x:row>
    <x:row r="62">
      <x:c r="A62" s="12" t="str">
        <x:v>E01000700</x:v>
      </x:c>
      <x:c r="B62" s="12" t="str">
        <x:v>Bromley 013A</x:v>
      </x:c>
      <x:c r="C62" s="12" t="str">
        <x:v>Bromley</x:v>
      </x:c>
      <x:c r="D62" s="44" t="n">
        <x:v>51.406497641131814</x:v>
      </x:c>
      <x:c r="E62" s="44" t="n">
        <x:v>-0.046021136009452575</x:v>
      </x:c>
      <x:c r="F62" s="33" t="n">
        <x:v>667</x:v>
      </x:c>
      <x:c r="G62" s="33" t="n">
        <x:v>214</x:v>
      </x:c>
      <x:c r="H62" s="26" t="n">
        <x:v>0.32083958020989506</x:v>
      </x:c>
      <x:c r="I62" s="12" t="n">
        <x:v>4</x:v>
      </x:c>
      <x:c r="J62" s="12" t="n">
        <x:v>84</x:v>
      </x:c>
      <x:c r="K62" s="12"/>
      <x:c r="L62" s="12"/>
      <x:c r="M62" s="12" t="str">
        <x:f>IF(K62="", "", MAX(0,IF(K62&lt;=20,100,IF(K62&lt;=30,85,IF(K62&lt;=40,70,IF(K62&lt;=50,55,IF(K62&lt;=60,40,20)))))-MIN(L62*5,20)))</x:f>
      </x:c>
      <x:c r="N62" s="12"/>
      <x:c r="O62" s="12"/>
      <x:c r="P62" s="12" t="str">
        <x:f>IF(OR(H62="",J62="",M62=""),"",ROUND(PERCENTRANK.INC($H$2:$H$941,H62)*35+J62*0.35+M62*0.30,0))</x:f>
      </x:c>
      <x:c r="Q62" s="12" t="str">
        <x:f>IF(P62="","",IF(P62&gt;=80,"ATTACK",IF(P62&gt;=65,"GROW",IF(P62&gt;=50,"PARTNER","WATCH"))))</x:f>
      </x:c>
      <x:c r="R62" s="12" t="str">
        <x:f>IF(Q62="","",IF(Q62="ATTACK","Grassroots + family acquisition",IF(Q62="GROW","Test local campaign",IF(Q62="PARTNER","Organisation-first partnership","Low priority / validate"))))</x:f>
      </x:c>
      <x:c r="S62" s="45" t="n">
        <x:v>4.7459093492836315</x:v>
      </x:c>
      <x:c r="T62" t="str">
        <x:v>CORE</x:v>
      </x:c>
      <x:c r="U62" s="32" t="n">
        <x:f>PERCENTRANK.INC($G$2:$G$941,G62)</x:f>
        <x:v>0.502</x:v>
      </x:c>
      <x:c r="V62" s="32" t="n">
        <x:f>PERCENTRANK.INC($H$2:$H$941,H62)</x:f>
        <x:v>0.519</x:v>
      </x:c>
      <x:c r="W62" t="n">
        <x:f>ROUND((U62*55+V62*45)*IF(S62&lt;=5,1,IF(S62&lt;=10,0.95,IF(S62&lt;=20,0.85,0.70))),0)</x:f>
        <x:v>51</x:v>
      </x:c>
      <x:c r="X62" t="n">
        <x:v>66</x:v>
      </x:c>
      <x:c r="Y62" t="str">
        <x:v>GROW</x:v>
      </x:c>
      <x:c r="Z62" s="12" t="str">
        <x:v>Family + verified grassroots + straight-line geo only; transport not yet routed</x:v>
      </x:c>
      <x:c r="AA62" s="12"/>
      <x:c r="AB62" s="12"/>
      <x:c r="AC62" s="12"/>
      <x:c r="AD62" s="12"/>
      <x:c r="AE62" t="str">
        <x:v>Crystal Palace Women</x:v>
      </x:c>
      <x:c r="AF62" s="45" t="n">
        <x:v>2.8639985821726777</x:v>
      </x:c>
      <x:c r="AG62" t="str">
        <x:v>Dulwich Hamlet Women</x:v>
      </x:c>
      <x:c r="AH62" s="45" t="n">
        <x:v>6.639645423388612</x:v>
      </x:c>
      <x:c r="AI62" t="n">
        <x:v>92</x:v>
      </x:c>
      <x:c r="AJ62" t="str">
        <x:v>HIGH</x:v>
      </x:c>
    </x:row>
    <x:row r="63">
      <x:c r="A63" s="12" t="str">
        <x:v>E01000702</x:v>
      </x:c>
      <x:c r="B63" s="12" t="str">
        <x:v>Bromley 013B</x:v>
      </x:c>
      <x:c r="C63" s="12" t="str">
        <x:v>Bromley</x:v>
      </x:c>
      <x:c r="D63" s="44" t="n">
        <x:v>51.408969927437354</x:v>
      </x:c>
      <x:c r="E63" s="44" t="n">
        <x:v>-0.046951019073613015</x:v>
      </x:c>
      <x:c r="F63" s="33" t="n">
        <x:v>639</x:v>
      </x:c>
      <x:c r="G63" s="33" t="n">
        <x:v>183</x:v>
      </x:c>
      <x:c r="H63" s="26" t="n">
        <x:v>0.2863849765258216</x:v>
      </x:c>
      <x:c r="I63" s="12" t="n">
        <x:v>4</x:v>
      </x:c>
      <x:c r="J63" s="12" t="n">
        <x:v>84</x:v>
      </x:c>
      <x:c r="K63" s="12"/>
      <x:c r="L63" s="12"/>
      <x:c r="M63" s="12" t="str">
        <x:f>IF(K63="", "", MAX(0,IF(K63&lt;=20,100,IF(K63&lt;=30,85,IF(K63&lt;=40,70,IF(K63&lt;=50,55,IF(K63&lt;=60,40,20)))))-MIN(L63*5,20)))</x:f>
      </x:c>
      <x:c r="N63" s="12"/>
      <x:c r="O63" s="12"/>
      <x:c r="P63" s="12" t="str">
        <x:f>IF(OR(H63="",J63="",M63=""),"",ROUND(PERCENTRANK.INC($H$2:$H$941,H63)*35+J63*0.35+M63*0.30,0))</x:f>
      </x:c>
      <x:c r="Q63" s="12" t="str">
        <x:f>IF(P63="","",IF(P63&gt;=80,"ATTACK",IF(P63&gt;=65,"GROW",IF(P63&gt;=50,"PARTNER","WATCH"))))</x:f>
      </x:c>
      <x:c r="R63" s="12" t="str">
        <x:f>IF(Q63="","",IF(Q63="ATTACK","Grassroots + family acquisition",IF(Q63="GROW","Test local campaign",IF(Q63="PARTNER","Organisation-first partnership","Low priority / validate"))))</x:f>
      </x:c>
      <x:c r="S63" s="45" t="n">
        <x:v>4.911332440079109</x:v>
      </x:c>
      <x:c r="T63" t="str">
        <x:v>CORE</x:v>
      </x:c>
      <x:c r="U63" s="32" t="n">
        <x:f>PERCENTRANK.INC($G$2:$G$941,G63)</x:f>
        <x:v>0.248</x:v>
      </x:c>
      <x:c r="V63" s="32" t="n">
        <x:f>PERCENTRANK.INC($H$2:$H$941,H63)</x:f>
        <x:v>0.325</x:v>
      </x:c>
      <x:c r="W63" t="n">
        <x:f>ROUND((U63*55+V63*45)*IF(S63&lt;=5,1,IF(S63&lt;=10,0.95,IF(S63&lt;=20,0.85,0.70))),0)</x:f>
        <x:v>28</x:v>
      </x:c>
      <x:c r="X63" t="n">
        <x:v>54</x:v>
      </x:c>
      <x:c r="Y63" t="str">
        <x:v>PARTNER</x:v>
      </x:c>
      <x:c r="Z63" s="12" t="str">
        <x:v>Family + verified grassroots + straight-line geo only; transport not yet routed</x:v>
      </x:c>
      <x:c r="AA63" s="12"/>
      <x:c r="AB63" s="12"/>
      <x:c r="AC63" s="12"/>
      <x:c r="AD63" s="12"/>
      <x:c r="AE63" t="str">
        <x:v>Crystal Palace Women</x:v>
      </x:c>
      <x:c r="AF63" s="45" t="n">
        <x:v>2.904146405035705</x:v>
      </x:c>
      <x:c r="AG63" t="str">
        <x:v>Dulwich Hamlet Women</x:v>
      </x:c>
      <x:c r="AH63" s="45" t="n">
        <x:v>6.361869792379553</x:v>
      </x:c>
      <x:c r="AI63" t="n">
        <x:v>92</x:v>
      </x:c>
      <x:c r="AJ63" t="str">
        <x:v>HIGH</x:v>
      </x:c>
    </x:row>
    <x:row r="64">
      <x:c r="A64" s="12" t="str">
        <x:v>E01000703</x:v>
      </x:c>
      <x:c r="B64" s="12" t="str">
        <x:v>Bromley 013C</x:v>
      </x:c>
      <x:c r="C64" s="12" t="str">
        <x:v>Bromley</x:v>
      </x:c>
      <x:c r="D64" s="44" t="n">
        <x:v>51.407083367414614</x:v>
      </x:c>
      <x:c r="E64" s="44" t="n">
        <x:v>-0.03848446491280341</x:v>
      </x:c>
      <x:c r="F64" s="33" t="n">
        <x:v>700</x:v>
      </x:c>
      <x:c r="G64" s="33" t="n">
        <x:v>253</x:v>
      </x:c>
      <x:c r="H64" s="26" t="n">
        <x:v>0.36142857142857143</x:v>
      </x:c>
      <x:c r="I64" s="12" t="n">
        <x:v>4</x:v>
      </x:c>
      <x:c r="J64" s="12" t="n">
        <x:v>84</x:v>
      </x:c>
      <x:c r="K64" s="12"/>
      <x:c r="L64" s="12"/>
      <x:c r="M64" s="12" t="str">
        <x:f>IF(K64="", "", MAX(0,IF(K64&lt;=20,100,IF(K64&lt;=30,85,IF(K64&lt;=40,70,IF(K64&lt;=50,55,IF(K64&lt;=60,40,20)))))-MIN(L64*5,20)))</x:f>
      </x:c>
      <x:c r="N64" s="12"/>
      <x:c r="O64" s="12"/>
      <x:c r="P64" s="12" t="str">
        <x:f>IF(OR(H64="",J64="",M64=""),"",ROUND(PERCENTRANK.INC($H$2:$H$941,H64)*35+J64*0.35+M64*0.30,0))</x:f>
      </x:c>
      <x:c r="Q64" s="12" t="str">
        <x:f>IF(P64="","",IF(P64&gt;=80,"ATTACK",IF(P64&gt;=65,"GROW",IF(P64&gt;=50,"PARTNER","WATCH"))))</x:f>
      </x:c>
      <x:c r="R64" s="12" t="str">
        <x:f>IF(Q64="","",IF(Q64="ATTACK","Grassroots + family acquisition",IF(Q64="GROW","Test local campaign",IF(Q64="PARTNER","Organisation-first partnership","Low priority / validate"))))</x:f>
      </x:c>
      <x:c r="S64" s="45" t="n">
        <x:v>4.2898040182415045</x:v>
      </x:c>
      <x:c r="T64" t="str">
        <x:v>CORE</x:v>
      </x:c>
      <x:c r="U64" s="32" t="n">
        <x:f>PERCENTRANK.INC($G$2:$G$941,G64)</x:f>
        <x:v>0.8</x:v>
      </x:c>
      <x:c r="V64" s="32" t="n">
        <x:f>PERCENTRANK.INC($H$2:$H$941,H64)</x:f>
        <x:v>0.743</x:v>
      </x:c>
      <x:c r="W64" t="n">
        <x:f>ROUND((U64*55+V64*45)*IF(S64&lt;=5,1,IF(S64&lt;=10,0.95,IF(S64&lt;=20,0.85,0.70))),0)</x:f>
        <x:v>77</x:v>
      </x:c>
      <x:c r="X64" t="n">
        <x:v>80</x:v>
      </x:c>
      <x:c r="Y64" t="str">
        <x:v>ATTACK</x:v>
      </x:c>
      <x:c r="Z64" s="12" t="str">
        <x:v>Family + verified grassroots + straight-line geo only; transport not yet routed</x:v>
      </x:c>
      <x:c r="AA64" s="12"/>
      <x:c r="AB64" s="12"/>
      <x:c r="AC64" s="12"/>
      <x:c r="AD64" s="12"/>
      <x:c r="AE64" t="str">
        <x:v>Crystal Palace Women</x:v>
      </x:c>
      <x:c r="AF64" s="45" t="n">
        <x:v>3.381877184942395</x:v>
      </x:c>
      <x:c r="AG64" t="str">
        <x:v>Dulwich Hamlet Women</x:v>
      </x:c>
      <x:c r="AH64" s="45" t="n">
        <x:v>6.805687351503912</x:v>
      </x:c>
      <x:c r="AI64" t="n">
        <x:v>81</x:v>
      </x:c>
      <x:c r="AJ64" t="str">
        <x:v>HIGH</x:v>
      </x:c>
    </x:row>
    <x:row r="65">
      <x:c r="A65" s="12" t="str">
        <x:v>E01000706</x:v>
      </x:c>
      <x:c r="B65" s="12" t="str">
        <x:v>Bromley 013D</x:v>
      </x:c>
      <x:c r="C65" s="12" t="str">
        <x:v>Bromley</x:v>
      </x:c>
      <x:c r="D65" s="44" t="n">
        <x:v>51.40310002534338</x:v>
      </x:c>
      <x:c r="E65" s="44" t="n">
        <x:v>-0.05087166925397915</x:v>
      </x:c>
      <x:c r="F65" s="33" t="n">
        <x:v>610</x:v>
      </x:c>
      <x:c r="G65" s="33" t="n">
        <x:v>179</x:v>
      </x:c>
      <x:c r="H65" s="26" t="n">
        <x:v>0.2934426229508197</x:v>
      </x:c>
      <x:c r="I65" s="12" t="n">
        <x:v>4</x:v>
      </x:c>
      <x:c r="J65" s="12" t="n">
        <x:v>84</x:v>
      </x:c>
      <x:c r="K65" s="12"/>
      <x:c r="L65" s="12"/>
      <x:c r="M65" s="12" t="str">
        <x:f>IF(K65="", "", MAX(0,IF(K65&lt;=20,100,IF(K65&lt;=30,85,IF(K65&lt;=40,70,IF(K65&lt;=50,55,IF(K65&lt;=60,40,20)))))-MIN(L65*5,20)))</x:f>
      </x:c>
      <x:c r="N65" s="12"/>
      <x:c r="O65" s="12"/>
      <x:c r="P65" s="12" t="str">
        <x:f>IF(OR(H65="",J65="",M65=""),"",ROUND(PERCENTRANK.INC($H$2:$H$941,H65)*35+J65*0.35+M65*0.30,0))</x:f>
      </x:c>
      <x:c r="Q65" s="12" t="str">
        <x:f>IF(P65="","",IF(P65&gt;=80,"ATTACK",IF(P65&gt;=65,"GROW",IF(P65&gt;=50,"PARTNER","WATCH"))))</x:f>
      </x:c>
      <x:c r="R65" s="12" t="str">
        <x:f>IF(Q65="","",IF(Q65="ATTACK","Grassroots + family acquisition",IF(Q65="GROW","Test local campaign",IF(Q65="PARTNER","Organisation-first partnership","Low priority / validate"))))</x:f>
      </x:c>
      <x:c r="S65" s="45" t="n">
        <x:v>4.945040051384571</x:v>
      </x:c>
      <x:c r="T65" t="str">
        <x:v>CORE</x:v>
      </x:c>
      <x:c r="U65" s="32" t="n">
        <x:f>PERCENTRANK.INC($G$2:$G$941,G65)</x:f>
        <x:v>0.22</x:v>
      </x:c>
      <x:c r="V65" s="32" t="n">
        <x:f>PERCENTRANK.INC($H$2:$H$941,H65)</x:f>
        <x:v>0.361</x:v>
      </x:c>
      <x:c r="W65" t="n">
        <x:f>ROUND((U65*55+V65*45)*IF(S65&lt;=5,1,IF(S65&lt;=10,0.95,IF(S65&lt;=20,0.85,0.70))),0)</x:f>
        <x:v>28</x:v>
      </x:c>
      <x:c r="X65" t="n">
        <x:v>54</x:v>
      </x:c>
      <x:c r="Y65" t="str">
        <x:v>PARTNER</x:v>
      </x:c>
      <x:c r="Z65" s="12" t="str">
        <x:v>Family + verified grassroots + straight-line geo only; transport not yet routed</x:v>
      </x:c>
      <x:c r="AA65" s="12"/>
      <x:c r="AB65" s="12"/>
      <x:c r="AC65" s="12"/>
      <x:c r="AD65" s="12"/>
      <x:c r="AE65" t="str">
        <x:v>Crystal Palace Women</x:v>
      </x:c>
      <x:c r="AF65" s="45" t="n">
        <x:v>2.4375844375218034</x:v>
      </x:c>
      <x:c r="AG65" t="str">
        <x:v>Dulwich Hamlet Women</x:v>
      </x:c>
      <x:c r="AH65" s="45" t="n">
        <x:v>6.868597332988722</x:v>
      </x:c>
      <x:c r="AI65" t="n">
        <x:v>92</x:v>
      </x:c>
      <x:c r="AJ65" t="str">
        <x:v>HIGH</x:v>
      </x:c>
    </x:row>
    <x:row r="66">
      <x:c r="A66" s="12" t="str">
        <x:v>E01000797</x:v>
      </x:c>
      <x:c r="B66" s="12" t="str">
        <x:v>Bromley 013E</x:v>
      </x:c>
      <x:c r="C66" s="12" t="str">
        <x:v>Bromley</x:v>
      </x:c>
      <x:c r="D66" s="44" t="n">
        <x:v>51.41173398027234</x:v>
      </x:c>
      <x:c r="E66" s="44" t="n">
        <x:v>-0.04215007357452812</x:v>
      </x:c>
      <x:c r="F66" s="33" t="n">
        <x:v>689</x:v>
      </x:c>
      <x:c r="G66" s="33" t="n">
        <x:v>218</x:v>
      </x:c>
      <x:c r="H66" s="26" t="n">
        <x:v>0.3164005805515239</x:v>
      </x:c>
      <x:c r="I66" s="12" t="n">
        <x:v>4</x:v>
      </x:c>
      <x:c r="J66" s="12" t="n">
        <x:v>92</x:v>
      </x:c>
      <x:c r="K66" s="12"/>
      <x:c r="L66" s="12"/>
      <x:c r="M66" s="12" t="str">
        <x:f>IF(K66="", "", MAX(0,IF(K66&lt;=20,100,IF(K66&lt;=30,85,IF(K66&lt;=40,70,IF(K66&lt;=50,55,IF(K66&lt;=60,40,20)))))-MIN(L66*5,20)))</x:f>
      </x:c>
      <x:c r="N66" s="12"/>
      <x:c r="O66" s="12"/>
      <x:c r="P66" s="12" t="str">
        <x:f>IF(OR(H66="",J66="",M66=""),"",ROUND(PERCENTRANK.INC($H$2:$H$941,H66)*35+J66*0.35+M66*0.30,0))</x:f>
      </x:c>
      <x:c r="Q66" s="12" t="str">
        <x:f>IF(P66="","",IF(P66&gt;=80,"ATTACK",IF(P66&gt;=65,"GROW",IF(P66&gt;=50,"PARTNER","WATCH"))))</x:f>
      </x:c>
      <x:c r="R66" s="12" t="str">
        <x:f>IF(Q66="","",IF(Q66="ATTACK","Grassroots + family acquisition",IF(Q66="GROW","Test local campaign",IF(Q66="PARTNER","Organisation-first partnership","Low priority / validate"))))</x:f>
      </x:c>
      <x:c r="S66" s="45" t="n">
        <x:v>4.750468571058402</x:v>
      </x:c>
      <x:c r="T66" t="str">
        <x:v>CORE</x:v>
      </x:c>
      <x:c r="U66" s="32" t="n">
        <x:f>PERCENTRANK.INC($G$2:$G$941,G66)</x:f>
        <x:v>0.538</x:v>
      </x:c>
      <x:c r="V66" s="32" t="n">
        <x:f>PERCENTRANK.INC($H$2:$H$941,H66)</x:f>
        <x:v>0.493</x:v>
      </x:c>
      <x:c r="W66" t="n">
        <x:f>ROUND((U66*55+V66*45)*IF(S66&lt;=5,1,IF(S66&lt;=10,0.95,IF(S66&lt;=20,0.85,0.70))),0)</x:f>
        <x:v>52</x:v>
      </x:c>
      <x:c r="X66" t="n">
        <x:v>70</x:v>
      </x:c>
      <x:c r="Y66" t="str">
        <x:v>GROW</x:v>
      </x:c>
      <x:c r="Z66" s="12" t="str">
        <x:v>Family + verified grassroots + straight-line geo only; transport not yet routed</x:v>
      </x:c>
      <x:c r="AA66" s="12"/>
      <x:c r="AB66" s="12"/>
      <x:c r="AC66" s="12"/>
      <x:c r="AD66" s="12"/>
      <x:c r="AE66" t="str">
        <x:v>Crystal Palace Women</x:v>
      </x:c>
      <x:c r="AF66" s="45" t="n">
        <x:v>3.336830659115113</x:v>
      </x:c>
      <x:c r="AG66" t="str">
        <x:v>Dulwich Hamlet Women</x:v>
      </x:c>
      <x:c r="AH66" s="45" t="n">
        <x:v>6.229634694877129</x:v>
      </x:c>
      <x:c r="AI66" t="n">
        <x:v>81</x:v>
      </x:c>
      <x:c r="AJ66" t="str">
        <x:v>HIGH</x:v>
      </x:c>
    </x:row>
    <x:row r="67">
      <x:c r="A67" s="12" t="str">
        <x:v>E01000729</x:v>
      </x:c>
      <x:c r="B67" s="12" t="str">
        <x:v>Bromley 014A</x:v>
      </x:c>
      <x:c r="C67" s="12" t="str">
        <x:v>Bromley</x:v>
      </x:c>
      <x:c r="D67" s="44" t="n">
        <x:v>51.40556997039915</x:v>
      </x:c>
      <x:c r="E67" s="44" t="n">
        <x:v>0.10710004846579967</x:v>
      </x:c>
      <x:c r="F67" s="33" t="n">
        <x:v>834</x:v>
      </x:c>
      <x:c r="G67" s="33" t="n">
        <x:v>307</x:v>
      </x:c>
      <x:c r="H67" s="26" t="n">
        <x:v>0.36810551558752996</x:v>
      </x:c>
      <x:c r="I67" s="12" t="n">
        <x:v>2</x:v>
      </x:c>
      <x:c r="J67" s="12" t="n">
        <x:v>62</x:v>
      </x:c>
      <x:c r="K67" s="12"/>
      <x:c r="L67" s="12"/>
      <x:c r="M67" s="12" t="str">
        <x:f>IF(K67="", "", MAX(0,IF(K67&lt;=20,100,IF(K67&lt;=30,85,IF(K67&lt;=40,70,IF(K67&lt;=50,55,IF(K67&lt;=60,40,20)))))-MIN(L67*5,20)))</x:f>
      </x:c>
      <x:c r="N67" s="12"/>
      <x:c r="O67" s="12"/>
      <x:c r="P67" s="12" t="str">
        <x:f>IF(OR(H67="",J67="",M67=""),"",ROUND(PERCENTRANK.INC($H$2:$H$941,H67)*35+J67*0.35+M67*0.30,0))</x:f>
      </x:c>
      <x:c r="Q67" s="12" t="str">
        <x:f>IF(P67="","",IF(P67&gt;=80,"ATTACK",IF(P67&gt;=65,"GROW",IF(P67&gt;=50,"PARTNER","WATCH"))))</x:f>
      </x:c>
      <x:c r="R67" s="12" t="str">
        <x:f>IF(Q67="","",IF(Q67="ATTACK","Grassroots + family acquisition",IF(Q67="GROW","Test local campaign",IF(Q67="PARTNER","Organisation-first partnership","Low priority / validate"))))</x:f>
      </x:c>
      <x:c r="S67" s="45" t="n">
        <x:v>6.410012222077351</x:v>
      </x:c>
      <x:c r="T67" t="str">
        <x:v>NEAR</x:v>
      </x:c>
      <x:c r="U67" s="32" t="n">
        <x:f>PERCENTRANK.INC($G$2:$G$941,G67)</x:f>
        <x:v>0.947</x:v>
      </x:c>
      <x:c r="V67" s="32" t="n">
        <x:f>PERCENTRANK.INC($H$2:$H$941,H67)</x:f>
        <x:v>0.787</x:v>
      </x:c>
      <x:c r="W67" t="n">
        <x:f>ROUND((U67*55+V67*45)*IF(S67&lt;=5,1,IF(S67&lt;=10,0.95,IF(S67&lt;=20,0.85,0.70))),0)</x:f>
        <x:v>83</x:v>
      </x:c>
      <x:c r="X67" t="n">
        <x:v>74</x:v>
      </x:c>
      <x:c r="Y67" t="str">
        <x:v>GROW</x:v>
      </x:c>
      <x:c r="Z67" s="12" t="str">
        <x:v>Family + verified grassroots + straight-line geo only; transport not yet routed</x:v>
      </x:c>
      <x:c r="AA67" s="12"/>
      <x:c r="AB67" s="12"/>
      <x:c r="AC67" s="12"/>
      <x:c r="AD67" s="12"/>
      <x:c r="AE67" t="str">
        <x:v>Charlton Athletic Women</x:v>
      </x:c>
      <x:c r="AF67" s="45" t="n">
        <x:v>10.244971732606798</x:v>
      </x:c>
      <x:c r="AG67" t="str">
        <x:v>Dulwich Hamlet Women</x:v>
      </x:c>
      <x:c r="AH67" s="45" t="n">
        <x:v>14.624803774089914</x:v>
      </x:c>
      <x:c r="AI67" t="n">
        <x:v>50</x:v>
      </x:c>
      <x:c r="AJ67" t="str">
        <x:v>MEDIUM</x:v>
      </x:c>
    </x:row>
    <x:row r="68">
      <x:c r="A68" s="12" t="str">
        <x:v>E01000730</x:v>
      </x:c>
      <x:c r="B68" s="12" t="str">
        <x:v>Bromley 014B</x:v>
      </x:c>
      <x:c r="C68" s="12" t="str">
        <x:v>Bromley</x:v>
      </x:c>
      <x:c r="D68" s="44" t="n">
        <x:v>51.39653116461519</x:v>
      </x:c>
      <x:c r="E68" s="44" t="n">
        <x:v>0.10579945323828112</x:v>
      </x:c>
      <x:c r="F68" s="33" t="n">
        <x:v>669</x:v>
      </x:c>
      <x:c r="G68" s="33" t="n">
        <x:v>284</x:v>
      </x:c>
      <x:c r="H68" s="26" t="n">
        <x:v>0.42451420029895365</x:v>
      </x:c>
      <x:c r="I68" s="12" t="n">
        <x:v>2</x:v>
      </x:c>
      <x:c r="J68" s="12" t="n">
        <x:v>54</x:v>
      </x:c>
      <x:c r="K68" s="12"/>
      <x:c r="L68" s="12"/>
      <x:c r="M68" s="12" t="str">
        <x:f>IF(K68="", "", MAX(0,IF(K68&lt;=20,100,IF(K68&lt;=30,85,IF(K68&lt;=40,70,IF(K68&lt;=50,55,IF(K68&lt;=60,40,20)))))-MIN(L68*5,20)))</x:f>
      </x:c>
      <x:c r="N68" s="12"/>
      <x:c r="O68" s="12"/>
      <x:c r="P68" s="12" t="str">
        <x:f>IF(OR(H68="",J68="",M68=""),"",ROUND(PERCENTRANK.INC($H$2:$H$941,H68)*35+J68*0.35+M68*0.30,0))</x:f>
      </x:c>
      <x:c r="Q68" s="12" t="str">
        <x:f>IF(P68="","",IF(P68&gt;=80,"ATTACK",IF(P68&gt;=65,"GROW",IF(P68&gt;=50,"PARTNER","WATCH"))))</x:f>
      </x:c>
      <x:c r="R68" s="12" t="str">
        <x:f>IF(Q68="","",IF(Q68="ATTACK","Grassroots + family acquisition",IF(Q68="GROW","Test local campaign",IF(Q68="PARTNER","Organisation-first partnership","Low priority / validate"))))</x:f>
      </x:c>
      <x:c r="S68" s="45" t="n">
        <x:v>6.142851729834086</x:v>
      </x:c>
      <x:c r="T68" t="str">
        <x:v>NEAR</x:v>
      </x:c>
      <x:c r="U68" s="32" t="n">
        <x:f>PERCENTRANK.INC($G$2:$G$941,G68)</x:f>
        <x:v>0.912</x:v>
      </x:c>
      <x:c r="V68" s="32" t="n">
        <x:f>PERCENTRANK.INC($H$2:$H$941,H68)</x:f>
        <x:v>0.951</x:v>
      </x:c>
      <x:c r="W68" t="n">
        <x:f>ROUND((U68*55+V68*45)*IF(S68&lt;=5,1,IF(S68&lt;=10,0.95,IF(S68&lt;=20,0.85,0.70))),0)</x:f>
        <x:v>88</x:v>
      </x:c>
      <x:c r="X68" t="n">
        <x:v>73</x:v>
      </x:c>
      <x:c r="Y68" t="str">
        <x:v>GROW</x:v>
      </x:c>
      <x:c r="Z68" s="12" t="str">
        <x:v>Family + verified grassroots + straight-line geo only; transport not yet routed</x:v>
      </x:c>
      <x:c r="AA68" s="12"/>
      <x:c r="AB68" s="12"/>
      <x:c r="AC68" s="12"/>
      <x:c r="AD68" s="12"/>
      <x:c r="AE68" t="str">
        <x:v>Charlton Athletic Women</x:v>
      </x:c>
      <x:c r="AF68" s="45" t="n">
        <x:v>11.097878685183709</x:v>
      </x:c>
      <x:c r="AG68" t="str">
        <x:v>Dulwich Hamlet Women</x:v>
      </x:c>
      <x:c r="AH68" s="45" t="n">
        <x:v>15.00033438203063</x:v>
      </x:c>
      <x:c r="AI68" t="n">
        <x:v>45</x:v>
      </x:c>
      <x:c r="AJ68" t="str">
        <x:v>LOW</x:v>
      </x:c>
    </x:row>
    <x:row r="69">
      <x:c r="A69" s="12" t="str">
        <x:v>E01000735</x:v>
      </x:c>
      <x:c r="B69" s="12" t="str">
        <x:v>Bromley 014C</x:v>
      </x:c>
      <x:c r="C69" s="12" t="str">
        <x:v>Bromley</x:v>
      </x:c>
      <x:c r="D69" s="44" t="n">
        <x:v>51.41162362236255</x:v>
      </x:c>
      <x:c r="E69" s="44" t="n">
        <x:v>0.10612297728816827</x:v>
      </x:c>
      <x:c r="F69" s="33" t="n">
        <x:v>554</x:v>
      </x:c>
      <x:c r="G69" s="33" t="n">
        <x:v>224</x:v>
      </x:c>
      <x:c r="H69" s="26" t="n">
        <x:v>0.4043321299638989</x:v>
      </x:c>
      <x:c r="I69" s="12" t="n">
        <x:v>2</x:v>
      </x:c>
      <x:c r="J69" s="12" t="n">
        <x:v>62</x:v>
      </x:c>
      <x:c r="K69" s="12"/>
      <x:c r="L69" s="12"/>
      <x:c r="M69" s="12" t="str">
        <x:f>IF(K69="", "", MAX(0,IF(K69&lt;=20,100,IF(K69&lt;=30,85,IF(K69&lt;=40,70,IF(K69&lt;=50,55,IF(K69&lt;=60,40,20)))))-MIN(L69*5,20)))</x:f>
      </x:c>
      <x:c r="N69" s="12"/>
      <x:c r="O69" s="12"/>
      <x:c r="P69" s="12" t="str">
        <x:f>IF(OR(H69="",J69="",M69=""),"",ROUND(PERCENTRANK.INC($H$2:$H$941,H69)*35+J69*0.35+M69*0.30,0))</x:f>
      </x:c>
      <x:c r="Q69" s="12" t="str">
        <x:f>IF(P69="","",IF(P69&gt;=80,"ATTACK",IF(P69&gt;=65,"GROW",IF(P69&gt;=50,"PARTNER","WATCH"))))</x:f>
      </x:c>
      <x:c r="R69" s="12" t="str">
        <x:f>IF(Q69="","",IF(Q69="ATTACK","Grassroots + family acquisition",IF(Q69="GROW","Test local campaign",IF(Q69="PARTNER","Organisation-first partnership","Low priority / validate"))))</x:f>
      </x:c>
      <x:c r="S69" s="45" t="n">
        <x:v>6.548569976260589</x:v>
      </x:c>
      <x:c r="T69" t="str">
        <x:v>NEAR</x:v>
      </x:c>
      <x:c r="U69" s="32" t="n">
        <x:f>PERCENTRANK.INC($G$2:$G$941,G69)</x:f>
        <x:v>0.576</x:v>
      </x:c>
      <x:c r="V69" s="32" t="n">
        <x:f>PERCENTRANK.INC($H$2:$H$941,H69)</x:f>
        <x:v>0.92</x:v>
      </x:c>
      <x:c r="W69" t="n">
        <x:f>ROUND((U69*55+V69*45)*IF(S69&lt;=5,1,IF(S69&lt;=10,0.95,IF(S69&lt;=20,0.85,0.70))),0)</x:f>
        <x:v>69</x:v>
      </x:c>
      <x:c r="X69" t="n">
        <x:v>66</x:v>
      </x:c>
      <x:c r="Y69" t="str">
        <x:v>GROW</x:v>
      </x:c>
      <x:c r="Z69" s="12" t="str">
        <x:v>Family + verified grassroots + straight-line geo only; transport not yet routed</x:v>
      </x:c>
      <x:c r="AA69" s="12"/>
      <x:c r="AB69" s="12"/>
      <x:c r="AC69" s="12"/>
      <x:c r="AD69" s="12"/>
      <x:c r="AE69" t="str">
        <x:v>Charlton Athletic Women</x:v>
      </x:c>
      <x:c r="AF69" s="45" t="n">
        <x:v>9.625381346205227</x:v>
      </x:c>
      <x:c r="AG69" t="str">
        <x:v>Dulwich Hamlet Women</x:v>
      </x:c>
      <x:c r="AH69" s="45" t="n">
        <x:v>14.289139851755731</x:v>
      </x:c>
      <x:c r="AI69" t="n">
        <x:v>65</x:v>
      </x:c>
      <x:c r="AJ69" t="str">
        <x:v>MEDIUM</x:v>
      </x:c>
    </x:row>
    <x:row r="70">
      <x:c r="A70" s="12" t="str">
        <x:v>E01000738</x:v>
      </x:c>
      <x:c r="B70" s="12" t="str">
        <x:v>Bromley 014D</x:v>
      </x:c>
      <x:c r="C70" s="12" t="str">
        <x:v>Bromley</x:v>
      </x:c>
      <x:c r="D70" s="44" t="n">
        <x:v>51.40400946793964</x:v>
      </x:c>
      <x:c r="E70" s="44" t="n">
        <x:v>0.11104526385677818</x:v>
      </x:c>
      <x:c r="F70" s="33" t="n">
        <x:v>646</x:v>
      </x:c>
      <x:c r="G70" s="33" t="n">
        <x:v>214</x:v>
      </x:c>
      <x:c r="H70" s="26" t="n">
        <x:v>0.33126934984520123</x:v>
      </x:c>
      <x:c r="I70" s="12" t="n">
        <x:v>2</x:v>
      </x:c>
      <x:c r="J70" s="12" t="n">
        <x:v>54</x:v>
      </x:c>
      <x:c r="K70" s="12"/>
      <x:c r="L70" s="12"/>
      <x:c r="M70" s="12" t="str">
        <x:f>IF(K70="", "", MAX(0,IF(K70&lt;=20,100,IF(K70&lt;=30,85,IF(K70&lt;=40,70,IF(K70&lt;=50,55,IF(K70&lt;=60,40,20)))))-MIN(L70*5,20)))</x:f>
      </x:c>
      <x:c r="N70" s="12"/>
      <x:c r="O70" s="12"/>
      <x:c r="P70" s="12" t="str">
        <x:f>IF(OR(H70="",J70="",M70=""),"",ROUND(PERCENTRANK.INC($H$2:$H$941,H70)*35+J70*0.35+M70*0.30,0))</x:f>
      </x:c>
      <x:c r="Q70" s="12" t="str">
        <x:f>IF(P70="","",IF(P70&gt;=80,"ATTACK",IF(P70&gt;=65,"GROW",IF(P70&gt;=50,"PARTNER","WATCH"))))</x:f>
      </x:c>
      <x:c r="R70" s="12" t="str">
        <x:f>IF(Q70="","",IF(Q70="ATTACK","Grassroots + family acquisition",IF(Q70="GROW","Test local campaign",IF(Q70="PARTNER","Organisation-first partnership","Low priority / validate"))))</x:f>
      </x:c>
      <x:c r="S70" s="45" t="n">
        <x:v>6.635246684003655</x:v>
      </x:c>
      <x:c r="T70" t="str">
        <x:v>NEAR</x:v>
      </x:c>
      <x:c r="U70" s="32" t="n">
        <x:f>PERCENTRANK.INC($G$2:$G$941,G70)</x:f>
        <x:v>0.502</x:v>
      </x:c>
      <x:c r="V70" s="32" t="n">
        <x:f>PERCENTRANK.INC($H$2:$H$941,H70)</x:f>
        <x:v>0.576</x:v>
      </x:c>
      <x:c r="W70" t="n">
        <x:f>ROUND((U70*55+V70*45)*IF(S70&lt;=5,1,IF(S70&lt;=10,0.95,IF(S70&lt;=20,0.85,0.70))),0)</x:f>
        <x:v>51</x:v>
      </x:c>
      <x:c r="X70" t="n">
        <x:v>53</x:v>
      </x:c>
      <x:c r="Y70" t="str">
        <x:v>PARTNER</x:v>
      </x:c>
      <x:c r="Z70" s="12" t="str">
        <x:v>Family + verified grassroots + straight-line geo only; transport not yet routed</x:v>
      </x:c>
      <x:c r="AA70" s="12"/>
      <x:c r="AB70" s="12"/>
      <x:c r="AC70" s="12"/>
      <x:c r="AD70" s="12"/>
      <x:c r="AE70" t="str">
        <x:v>Charlton Athletic Women</x:v>
      </x:c>
      <x:c r="AF70" s="45" t="n">
        <x:v>10.529632099179103</x:v>
      </x:c>
      <x:c r="AG70" t="str">
        <x:v>Dulwich Hamlet Women</x:v>
      </x:c>
      <x:c r="AH70" s="45" t="n">
        <x:v>14.946324427505367</x:v>
      </x:c>
      <x:c r="AI70" t="n">
        <x:v>50</x:v>
      </x:c>
      <x:c r="AJ70" t="str">
        <x:v>MEDIUM</x:v>
      </x:c>
    </x:row>
    <x:row r="71">
      <x:c r="A71" s="12" t="str">
        <x:v>E01000739</x:v>
      </x:c>
      <x:c r="B71" s="12" t="str">
        <x:v>Bromley 014E</x:v>
      </x:c>
      <x:c r="C71" s="12" t="str">
        <x:v>Bromley</x:v>
      </x:c>
      <x:c r="D71" s="44" t="n">
        <x:v>51.40043729146758</x:v>
      </x:c>
      <x:c r="E71" s="44" t="n">
        <x:v>0.10676944481894664</x:v>
      </x:c>
      <x:c r="F71" s="33" t="n">
        <x:v>637</x:v>
      </x:c>
      <x:c r="G71" s="33" t="n">
        <x:v>255</x:v>
      </x:c>
      <x:c r="H71" s="26" t="n">
        <x:v>0.4003139717425432</x:v>
      </x:c>
      <x:c r="I71" s="12" t="n">
        <x:v>2</x:v>
      </x:c>
      <x:c r="J71" s="12" t="n">
        <x:v>54</x:v>
      </x:c>
      <x:c r="K71" s="12"/>
      <x:c r="L71" s="12"/>
      <x:c r="M71" s="12" t="str">
        <x:f>IF(K71="", "", MAX(0,IF(K71&lt;=20,100,IF(K71&lt;=30,85,IF(K71&lt;=40,70,IF(K71&lt;=50,55,IF(K71&lt;=60,40,20)))))-MIN(L71*5,20)))</x:f>
      </x:c>
      <x:c r="N71" s="12"/>
      <x:c r="O71" s="12"/>
      <x:c r="P71" s="12" t="str">
        <x:f>IF(OR(H71="",J71="",M71=""),"",ROUND(PERCENTRANK.INC($H$2:$H$941,H71)*35+J71*0.35+M71*0.30,0))</x:f>
      </x:c>
      <x:c r="Q71" s="12" t="str">
        <x:f>IF(P71="","",IF(P71&gt;=80,"ATTACK",IF(P71&gt;=65,"GROW",IF(P71&gt;=50,"PARTNER","WATCH"))))</x:f>
      </x:c>
      <x:c r="R71" s="12" t="str">
        <x:f>IF(Q71="","",IF(Q71="ATTACK","Grassroots + family acquisition",IF(Q71="GROW","Test local campaign",IF(Q71="PARTNER","Organisation-first partnership","Low priority / validate"))))</x:f>
      </x:c>
      <x:c r="S71" s="45" t="n">
        <x:v>6.267616369107368</x:v>
      </x:c>
      <x:c r="T71" t="str">
        <x:v>NEAR</x:v>
      </x:c>
      <x:c r="U71" s="32" t="n">
        <x:f>PERCENTRANK.INC($G$2:$G$941,G71)</x:f>
        <x:v>0.806</x:v>
      </x:c>
      <x:c r="V71" s="32" t="n">
        <x:f>PERCENTRANK.INC($H$2:$H$941,H71)</x:f>
        <x:v>0.905</x:v>
      </x:c>
      <x:c r="W71" t="n">
        <x:f>ROUND((U71*55+V71*45)*IF(S71&lt;=5,1,IF(S71&lt;=10,0.95,IF(S71&lt;=20,0.85,0.70))),0)</x:f>
        <x:v>81</x:v>
      </x:c>
      <x:c r="X71" t="n">
        <x:v>69</x:v>
      </x:c>
      <x:c r="Y71" t="str">
        <x:v>GROW</x:v>
      </x:c>
      <x:c r="Z71" s="12" t="str">
        <x:v>Family + verified grassroots + straight-line geo only; transport not yet routed</x:v>
      </x:c>
      <x:c r="AA71" s="12"/>
      <x:c r="AB71" s="12"/>
      <x:c r="AC71" s="12"/>
      <x:c r="AD71" s="12"/>
      <x:c r="AE71" t="str">
        <x:v>Charlton Athletic Women</x:v>
      </x:c>
      <x:c r="AF71" s="45" t="n">
        <x:v>10.738825956333898</x:v>
      </x:c>
      <x:c r="AG71" t="str">
        <x:v>Dulwich Hamlet Women</x:v>
      </x:c>
      <x:c r="AH71" s="45" t="n">
        <x:v>14.85596417736989</x:v>
      </x:c>
      <x:c r="AI71" t="n">
        <x:v>50</x:v>
      </x:c>
      <x:c r="AJ71" t="str">
        <x:v>MEDIUM</x:v>
      </x:c>
    </x:row>
    <x:row r="72">
      <x:c r="A72" s="12" t="str">
        <x:v>E01000699</x:v>
      </x:c>
      <x:c r="B72" s="12" t="str">
        <x:v>Bromley 015A</x:v>
      </x:c>
      <x:c r="C72" s="12" t="str">
        <x:v>Bromley</x:v>
      </x:c>
      <x:c r="D72" s="44" t="n">
        <x:v>51.406535104915825</x:v>
      </x:c>
      <x:c r="E72" s="44" t="n">
        <x:v>-0.05980688331765015</x:v>
      </x:c>
      <x:c r="F72" s="33" t="n">
        <x:v>665</x:v>
      </x:c>
      <x:c r="G72" s="33" t="n">
        <x:v>205</x:v>
      </x:c>
      <x:c r="H72" s="26" t="n">
        <x:v>0.3082706766917293</x:v>
      </x:c>
      <x:c r="I72" s="12" t="n">
        <x:v>4</x:v>
      </x:c>
      <x:c r="J72" s="12" t="n">
        <x:v>77</x:v>
      </x:c>
      <x:c r="K72" s="12"/>
      <x:c r="L72" s="12"/>
      <x:c r="M72" s="12" t="str">
        <x:f>IF(K72="", "", MAX(0,IF(K72&lt;=20,100,IF(K72&lt;=30,85,IF(K72&lt;=40,70,IF(K72&lt;=50,55,IF(K72&lt;=60,40,20)))))-MIN(L72*5,20)))</x:f>
      </x:c>
      <x:c r="N72" s="12"/>
      <x:c r="O72" s="12"/>
      <x:c r="P72" s="12" t="str">
        <x:f>IF(OR(H72="",J72="",M72=""),"",ROUND(PERCENTRANK.INC($H$2:$H$941,H72)*35+J72*0.35+M72*0.30,0))</x:f>
      </x:c>
      <x:c r="Q72" s="12" t="str">
        <x:f>IF(P72="","",IF(P72&gt;=80,"ATTACK",IF(P72&gt;=65,"GROW",IF(P72&gt;=50,"PARTNER","WATCH"))))</x:f>
      </x:c>
      <x:c r="R72" s="12" t="str">
        <x:f>IF(Q72="","",IF(Q72="ATTACK","Grassroots + family acquisition",IF(Q72="GROW","Test local campaign",IF(Q72="PARTNER","Organisation-first partnership","Low priority / validate"))))</x:f>
      </x:c>
      <x:c r="S72" s="45" t="n">
        <x:v>5.6488515553949155</x:v>
      </x:c>
      <x:c r="T72" t="str">
        <x:v>NEAR</x:v>
      </x:c>
      <x:c r="U72" s="32" t="n">
        <x:f>PERCENTRANK.INC($G$2:$G$941,G72)</x:f>
        <x:v>0.432</x:v>
      </x:c>
      <x:c r="V72" s="32" t="n">
        <x:f>PERCENTRANK.INC($H$2:$H$941,H72)</x:f>
        <x:v>0.435</x:v>
      </x:c>
      <x:c r="W72" t="n">
        <x:f>ROUND((U72*55+V72*45)*IF(S72&lt;=5,1,IF(S72&lt;=10,0.95,IF(S72&lt;=20,0.85,0.70))),0)</x:f>
        <x:v>41</x:v>
      </x:c>
      <x:c r="X72" t="n">
        <x:v>57</x:v>
      </x:c>
      <x:c r="Y72" t="str">
        <x:v>PARTNER</x:v>
      </x:c>
      <x:c r="Z72" s="12" t="str">
        <x:v>Family + verified grassroots + straight-line geo only; transport not yet routed</x:v>
      </x:c>
      <x:c r="AA72" s="12"/>
      <x:c r="AB72" s="12"/>
      <x:c r="AC72" s="12"/>
      <x:c r="AD72" s="12"/>
      <x:c r="AE72" t="str">
        <x:v>Crystal Palace Women</x:v>
      </x:c>
      <x:c r="AF72" s="45" t="n">
        <x:v>1.983234768916931</x:v>
      </x:c>
      <x:c r="AG72" t="str">
        <x:v>Dulwich Hamlet Women</x:v>
      </x:c>
      <x:c r="AH72" s="45" t="n">
        <x:v>6.318079865046825</x:v>
      </x:c>
      <x:c r="AI72" t="n">
        <x:v>92</x:v>
      </x:c>
      <x:c r="AJ72" t="str">
        <x:v>HIGH</x:v>
      </x:c>
    </x:row>
    <x:row r="73">
      <x:c r="A73" s="12" t="str">
        <x:v>E01000701</x:v>
      </x:c>
      <x:c r="B73" s="12" t="str">
        <x:v>Bromley 015B</x:v>
      </x:c>
      <x:c r="C73" s="12" t="str">
        <x:v>Bromley</x:v>
      </x:c>
      <x:c r="D73" s="44" t="n">
        <x:v>51.40645942259215</x:v>
      </x:c>
      <x:c r="E73" s="44" t="n">
        <x:v>-0.052929903303294244</x:v>
      </x:c>
      <x:c r="F73" s="33" t="n">
        <x:v>612</x:v>
      </x:c>
      <x:c r="G73" s="33" t="n">
        <x:v>222</x:v>
      </x:c>
      <x:c r="H73" s="26" t="n">
        <x:v>0.3627450980392157</x:v>
      </x:c>
      <x:c r="I73" s="12" t="n">
        <x:v>4</x:v>
      </x:c>
      <x:c r="J73" s="12" t="n">
        <x:v>84</x:v>
      </x:c>
      <x:c r="K73" s="12"/>
      <x:c r="L73" s="12"/>
      <x:c r="M73" s="12" t="str">
        <x:f>IF(K73="", "", MAX(0,IF(K73&lt;=20,100,IF(K73&lt;=30,85,IF(K73&lt;=40,70,IF(K73&lt;=50,55,IF(K73&lt;=60,40,20)))))-MIN(L73*5,20)))</x:f>
      </x:c>
      <x:c r="N73" s="12"/>
      <x:c r="O73" s="12"/>
      <x:c r="P73" s="12" t="str">
        <x:f>IF(OR(H73="",J73="",M73=""),"",ROUND(PERCENTRANK.INC($H$2:$H$941,H73)*35+J73*0.35+M73*0.30,0))</x:f>
      </x:c>
      <x:c r="Q73" s="12" t="str">
        <x:f>IF(P73="","",IF(P73&gt;=80,"ATTACK",IF(P73&gt;=65,"GROW",IF(P73&gt;=50,"PARTNER","WATCH"))))</x:f>
      </x:c>
      <x:c r="R73" s="12" t="str">
        <x:f>IF(Q73="","",IF(Q73="ATTACK","Grassroots + family acquisition",IF(Q73="GROW","Test local campaign",IF(Q73="PARTNER","Organisation-first partnership","Low priority / validate"))))</x:f>
      </x:c>
      <x:c r="S73" s="45" t="n">
        <x:v>5.193931561470998</x:v>
      </x:c>
      <x:c r="T73" t="str">
        <x:v>NEAR</x:v>
      </x:c>
      <x:c r="U73" s="32" t="n">
        <x:f>PERCENTRANK.INC($G$2:$G$941,G73)</x:f>
        <x:v>0.559</x:v>
      </x:c>
      <x:c r="V73" s="32" t="n">
        <x:f>PERCENTRANK.INC($H$2:$H$941,H73)</x:f>
        <x:v>0.755</x:v>
      </x:c>
      <x:c r="W73" t="n">
        <x:f>ROUND((U73*55+V73*45)*IF(S73&lt;=5,1,IF(S73&lt;=10,0.95,IF(S73&lt;=20,0.85,0.70))),0)</x:f>
        <x:v>61</x:v>
      </x:c>
      <x:c r="X73" t="n">
        <x:v>72</x:v>
      </x:c>
      <x:c r="Y73" t="str">
        <x:v>GROW</x:v>
      </x:c>
      <x:c r="Z73" s="12" t="str">
        <x:v>Family + verified grassroots + straight-line geo only; transport not yet routed</x:v>
      </x:c>
      <x:c r="AA73" s="12"/>
      <x:c r="AB73" s="12"/>
      <x:c r="AC73" s="12"/>
      <x:c r="AD73" s="12"/>
      <x:c r="AE73" t="str">
        <x:v>Crystal Palace Women</x:v>
      </x:c>
      <x:c r="AF73" s="45" t="n">
        <x:v>2.41303522599659</x:v>
      </x:c>
      <x:c r="AG73" t="str">
        <x:v>Dulwich Hamlet Women</x:v>
      </x:c>
      <x:c r="AH73" s="45" t="n">
        <x:v>6.468823492987987</x:v>
      </x:c>
      <x:c r="AI73" t="n">
        <x:v>92</x:v>
      </x:c>
      <x:c r="AJ73" t="str">
        <x:v>HIGH</x:v>
      </x:c>
    </x:row>
    <x:row r="74">
      <x:c r="A74" s="12" t="str">
        <x:v>E01000704</x:v>
      </x:c>
      <x:c r="B74" s="12" t="str">
        <x:v>Bromley 015C</x:v>
      </x:c>
      <x:c r="C74" s="12" t="str">
        <x:v>Bromley</x:v>
      </x:c>
      <x:c r="D74" s="44" t="n">
        <x:v>51.403696245995725</x:v>
      </x:c>
      <x:c r="E74" s="44" t="n">
        <x:v>-0.059034111789806235</x:v>
      </x:c>
      <x:c r="F74" s="33" t="n">
        <x:v>600</x:v>
      </x:c>
      <x:c r="G74" s="33" t="n">
        <x:v>204</x:v>
      </x:c>
      <x:c r="H74" s="26" t="n">
        <x:v>0.34</x:v>
      </x:c>
      <x:c r="I74" s="12" t="n">
        <x:v>4</x:v>
      </x:c>
      <x:c r="J74" s="12" t="n">
        <x:v>85</x:v>
      </x:c>
      <x:c r="K74" s="12"/>
      <x:c r="L74" s="12"/>
      <x:c r="M74" s="12" t="str">
        <x:f>IF(K74="", "", MAX(0,IF(K74&lt;=20,100,IF(K74&lt;=30,85,IF(K74&lt;=40,70,IF(K74&lt;=50,55,IF(K74&lt;=60,40,20)))))-MIN(L74*5,20)))</x:f>
      </x:c>
      <x:c r="N74" s="12"/>
      <x:c r="O74" s="12"/>
      <x:c r="P74" s="12" t="str">
        <x:f>IF(OR(H74="",J74="",M74=""),"",ROUND(PERCENTRANK.INC($H$2:$H$941,H74)*35+J74*0.35+M74*0.30,0))</x:f>
      </x:c>
      <x:c r="Q74" s="12" t="str">
        <x:f>IF(P74="","",IF(P74&gt;=80,"ATTACK",IF(P74&gt;=65,"GROW",IF(P74&gt;=50,"PARTNER","WATCH"))))</x:f>
      </x:c>
      <x:c r="R74" s="12" t="str">
        <x:f>IF(Q74="","",IF(Q74="ATTACK","Grassroots + family acquisition",IF(Q74="GROW","Test local campaign",IF(Q74="PARTNER","Organisation-first partnership","Low priority / validate"))))</x:f>
      </x:c>
      <x:c r="S74" s="45" t="n">
        <x:v>5.508674744505074</x:v>
      </x:c>
      <x:c r="T74" t="str">
        <x:v>NEAR</x:v>
      </x:c>
      <x:c r="U74" s="32" t="n">
        <x:f>PERCENTRANK.INC($G$2:$G$941,G74)</x:f>
        <x:v>0.421</x:v>
      </x:c>
      <x:c r="V74" s="32" t="n">
        <x:f>PERCENTRANK.INC($H$2:$H$941,H74)</x:f>
        <x:v>0.616</x:v>
      </x:c>
      <x:c r="W74" t="n">
        <x:f>ROUND((U74*55+V74*45)*IF(S74&lt;=5,1,IF(S74&lt;=10,0.95,IF(S74&lt;=20,0.85,0.70))),0)</x:f>
        <x:v>48</x:v>
      </x:c>
      <x:c r="X74" t="n">
        <x:v>65</x:v>
      </x:c>
      <x:c r="Y74" t="str">
        <x:v>GROW</x:v>
      </x:c>
      <x:c r="Z74" s="12" t="str">
        <x:v>Family + verified grassroots + straight-line geo only; transport not yet routed</x:v>
      </x:c>
      <x:c r="AA74" s="12"/>
      <x:c r="AB74" s="12"/>
      <x:c r="AC74" s="12"/>
      <x:c r="AD74" s="12"/>
      <x:c r="AE74" t="str">
        <x:v>Crystal Palace Women</x:v>
      </x:c>
      <x:c r="AF74" s="45" t="n">
        <x:v>1.9091636019354903</x:v>
      </x:c>
      <x:c r="AG74" t="str">
        <x:v>Dulwich Hamlet Women</x:v>
      </x:c>
      <x:c r="AH74" s="45" t="n">
        <x:v>6.636741309814129</x:v>
      </x:c>
      <x:c r="AI74" t="n">
        <x:v>92</x:v>
      </x:c>
      <x:c r="AJ74" t="str">
        <x:v>HIGH</x:v>
      </x:c>
    </x:row>
    <x:row r="75">
      <x:c r="A75" s="12" t="str">
        <x:v>E01000705</x:v>
      </x:c>
      <x:c r="B75" s="12" t="str">
        <x:v>Bromley 015D</x:v>
      </x:c>
      <x:c r="C75" s="12" t="str">
        <x:v>Bromley</x:v>
      </x:c>
      <x:c r="D75" s="44" t="n">
        <x:v>51.404328904535866</x:v>
      </x:c>
      <x:c r="E75" s="44" t="n">
        <x:v>-0.06496273730063433</x:v>
      </x:c>
      <x:c r="F75" s="33" t="n">
        <x:v>571</x:v>
      </x:c>
      <x:c r="G75" s="33" t="n">
        <x:v>173</x:v>
      </x:c>
      <x:c r="H75" s="26" t="n">
        <x:v>0.30297723292469353</x:v>
      </x:c>
      <x:c r="I75" s="12" t="n">
        <x:v>5</x:v>
      </x:c>
      <x:c r="J75" s="12" t="n">
        <x:v>100</x:v>
      </x:c>
      <x:c r="K75" s="12"/>
      <x:c r="L75" s="12"/>
      <x:c r="M75" s="12" t="str">
        <x:f>IF(K75="", "", MAX(0,IF(K75&lt;=20,100,IF(K75&lt;=30,85,IF(K75&lt;=40,70,IF(K75&lt;=50,55,IF(K75&lt;=60,40,20)))))-MIN(L75*5,20)))</x:f>
      </x:c>
      <x:c r="N75" s="12"/>
      <x:c r="O75" s="12"/>
      <x:c r="P75" s="12" t="str">
        <x:f>IF(OR(H75="",J75="",M75=""),"",ROUND(PERCENTRANK.INC($H$2:$H$941,H75)*35+J75*0.35+M75*0.30,0))</x:f>
      </x:c>
      <x:c r="Q75" s="12" t="str">
        <x:f>IF(P75="","",IF(P75&gt;=80,"ATTACK",IF(P75&gt;=65,"GROW",IF(P75&gt;=50,"PARTNER","WATCH"))))</x:f>
      </x:c>
      <x:c r="R75" s="12" t="str">
        <x:f>IF(Q75="","",IF(Q75="ATTACK","Grassroots + family acquisition",IF(Q75="GROW","Test local campaign",IF(Q75="PARTNER","Organisation-first partnership","Low priority / validate"))))</x:f>
      </x:c>
      <x:c r="S75" s="45" t="n">
        <x:v>5.9243416654186705</x:v>
      </x:c>
      <x:c r="T75" t="str">
        <x:v>NEAR</x:v>
      </x:c>
      <x:c r="U75" s="32" t="n">
        <x:f>PERCENTRANK.INC($G$2:$G$941,G75)</x:f>
        <x:v>0.185</x:v>
      </x:c>
      <x:c r="V75" s="32" t="n">
        <x:f>PERCENTRANK.INC($H$2:$H$941,H75)</x:f>
        <x:v>0.411</x:v>
      </x:c>
      <x:c r="W75" t="n">
        <x:f>ROUND((U75*55+V75*45)*IF(S75&lt;=5,1,IF(S75&lt;=10,0.95,IF(S75&lt;=20,0.85,0.70))),0)</x:f>
        <x:v>27</x:v>
      </x:c>
      <x:c r="X75" t="n">
        <x:v>60</x:v>
      </x:c>
      <x:c r="Y75" t="str">
        <x:v>PARTNER</x:v>
      </x:c>
      <x:c r="Z75" s="12" t="str">
        <x:v>Family + verified grassroots + straight-line geo only; transport not yet routed</x:v>
      </x:c>
      <x:c r="AA75" s="12"/>
      <x:c r="AB75" s="12"/>
      <x:c r="AC75" s="12"/>
      <x:c r="AD75" s="12"/>
      <x:c r="AE75" t="str">
        <x:v>Crystal Palace Women</x:v>
      </x:c>
      <x:c r="AF75" s="45" t="n">
        <x:v>1.5535494594197499</x:v>
      </x:c>
      <x:c r="AG75" t="str">
        <x:v>Dulwich Hamlet Women</x:v>
      </x:c>
      <x:c r="AH75" s="45" t="n">
        <x:v>6.472803840838499</x:v>
      </x:c>
      <x:c r="AI75" t="n">
        <x:v>92</x:v>
      </x:c>
      <x:c r="AJ75" t="str">
        <x:v>HIGH</x:v>
      </x:c>
    </x:row>
    <x:row r="76">
      <x:c r="A76" s="12" t="str">
        <x:v>E01000801</x:v>
      </x:c>
      <x:c r="B76" s="12" t="str">
        <x:v>Bromley 015E</x:v>
      </x:c>
      <x:c r="C76" s="12" t="str">
        <x:v>Bromley</x:v>
      </x:c>
      <x:c r="D76" s="44" t="n">
        <x:v>51.40897861901741</x:v>
      </x:c>
      <x:c r="E76" s="44" t="n">
        <x:v>-0.0552448557072823</x:v>
      </x:c>
      <x:c r="F76" s="33" t="n">
        <x:v>653</x:v>
      </x:c>
      <x:c r="G76" s="33" t="n">
        <x:v>200</x:v>
      </x:c>
      <x:c r="H76" s="26" t="n">
        <x:v>0.30627871362940273</x:v>
      </x:c>
      <x:c r="I76" s="12" t="n">
        <x:v>4</x:v>
      </x:c>
      <x:c r="J76" s="12" t="n">
        <x:v>84</x:v>
      </x:c>
      <x:c r="K76" s="12"/>
      <x:c r="L76" s="12"/>
      <x:c r="M76" s="12" t="str">
        <x:f>IF(K76="", "", MAX(0,IF(K76&lt;=20,100,IF(K76&lt;=30,85,IF(K76&lt;=40,70,IF(K76&lt;=50,55,IF(K76&lt;=60,40,20)))))-MIN(L76*5,20)))</x:f>
      </x:c>
      <x:c r="N76" s="12"/>
      <x:c r="O76" s="12"/>
      <x:c r="P76" s="12" t="str">
        <x:f>IF(OR(H76="",J76="",M76=""),"",ROUND(PERCENTRANK.INC($H$2:$H$941,H76)*35+J76*0.35+M76*0.30,0))</x:f>
      </x:c>
      <x:c r="Q76" s="12" t="str">
        <x:f>IF(P76="","",IF(P76&gt;=80,"ATTACK",IF(P76&gt;=65,"GROW",IF(P76&gt;=50,"PARTNER","WATCH"))))</x:f>
      </x:c>
      <x:c r="R76" s="12" t="str">
        <x:f>IF(Q76="","",IF(Q76="ATTACK","Grassroots + family acquisition",IF(Q76="GROW","Test local campaign",IF(Q76="PARTNER","Organisation-first partnership","Low priority / validate"))))</x:f>
      </x:c>
      <x:c r="S76" s="45" t="n">
        <x:v>5.442232055591578</x:v>
      </x:c>
      <x:c r="T76" t="str">
        <x:v>NEAR</x:v>
      </x:c>
      <x:c r="U76" s="32" t="n">
        <x:f>PERCENTRANK.INC($G$2:$G$941,G76)</x:f>
        <x:v>0.388</x:v>
      </x:c>
      <x:c r="V76" s="32" t="n">
        <x:f>PERCENTRANK.INC($H$2:$H$941,H76)</x:f>
        <x:v>0.424</x:v>
      </x:c>
      <x:c r="W76" t="n">
        <x:f>ROUND((U76*55+V76*45)*IF(S76&lt;=5,1,IF(S76&lt;=10,0.95,IF(S76&lt;=20,0.85,0.70))),0)</x:f>
        <x:v>38</x:v>
      </x:c>
      <x:c r="X76" t="n">
        <x:v>59</x:v>
      </x:c>
      <x:c r="Y76" t="str">
        <x:v>PARTNER</x:v>
      </x:c>
      <x:c r="Z76" s="12" t="str">
        <x:v>Family + verified grassroots + straight-line geo only; transport not yet routed</x:v>
      </x:c>
      <x:c r="AA76" s="12"/>
      <x:c r="AB76" s="12"/>
      <x:c r="AC76" s="12"/>
      <x:c r="AD76" s="12"/>
      <x:c r="AE76" t="str">
        <x:v>Crystal Palace Women</x:v>
      </x:c>
      <x:c r="AF76" s="45" t="n">
        <x:v>2.391331983010266</x:v>
      </x:c>
      <x:c r="AG76" t="str">
        <x:v>Dulwich Hamlet Women</x:v>
      </x:c>
      <x:c r="AH76" s="45" t="n">
        <x:v>6.151523650301738</x:v>
      </x:c>
      <x:c r="AI76" t="n">
        <x:v>92</x:v>
      </x:c>
      <x:c r="AJ76" t="str">
        <x:v>HIGH</x:v>
      </x:c>
    </x:row>
    <x:row r="77">
      <x:c r="A77" s="12" t="str">
        <x:v>E01000646</x:v>
      </x:c>
      <x:c r="B77" s="12" t="str">
        <x:v>Bromley 016A</x:v>
      </x:c>
      <x:c r="C77" s="12" t="str">
        <x:v>Bromley</x:v>
      </x:c>
      <x:c r="D77" s="44" t="n">
        <x:v>51.40667946612832</x:v>
      </x:c>
      <x:c r="E77" s="44" t="n">
        <x:v>0.030060683569198436</x:v>
      </x:c>
      <x:c r="F77" s="33" t="n">
        <x:v>779</x:v>
      </x:c>
      <x:c r="G77" s="33" t="n">
        <x:v>235</x:v>
      </x:c>
      <x:c r="H77" s="26" t="n">
        <x:v>0.30166880616174585</x:v>
      </x:c>
      <x:c r="I77" s="12" t="n">
        <x:v>4</x:v>
      </x:c>
      <x:c r="J77" s="12" t="n">
        <x:v>86</x:v>
      </x:c>
      <x:c r="K77" s="12"/>
      <x:c r="L77" s="12"/>
      <x:c r="M77" s="12" t="str">
        <x:f>IF(K77="", "", MAX(0,IF(K77&lt;=20,100,IF(K77&lt;=30,85,IF(K77&lt;=40,70,IF(K77&lt;=50,55,IF(K77&lt;=60,40,20)))))-MIN(L77*5,20)))</x:f>
      </x:c>
      <x:c r="N77" s="12"/>
      <x:c r="O77" s="12"/>
      <x:c r="P77" s="12" t="str">
        <x:f>IF(OR(H77="",J77="",M77=""),"",ROUND(PERCENTRANK.INC($H$2:$H$941,H77)*35+J77*0.35+M77*0.30,0))</x:f>
      </x:c>
      <x:c r="Q77" s="12" t="str">
        <x:f>IF(P77="","",IF(P77&gt;=80,"ATTACK",IF(P77&gt;=65,"GROW",IF(P77&gt;=50,"PARTNER","WATCH"))))</x:f>
      </x:c>
      <x:c r="R77" s="12" t="str">
        <x:f>IF(Q77="","",IF(Q77="ATTACK","Grassroots + family acquisition",IF(Q77="GROW","Test local campaign",IF(Q77="PARTNER","Organisation-first partnership","Low priority / validate"))))</x:f>
      </x:c>
      <x:c r="S77" s="45" t="n">
        <x:v>1.9442387258904184</x:v>
      </x:c>
      <x:c r="T77" t="str">
        <x:v>CORE</x:v>
      </x:c>
      <x:c r="U77" s="32" t="n">
        <x:f>PERCENTRANK.INC($G$2:$G$941,G77)</x:f>
        <x:v>0.667</x:v>
      </x:c>
      <x:c r="V77" s="32" t="n">
        <x:f>PERCENTRANK.INC($H$2:$H$941,H77)</x:f>
        <x:v>0.404</x:v>
      </x:c>
      <x:c r="W77" t="n">
        <x:f>ROUND((U77*55+V77*45)*IF(S77&lt;=5,1,IF(S77&lt;=10,0.95,IF(S77&lt;=20,0.85,0.70))),0)</x:f>
        <x:v>55</x:v>
      </x:c>
      <x:c r="X77" t="n">
        <x:v>69</x:v>
      </x:c>
      <x:c r="Y77" t="str">
        <x:v>GROW</x:v>
      </x:c>
      <x:c r="Z77" s="12" t="str">
        <x:v>Family + verified grassroots + straight-line geo only; transport not yet routed</x:v>
      </x:c>
      <x:c r="AA77" s="12"/>
      <x:c r="AB77" s="12"/>
      <x:c r="AC77" s="12"/>
      <x:c r="AD77" s="12"/>
      <x:c r="AE77" t="str">
        <x:v>Crystal Palace Women</x:v>
      </x:c>
      <x:c r="AF77" s="45" t="n">
        <x:v>8.046390069276033</x:v>
      </x:c>
      <x:c r="AG77" t="str">
        <x:v>Dulwich Hamlet Women</x:v>
      </x:c>
      <x:c r="AH77" s="45" t="n">
        <x:v>9.970453689611459</x:v>
      </x:c>
      <x:c r="AI77" t="n">
        <x:v>70</x:v>
      </x:c>
      <x:c r="AJ77" t="str">
        <x:v>MEDIUM</x:v>
      </x:c>
    </x:row>
    <x:row r="78">
      <x:c r="A78" s="12" t="str">
        <x:v>E01000647</x:v>
      </x:c>
      <x:c r="B78" s="12" t="str">
        <x:v>Bromley 016B</x:v>
      </x:c>
      <x:c r="C78" s="12" t="str">
        <x:v>Bromley</x:v>
      </x:c>
      <x:c r="D78" s="44" t="n">
        <x:v>51.403247818361</x:v>
      </x:c>
      <x:c r="E78" s="44" t="n">
        <x:v>0.032760487779260564</x:v>
      </x:c>
      <x:c r="F78" s="33" t="n">
        <x:v>646</x:v>
      </x:c>
      <x:c r="G78" s="33" t="n">
        <x:v>269</x:v>
      </x:c>
      <x:c r="H78" s="26" t="n">
        <x:v>0.41640866873065013</x:v>
      </x:c>
      <x:c r="I78" s="12" t="n">
        <x:v>4</x:v>
      </x:c>
      <x:c r="J78" s="12" t="n">
        <x:v>93</x:v>
      </x:c>
      <x:c r="K78" s="12" t="n">
        <x:v>20</x:v>
      </x:c>
      <x:c r="L78" s="12" t="n">
        <x:v>0</x:v>
      </x:c>
      <x:c r="M78" s="12" t="n">
        <x:f>IF(K78="", "", MAX(0,IF(K78&lt;=20,100,IF(K78&lt;=30,85,IF(K78&lt;=40,70,IF(K78&lt;=50,55,IF(K78&lt;=60,40,20)))))-MIN(L78*5,20)))</x:f>
        <x:v>100</x:v>
      </x:c>
      <x:c r="N78" s="12"/>
      <x:c r="O78" s="12"/>
      <x:c r="P78" s="12" t="n">
        <x:f>IF(OR(H78="",J78="",M78=""),"",ROUND(PERCENTRANK.INC($H$2:$H$941,H78)*35+J78*0.35+M78*0.30,0))</x:f>
        <x:v>95</x:v>
      </x:c>
      <x:c r="Q78" s="12" t="str">
        <x:f>IF(P78="","",IF(P78&gt;=80,"ATTACK",IF(P78&gt;=65,"GROW",IF(P78&gt;=50,"PARTNER","WATCH"))))</x:f>
        <x:v>ATTACK</x:v>
      </x:c>
      <x:c r="R78" s="12" t="str">
        <x:f>IF(Q78="","",IF(Q78="ATTACK","Grassroots + family acquisition",IF(Q78="GROW","Test local campaign",IF(Q78="PARTNER","Organisation-first partnership","Low priority / validate"))))</x:f>
        <x:v>Grassroots + family acquisition</x:v>
      </x:c>
      <x:c r="S78" s="45" t="n">
        <x:v>1.7175183525381912</x:v>
      </x:c>
      <x:c r="T78" t="str">
        <x:v>CORE</x:v>
      </x:c>
      <x:c r="U78" s="32" t="n">
        <x:f>PERCENTRANK.INC($G$2:$G$941,G78)</x:f>
        <x:v>0.866</x:v>
      </x:c>
      <x:c r="V78" s="32" t="n">
        <x:f>PERCENTRANK.INC($H$2:$H$941,H78)</x:f>
        <x:v>0.94</x:v>
      </x:c>
      <x:c r="W78" t="n">
        <x:f>ROUND((U78*55+V78*45)*IF(S78&lt;=5,1,IF(S78&lt;=10,0.95,IF(S78&lt;=20,0.85,0.70))),0)</x:f>
        <x:v>90</x:v>
      </x:c>
      <x:c r="X78" t="n">
        <x:v>91</x:v>
      </x:c>
      <x:c r="Y78" t="str">
        <x:v>ATTACK</x:v>
      </x:c>
      <x:c r="Z78" s="12" t="str">
        <x:v>Family + verified grassroots + straight-line geo only; transport not yet routed</x:v>
      </x:c>
      <x:c r="AA78" s="12" t="str">
        <x:v>HIGH</x:v>
      </x:c>
      <x:c r="AB78" s="12" t="str">
        <x:v>BR1 3ES / Bromley Town-Bickley edge</x:v>
      </x:c>
      <x:c r="AC78" s="12" t="str">
        <x:v>Representative postcode is ~1,114 yd from Ravensbourne School on Hayes Lane.</x:v>
      </x:c>
      <x:c r="AD78" s="12" t="str">
        <x:v>StreetScan / Active Places proximity</x:v>
      </x:c>
      <x:c r="AE78" t="str">
        <x:v>Crystal Palace Women</x:v>
      </x:c>
      <x:c r="AF78" s="45" t="n">
        <x:v>8.19822060342192</x:v>
      </x:c>
      <x:c r="AG78" t="str">
        <x:v>Dulwich Hamlet Women</x:v>
      </x:c>
      <x:c r="AH78" s="45" t="n">
        <x:v>10.353324166570408</x:v>
      </x:c>
      <x:c r="AI78" t="n">
        <x:v>65</x:v>
      </x:c>
      <x:c r="AJ78" t="str">
        <x:v>MEDIUM</x:v>
      </x:c>
    </x:row>
    <x:row r="79">
      <x:c r="A79" s="12" t="str">
        <x:v>E01000648</x:v>
      </x:c>
      <x:c r="B79" s="12" t="str">
        <x:v>Bromley 016C</x:v>
      </x:c>
      <x:c r="C79" s="12" t="str">
        <x:v>Bromley</x:v>
      </x:c>
      <x:c r="D79" s="44" t="n">
        <x:v>51.401231963853334</x:v>
      </x:c>
      <x:c r="E79" s="44" t="n">
        <x:v>0.03728352262242376</x:v>
      </x:c>
      <x:c r="F79" s="33" t="n">
        <x:v>729</x:v>
      </x:c>
      <x:c r="G79" s="33" t="n">
        <x:v>267</x:v>
      </x:c>
      <x:c r="H79" s="26" t="n">
        <x:v>0.3662551440329218</x:v>
      </x:c>
      <x:c r="I79" s="12" t="n">
        <x:v>3</x:v>
      </x:c>
      <x:c r="J79" s="12" t="n">
        <x:v>86</x:v>
      </x:c>
      <x:c r="K79" s="12"/>
      <x:c r="L79" s="12"/>
      <x:c r="M79" s="12" t="str">
        <x:f>IF(K79="", "", MAX(0,IF(K79&lt;=20,100,IF(K79&lt;=30,85,IF(K79&lt;=40,70,IF(K79&lt;=50,55,IF(K79&lt;=60,40,20)))))-MIN(L79*5,20)))</x:f>
      </x:c>
      <x:c r="N79" s="12"/>
      <x:c r="O79" s="12"/>
      <x:c r="P79" s="12" t="str">
        <x:f>IF(OR(H79="",J79="",M79=""),"",ROUND(PERCENTRANK.INC($H$2:$H$941,H79)*35+J79*0.35+M79*0.30,0))</x:f>
      </x:c>
      <x:c r="Q79" s="12" t="str">
        <x:f>IF(P79="","",IF(P79&gt;=80,"ATTACK",IF(P79&gt;=65,"GROW",IF(P79&gt;=50,"PARTNER","WATCH"))))</x:f>
      </x:c>
      <x:c r="R79" s="12" t="str">
        <x:f>IF(Q79="","",IF(Q79="ATTACK","Grassroots + family acquisition",IF(Q79="GROW","Test local campaign",IF(Q79="PARTNER","Organisation-first partnership","Low priority / validate"))))</x:f>
      </x:c>
      <x:c r="S79" s="45" t="n">
        <x:v>1.7727418203757725</x:v>
      </x:c>
      <x:c r="T79" t="str">
        <x:v>CORE</x:v>
      </x:c>
      <x:c r="U79" s="32" t="n">
        <x:f>PERCENTRANK.INC($G$2:$G$941,G79)</x:f>
        <x:v>0.858</x:v>
      </x:c>
      <x:c r="V79" s="32" t="n">
        <x:f>PERCENTRANK.INC($H$2:$H$941,H79)</x:f>
        <x:v>0.78</x:v>
      </x:c>
      <x:c r="W79" t="n">
        <x:f>ROUND((U79*55+V79*45)*IF(S79&lt;=5,1,IF(S79&lt;=10,0.95,IF(S79&lt;=20,0.85,0.70))),0)</x:f>
        <x:v>82</x:v>
      </x:c>
      <x:c r="X79" t="n">
        <x:v>84</x:v>
      </x:c>
      <x:c r="Y79" t="str">
        <x:v>ATTACK</x:v>
      </x:c>
      <x:c r="Z79" s="12" t="str">
        <x:v>Family + verified grassroots + straight-line geo only; transport not yet routed</x:v>
      </x:c>
      <x:c r="AA79" s="12"/>
      <x:c r="AB79" s="12"/>
      <x:c r="AC79" s="12"/>
      <x:c r="AD79" s="12"/>
      <x:c r="AE79" t="str">
        <x:v>Crystal Palace Women</x:v>
      </x:c>
      <x:c r="AF79" s="45" t="n">
        <x:v>8.499884836217209</x:v>
      </x:c>
      <x:c r="AG79" t="str">
        <x:v>Dulwich Hamlet Women</x:v>
      </x:c>
      <x:c r="AH79" s="45" t="n">
        <x:v>10.73838498885338</x:v>
      </x:c>
      <x:c r="AI79" t="n">
        <x:v>65</x:v>
      </x:c>
      <x:c r="AJ79" t="str">
        <x:v>MEDIUM</x:v>
      </x:c>
    </x:row>
    <x:row r="80">
      <x:c r="A80" s="12" t="str">
        <x:v>E01000653</x:v>
      </x:c>
      <x:c r="B80" s="12" t="str">
        <x:v>Bromley 016D</x:v>
      </x:c>
      <x:c r="C80" s="12" t="str">
        <x:v>Bromley</x:v>
      </x:c>
      <x:c r="D80" s="44" t="n">
        <x:v>51.410900069374826</x:v>
      </x:c>
      <x:c r="E80" s="44" t="n">
        <x:v>0.03744951049266145</x:v>
      </x:c>
      <x:c r="F80" s="33" t="n">
        <x:v>596</x:v>
      </x:c>
      <x:c r="G80" s="33" t="n">
        <x:v>187</x:v>
      </x:c>
      <x:c r="H80" s="26" t="n">
        <x:v>0.313758389261745</x:v>
      </x:c>
      <x:c r="I80" s="12" t="n">
        <x:v>4</x:v>
      </x:c>
      <x:c r="J80" s="12" t="n">
        <x:v>86</x:v>
      </x:c>
      <x:c r="K80" s="12"/>
      <x:c r="L80" s="12"/>
      <x:c r="M80" s="12" t="str">
        <x:f>IF(K80="", "", MAX(0,IF(K80&lt;=20,100,IF(K80&lt;=30,85,IF(K80&lt;=40,70,IF(K80&lt;=50,55,IF(K80&lt;=60,40,20)))))-MIN(L80*5,20)))</x:f>
      </x:c>
      <x:c r="N80" s="12"/>
      <x:c r="O80" s="12"/>
      <x:c r="P80" s="12" t="str">
        <x:f>IF(OR(H80="",J80="",M80=""),"",ROUND(PERCENTRANK.INC($H$2:$H$941,H80)*35+J80*0.35+M80*0.30,0))</x:f>
      </x:c>
      <x:c r="Q80" s="12" t="str">
        <x:f>IF(P80="","",IF(P80&gt;=80,"ATTACK",IF(P80&gt;=65,"GROW",IF(P80&gt;=50,"PARTNER","WATCH"))))</x:f>
      </x:c>
      <x:c r="R80" s="12" t="str">
        <x:f>IF(Q80="","",IF(Q80="ATTACK","Grassroots + family acquisition",IF(Q80="GROW","Test local campaign",IF(Q80="PARTNER","Organisation-first partnership","Low priority / validate"))))</x:f>
      </x:c>
      <x:c r="S80" s="45" t="n">
        <x:v>2.6037336675783522</x:v>
      </x:c>
      <x:c r="T80" t="str">
        <x:v>CORE</x:v>
      </x:c>
      <x:c r="U80" s="32" t="n">
        <x:f>PERCENTRANK.INC($G$2:$G$941,G80)</x:f>
        <x:v>0.29</x:v>
      </x:c>
      <x:c r="V80" s="32" t="n">
        <x:f>PERCENTRANK.INC($H$2:$H$941,H80)</x:f>
        <x:v>0.471</x:v>
      </x:c>
      <x:c r="W80" t="n">
        <x:f>ROUND((U80*55+V80*45)*IF(S80&lt;=5,1,IF(S80&lt;=10,0.95,IF(S80&lt;=20,0.85,0.70))),0)</x:f>
        <x:v>37</x:v>
      </x:c>
      <x:c r="X80" t="n">
        <x:v>60</x:v>
      </x:c>
      <x:c r="Y80" t="str">
        <x:v>PARTNER</x:v>
      </x:c>
      <x:c r="Z80" s="12" t="str">
        <x:v>Family + verified grassroots + straight-line geo only; transport not yet routed</x:v>
      </x:c>
      <x:c r="AA80" s="12"/>
      <x:c r="AB80" s="12"/>
      <x:c r="AC80" s="12"/>
      <x:c r="AD80" s="12"/>
      <x:c r="AE80" t="str">
        <x:v>Charlton Athletic Women</x:v>
      </x:c>
      <x:c r="AF80" s="45" t="n">
        <x:v>8.395703827372742</x:v>
      </x:c>
      <x:c r="AG80" t="str">
        <x:v>Dulwich Hamlet Women</x:v>
      </x:c>
      <x:c r="AH80" s="45" t="n">
        <x:v>10.113428206681974</x:v>
      </x:c>
      <x:c r="AI80" t="n">
        <x:v>65</x:v>
      </x:c>
      <x:c r="AJ80" t="str">
        <x:v>MEDIUM</x:v>
      </x:c>
    </x:row>
    <x:row r="81">
      <x:c r="A81" s="12" t="str">
        <x:v>E01000678</x:v>
      </x:c>
      <x:c r="B81" s="12" t="str">
        <x:v>Bromley 016E</x:v>
      </x:c>
      <x:c r="C81" s="12" t="str">
        <x:v>Bromley</x:v>
      </x:c>
      <x:c r="D81" s="44" t="n">
        <x:v>51.40013159973625</x:v>
      </x:c>
      <x:c r="E81" s="44" t="n">
        <x:v>0.02409230135706987</x:v>
      </x:c>
      <x:c r="F81" s="33" t="n">
        <x:v>699</x:v>
      </x:c>
      <x:c r="G81" s="33" t="n">
        <x:v>256</x:v>
      </x:c>
      <x:c r="H81" s="26" t="n">
        <x:v>0.36623748211731044</x:v>
      </x:c>
      <x:c r="I81" s="12" t="n">
        <x:v>4</x:v>
      </x:c>
      <x:c r="J81" s="12" t="n">
        <x:v>94</x:v>
      </x:c>
      <x:c r="K81" s="12"/>
      <x:c r="L81" s="12"/>
      <x:c r="M81" s="12" t="str">
        <x:f>IF(K81="", "", MAX(0,IF(K81&lt;=20,100,IF(K81&lt;=30,85,IF(K81&lt;=40,70,IF(K81&lt;=50,55,IF(K81&lt;=60,40,20)))))-MIN(L81*5,20)))</x:f>
      </x:c>
      <x:c r="N81" s="12"/>
      <x:c r="O81" s="12"/>
      <x:c r="P81" s="12" t="str">
        <x:f>IF(OR(H81="",J81="",M81=""),"",ROUND(PERCENTRANK.INC($H$2:$H$941,H81)*35+J81*0.35+M81*0.30,0))</x:f>
      </x:c>
      <x:c r="Q81" s="12" t="str">
        <x:f>IF(P81="","",IF(P81&gt;=80,"ATTACK",IF(P81&gt;=65,"GROW",IF(P81&gt;=50,"PARTNER","WATCH"))))</x:f>
      </x:c>
      <x:c r="R81" s="12" t="str">
        <x:f>IF(Q81="","",IF(Q81="ATTACK","Grassroots + family acquisition",IF(Q81="GROW","Test local campaign",IF(Q81="PARTNER","Organisation-first partnership","Low priority / validate"))))</x:f>
      </x:c>
      <x:c r="S81" s="45" t="n">
        <x:v>1.1093697092774624</x:v>
      </x:c>
      <x:c r="T81" t="str">
        <x:v>CORE</x:v>
      </x:c>
      <x:c r="U81" s="32" t="n">
        <x:f>PERCENTRANK.INC($G$2:$G$941,G81)</x:f>
        <x:v>0.81</x:v>
      </x:c>
      <x:c r="V81" s="32" t="n">
        <x:f>PERCENTRANK.INC($H$2:$H$941,H81)</x:f>
        <x:v>0.778</x:v>
      </x:c>
      <x:c r="W81" t="n">
        <x:f>ROUND((U81*55+V81*45)*IF(S81&lt;=5,1,IF(S81&lt;=10,0.95,IF(S81&lt;=20,0.85,0.70))),0)</x:f>
        <x:v>80</x:v>
      </x:c>
      <x:c r="X81" t="n">
        <x:v>86</x:v>
      </x:c>
      <x:c r="Y81" t="str">
        <x:v>ATTACK</x:v>
      </x:c>
      <x:c r="Z81" s="12" t="str">
        <x:v>Family + verified grassroots + straight-line geo only; transport not yet routed</x:v>
      </x:c>
      <x:c r="AA81" s="12"/>
      <x:c r="AB81" s="12"/>
      <x:c r="AC81" s="12"/>
      <x:c r="AD81" s="12"/>
      <x:c r="AE81" t="str">
        <x:v>Crystal Palace Women</x:v>
      </x:c>
      <x:c r="AF81" s="45" t="n">
        <x:v>7.58132137174256</x:v>
      </x:c>
      <x:c r="AG81" t="str">
        <x:v>Dulwich Hamlet Women</x:v>
      </x:c>
      <x:c r="AH81" s="45" t="n">
        <x:v>10.120536039419276</x:v>
      </x:c>
      <x:c r="AI81" t="n">
        <x:v>65</x:v>
      </x:c>
      <x:c r="AJ81" t="str">
        <x:v>MEDIUM</x:v>
      </x:c>
    </x:row>
    <x:row r="82">
      <x:c r="A82" s="12" t="str">
        <x:v>E01000670</x:v>
      </x:c>
      <x:c r="B82" s="12" t="str">
        <x:v>Bromley 018A</x:v>
      </x:c>
      <x:c r="C82" s="12" t="str">
        <x:v>Bromley</x:v>
      </x:c>
      <x:c r="D82" s="44" t="n">
        <x:v>51.39628834851989</x:v>
      </x:c>
      <x:c r="E82" s="44" t="n">
        <x:v>0.01697261201498321</x:v>
      </x:c>
      <x:c r="F82" s="33" t="n">
        <x:v>833</x:v>
      </x:c>
      <x:c r="G82" s="33" t="n">
        <x:v>234</x:v>
      </x:c>
      <x:c r="H82" s="26" t="n">
        <x:v>0.2809123649459784</x:v>
      </x:c>
      <x:c r="I82" s="12" t="n">
        <x:v>4</x:v>
      </x:c>
      <x:c r="J82" s="12" t="n">
        <x:v>94</x:v>
      </x:c>
      <x:c r="K82" s="12"/>
      <x:c r="L82" s="12"/>
      <x:c r="M82" s="12" t="str">
        <x:f>IF(K82="", "", MAX(0,IF(K82&lt;=20,100,IF(K82&lt;=30,85,IF(K82&lt;=40,70,IF(K82&lt;=50,55,IF(K82&lt;=60,40,20)))))-MIN(L82*5,20)))</x:f>
      </x:c>
      <x:c r="N82" s="12"/>
      <x:c r="O82" s="12"/>
      <x:c r="P82" s="12" t="str">
        <x:f>IF(OR(H82="",J82="",M82=""),"",ROUND(PERCENTRANK.INC($H$2:$H$941,H82)*35+J82*0.35+M82*0.30,0))</x:f>
      </x:c>
      <x:c r="Q82" s="12" t="str">
        <x:f>IF(P82="","",IF(P82&gt;=80,"ATTACK",IF(P82&gt;=65,"GROW",IF(P82&gt;=50,"PARTNER","WATCH"))))</x:f>
      </x:c>
      <x:c r="R82" s="12" t="str">
        <x:f>IF(Q82="","",IF(Q82="ATTACK","Grassroots + family acquisition",IF(Q82="GROW","Test local campaign",IF(Q82="PARTNER","Organisation-first partnership","Low priority / validate"))))</x:f>
      </x:c>
      <x:c r="S82" s="45" t="n">
        <x:v>0.5920322026974506</x:v>
      </x:c>
      <x:c r="T82" t="str">
        <x:v>CORE</x:v>
      </x:c>
      <x:c r="U82" s="32" t="n">
        <x:f>PERCENTRANK.INC($G$2:$G$941,G82)</x:f>
        <x:v>0.658</x:v>
      </x:c>
      <x:c r="V82" s="32" t="n">
        <x:f>PERCENTRANK.INC($H$2:$H$941,H82)</x:f>
        <x:v>0.299</x:v>
      </x:c>
      <x:c r="W82" t="n">
        <x:f>ROUND((U82*55+V82*45)*IF(S82&lt;=5,1,IF(S82&lt;=10,0.95,IF(S82&lt;=20,0.85,0.70))),0)</x:f>
        <x:v>50</x:v>
      </x:c>
      <x:c r="X82" t="n">
        <x:v>70</x:v>
      </x:c>
      <x:c r="Y82" t="str">
        <x:v>GROW</x:v>
      </x:c>
      <x:c r="Z82" s="12" t="str">
        <x:v>Family + verified grassroots + straight-line geo only; transport not yet routed</x:v>
      </x:c>
      <x:c r="AA82" s="12"/>
      <x:c r="AB82" s="12"/>
      <x:c r="AC82" s="12"/>
      <x:c r="AD82" s="12"/>
      <x:c r="AE82" t="str">
        <x:v>Crystal Palace Women</x:v>
      </x:c>
      <x:c r="AF82" s="45" t="n">
        <x:v>7.088365232413584</x:v>
      </x:c>
      <x:c r="AG82" t="str">
        <x:v>Dulwich Hamlet Women</x:v>
      </x:c>
      <x:c r="AH82" s="45" t="n">
        <x:v>10.063544221532132</x:v>
      </x:c>
      <x:c r="AI82" t="n">
        <x:v>65</x:v>
      </x:c>
      <x:c r="AJ82" t="str">
        <x:v>MEDIUM</x:v>
      </x:c>
    </x:row>
    <x:row r="83">
      <x:c r="A83" s="12" t="str">
        <x:v>E01000677</x:v>
      </x:c>
      <x:c r="B83" s="12" t="str">
        <x:v>Bromley 018C</x:v>
      </x:c>
      <x:c r="C83" s="12" t="str">
        <x:v>Bromley</x:v>
      </x:c>
      <x:c r="D83" s="44" t="n">
        <x:v>51.403462189173325</x:v>
      </x:c>
      <x:c r="E83" s="44" t="n">
        <x:v>0.008346585052950207</x:v>
      </x:c>
      <x:c r="F83" s="33" t="n">
        <x:v>805</x:v>
      </x:c>
      <x:c r="G83" s="33" t="n">
        <x:v>285</x:v>
      </x:c>
      <x:c r="H83" s="26" t="n">
        <x:v>0.35403726708074534</x:v>
      </x:c>
      <x:c r="I83" s="12" t="n">
        <x:v>4</x:v>
      </x:c>
      <x:c r="J83" s="12" t="n">
        <x:v>94</x:v>
      </x:c>
      <x:c r="K83" s="12"/>
      <x:c r="L83" s="12"/>
      <x:c r="M83" s="12" t="str">
        <x:f>IF(K83="", "", MAX(0,IF(K83&lt;=20,100,IF(K83&lt;=30,85,IF(K83&lt;=40,70,IF(K83&lt;=50,55,IF(K83&lt;=60,40,20)))))-MIN(L83*5,20)))</x:f>
      </x:c>
      <x:c r="N83" s="12"/>
      <x:c r="O83" s="12"/>
      <x:c r="P83" s="12" t="str">
        <x:f>IF(OR(H83="",J83="",M83=""),"",ROUND(PERCENTRANK.INC($H$2:$H$941,H83)*35+J83*0.35+M83*0.30,0))</x:f>
      </x:c>
      <x:c r="Q83" s="12" t="str">
        <x:f>IF(P83="","",IF(P83&gt;=80,"ATTACK",IF(P83&gt;=65,"GROW",IF(P83&gt;=50,"PARTNER","WATCH"))))</x:f>
      </x:c>
      <x:c r="R83" s="12" t="str">
        <x:f>IF(Q83="","",IF(Q83="ATTACK","Grassroots + family acquisition",IF(Q83="GROW","Test local campaign",IF(Q83="PARTNER","Organisation-first partnership","Low priority / validate"))))</x:f>
      </x:c>
      <x:c r="S83" s="45" t="n">
        <x:v>1.5320492984209924</x:v>
      </x:c>
      <x:c r="T83" t="str">
        <x:v>CORE</x:v>
      </x:c>
      <x:c r="U83" s="32" t="n">
        <x:f>PERCENTRANK.INC($G$2:$G$941,G83)</x:f>
        <x:v>0.915</x:v>
      </x:c>
      <x:c r="V83" s="32" t="n">
        <x:f>PERCENTRANK.INC($H$2:$H$941,H83)</x:f>
        <x:v>0.709</x:v>
      </x:c>
      <x:c r="W83" t="n">
        <x:f>ROUND((U83*55+V83*45)*IF(S83&lt;=5,1,IF(S83&lt;=10,0.95,IF(S83&lt;=20,0.85,0.70))),0)</x:f>
        <x:v>82</x:v>
      </x:c>
      <x:c r="X83" t="n">
        <x:v>88</x:v>
      </x:c>
      <x:c r="Y83" t="str">
        <x:v>ATTACK</x:v>
      </x:c>
      <x:c r="Z83" s="12" t="str">
        <x:v>Family + verified grassroots + straight-line geo only; transport not yet routed</x:v>
      </x:c>
      <x:c r="AA83" s="12"/>
      <x:c r="AB83" s="12"/>
      <x:c r="AC83" s="12"/>
      <x:c r="AD83" s="12"/>
      <x:c r="AE83" t="str">
        <x:v>Crystal Palace Women</x:v>
      </x:c>
      <x:c r="AF83" s="45" t="n">
        <x:v>6.511500046694215</x:v>
      </x:c>
      <x:c r="AG83" t="str">
        <x:v>Dulwich Hamlet Women</x:v>
      </x:c>
      <x:c r="AH83" s="45" t="n">
        <x:v>9.07495135082906</x:v>
      </x:c>
      <x:c r="AI83" t="n">
        <x:v>70</x:v>
      </x:c>
      <x:c r="AJ83" t="str">
        <x:v>MEDIUM</x:v>
      </x:c>
    </x:row>
    <x:row r="84">
      <x:c r="A84" s="12" t="str">
        <x:v>E01000762</x:v>
      </x:c>
      <x:c r="B84" s="12" t="str">
        <x:v>Bromley 018D</x:v>
      </x:c>
      <x:c r="C84" s="12" t="str">
        <x:v>Bromley</x:v>
      </x:c>
      <x:c r="D84" s="44" t="n">
        <x:v>51.39005975075291</x:v>
      </x:c>
      <x:c r="E84" s="44" t="n">
        <x:v>0.012479570551798061</x:v>
      </x:c>
      <x:c r="F84" s="33" t="n">
        <x:v>744</x:v>
      </x:c>
      <x:c r="G84" s="33" t="n">
        <x:v>236</x:v>
      </x:c>
      <x:c r="H84" s="26" t="n">
        <x:v>0.3172043010752688</x:v>
      </x:c>
      <x:c r="I84" s="12" t="n">
        <x:v>2</x:v>
      </x:c>
      <x:c r="J84" s="12" t="n">
        <x:v>78</x:v>
      </x:c>
      <x:c r="K84" s="12"/>
      <x:c r="L84" s="12"/>
      <x:c r="M84" s="12" t="str">
        <x:f>IF(K84="", "", MAX(0,IF(K84&lt;=20,100,IF(K84&lt;=30,85,IF(K84&lt;=40,70,IF(K84&lt;=50,55,IF(K84&lt;=60,40,20)))))-MIN(L84*5,20)))</x:f>
      </x:c>
      <x:c r="N84" s="12"/>
      <x:c r="O84" s="12"/>
      <x:c r="P84" s="12" t="str">
        <x:f>IF(OR(H84="",J84="",M84=""),"",ROUND(PERCENTRANK.INC($H$2:$H$941,H84)*35+J84*0.35+M84*0.30,0))</x:f>
      </x:c>
      <x:c r="Q84" s="12" t="str">
        <x:f>IF(P84="","",IF(P84&gt;=80,"ATTACK",IF(P84&gt;=65,"GROW",IF(P84&gt;=50,"PARTNER","WATCH"))))</x:f>
      </x:c>
      <x:c r="R84" s="12" t="str">
        <x:f>IF(Q84="","",IF(Q84="ATTACK","Grassroots + family acquisition",IF(Q84="GROW","Test local campaign",IF(Q84="PARTNER","Organisation-first partnership","Low priority / validate"))))</x:f>
      </x:c>
      <x:c r="S84" s="45" t="n">
        <x:v>0.3771931754445917</x:v>
      </x:c>
      <x:c r="T84" t="str">
        <x:v>CORE</x:v>
      </x:c>
      <x:c r="U84" s="32" t="n">
        <x:f>PERCENTRANK.INC($G$2:$G$941,G84)</x:f>
        <x:v>0.679</x:v>
      </x:c>
      <x:c r="V84" s="32" t="n">
        <x:f>PERCENTRANK.INC($H$2:$H$941,H84)</x:f>
        <x:v>0.495</x:v>
      </x:c>
      <x:c r="W84" t="n">
        <x:f>ROUND((U84*55+V84*45)*IF(S84&lt;=5,1,IF(S84&lt;=10,0.95,IF(S84&lt;=20,0.85,0.70))),0)</x:f>
        <x:v>60</x:v>
      </x:c>
      <x:c r="X84" t="n">
        <x:v>68</x:v>
      </x:c>
      <x:c r="Y84" t="str">
        <x:v>GROW</x:v>
      </x:c>
      <x:c r="Z84" s="12" t="str">
        <x:v>Family + verified grassroots + straight-line geo only; transport not yet routed</x:v>
      </x:c>
      <x:c r="AA84" s="12"/>
      <x:c r="AB84" s="12"/>
      <x:c r="AC84" s="12"/>
      <x:c r="AD84" s="12"/>
      <x:c r="AE84" t="str">
        <x:v>Crystal Palace Women</x:v>
      </x:c>
      <x:c r="AF84" s="45" t="n">
        <x:v>6.835048452699208</x:v>
      </x:c>
      <x:c r="AG84" t="str">
        <x:v>Dulwich Hamlet Women</x:v>
      </x:c>
      <x:c r="AH84" s="45" t="n">
        <x:v>10.368893960468947</x:v>
      </x:c>
      <x:c r="AI84" t="n">
        <x:v>65</x:v>
      </x:c>
      <x:c r="AJ84" t="str">
        <x:v>MEDIUM</x:v>
      </x:c>
    </x:row>
    <x:row r="85">
      <x:c r="A85" s="12" t="str">
        <x:v>E01000829</x:v>
      </x:c>
      <x:c r="B85" s="12" t="str">
        <x:v>Bromley 018E</x:v>
      </x:c>
      <x:c r="C85" s="12" t="str">
        <x:v>Bromley</x:v>
      </x:c>
      <x:c r="D85" s="44" t="n">
        <x:v>51.39918418157632</x:v>
      </x:c>
      <x:c r="E85" s="44" t="n">
        <x:v>0.010719530343324754</x:v>
      </x:c>
      <x:c r="F85" s="33" t="n">
        <x:v>703</x:v>
      </x:c>
      <x:c r="G85" s="33" t="n">
        <x:v>260</x:v>
      </x:c>
      <x:c r="H85" s="26" t="n">
        <x:v>0.36984352773826457</x:v>
      </x:c>
      <x:c r="I85" s="12" t="n">
        <x:v>4</x:v>
      </x:c>
      <x:c r="J85" s="12" t="n">
        <x:v>94</x:v>
      </x:c>
      <x:c r="K85" s="12"/>
      <x:c r="L85" s="12"/>
      <x:c r="M85" s="12" t="str">
        <x:f>IF(K85="", "", MAX(0,IF(K85&lt;=20,100,IF(K85&lt;=30,85,IF(K85&lt;=40,70,IF(K85&lt;=50,55,IF(K85&lt;=60,40,20)))))-MIN(L85*5,20)))</x:f>
      </x:c>
      <x:c r="N85" s="12"/>
      <x:c r="O85" s="12"/>
      <x:c r="P85" s="12" t="str">
        <x:f>IF(OR(H85="",J85="",M85=""),"",ROUND(PERCENTRANK.INC($H$2:$H$941,H85)*35+J85*0.35+M85*0.30,0))</x:f>
      </x:c>
      <x:c r="Q85" s="12" t="str">
        <x:f>IF(P85="","",IF(P85&gt;=80,"ATTACK",IF(P85&gt;=65,"GROW",IF(P85&gt;=50,"PARTNER","WATCH"))))</x:f>
      </x:c>
      <x:c r="R85" s="12" t="str">
        <x:f>IF(Q85="","",IF(Q85="ATTACK","Grassroots + family acquisition",IF(Q85="GROW","Test local campaign",IF(Q85="PARTNER","Organisation-first partnership","Low priority / validate"))))</x:f>
      </x:c>
      <x:c r="S85" s="45" t="n">
        <x:v>1.032781623563535</x:v>
      </x:c>
      <x:c r="T85" t="str">
        <x:v>CORE</x:v>
      </x:c>
      <x:c r="U85" s="32" t="n">
        <x:f>PERCENTRANK.INC($G$2:$G$941,G85)</x:f>
        <x:v>0.828</x:v>
      </x:c>
      <x:c r="V85" s="32" t="n">
        <x:f>PERCENTRANK.INC($H$2:$H$941,H85)</x:f>
        <x:v>0.794</x:v>
      </x:c>
      <x:c r="W85" t="n">
        <x:f>ROUND((U85*55+V85*45)*IF(S85&lt;=5,1,IF(S85&lt;=10,0.95,IF(S85&lt;=20,0.85,0.70))),0)</x:f>
        <x:v>81</x:v>
      </x:c>
      <x:c r="X85" t="n">
        <x:v>87</x:v>
      </x:c>
      <x:c r="Y85" t="str">
        <x:v>ATTACK</x:v>
      </x:c>
      <x:c r="Z85" s="12" t="str">
        <x:v>Family + verified grassroots + straight-line geo only; transport not yet routed</x:v>
      </x:c>
      <x:c r="AA85" s="12"/>
      <x:c r="AB85" s="12"/>
      <x:c r="AC85" s="12"/>
      <x:c r="AD85" s="12"/>
      <x:c r="AE85" t="str">
        <x:v>Crystal Palace Women</x:v>
      </x:c>
      <x:c r="AF85" s="45" t="n">
        <x:v>6.651637601163838</x:v>
      </x:c>
      <x:c r="AG85" t="str">
        <x:v>Dulwich Hamlet Women</x:v>
      </x:c>
      <x:c r="AH85" s="45" t="n">
        <x:v>9.530928258221778</x:v>
      </x:c>
      <x:c r="AI85" t="n">
        <x:v>70</x:v>
      </x:c>
      <x:c r="AJ85" t="str">
        <x:v>MEDIUM</x:v>
      </x:c>
    </x:row>
    <x:row r="86">
      <x:c r="A86" s="12" t="str">
        <x:v>E01034385</x:v>
      </x:c>
      <x:c r="B86" s="12" t="str">
        <x:v>Bromley 018F</x:v>
      </x:c>
      <x:c r="C86" s="12" t="str">
        <x:v>Bromley</x:v>
      </x:c>
      <x:c r="D86" s="44" t="n">
        <x:v>51.405347139496705</x:v>
      </x:c>
      <x:c r="E86" s="44" t="n">
        <x:v>0.020737145758276704</x:v>
      </x:c>
      <x:c r="F86" s="33" t="n">
        <x:v>577</x:v>
      </x:c>
      <x:c r="G86" s="33" t="n">
        <x:v>179</x:v>
      </x:c>
      <x:c r="H86" s="26" t="n">
        <x:v>0.31022530329289427</x:v>
      </x:c>
      <x:c r="I86" s="12" t="n">
        <x:v>4</x:v>
      </x:c>
      <x:c r="J86" s="12" t="n">
        <x:v>94</x:v>
      </x:c>
      <x:c r="K86" s="12"/>
      <x:c r="L86" s="12"/>
      <x:c r="M86" s="12" t="str">
        <x:f>IF(K86="", "", MAX(0,IF(K86&lt;=20,100,IF(K86&lt;=30,85,IF(K86&lt;=40,70,IF(K86&lt;=50,55,IF(K86&lt;=60,40,20)))))-MIN(L86*5,20)))</x:f>
      </x:c>
      <x:c r="N86" s="12"/>
      <x:c r="O86" s="12"/>
      <x:c r="P86" s="12" t="str">
        <x:f>IF(OR(H86="",J86="",M86=""),"",ROUND(PERCENTRANK.INC($H$2:$H$941,H86)*35+J86*0.35+M86*0.30,0))</x:f>
      </x:c>
      <x:c r="Q86" s="12" t="str">
        <x:f>IF(P86="","",IF(P86&gt;=80,"ATTACK",IF(P86&gt;=65,"GROW",IF(P86&gt;=50,"PARTNER","WATCH"))))</x:f>
      </x:c>
      <x:c r="R86" s="12" t="str">
        <x:f>IF(Q86="","",IF(Q86="ATTACK","Grassroots + family acquisition",IF(Q86="GROW","Test local campaign",IF(Q86="PARTNER","Organisation-first partnership","Low priority / validate"))))</x:f>
      </x:c>
      <x:c r="S86" s="45" t="n">
        <x:v>1.6108585914087545</x:v>
      </x:c>
      <x:c r="T86" t="str">
        <x:v>CORE</x:v>
      </x:c>
      <x:c r="U86" s="32" t="n">
        <x:f>PERCENTRANK.INC($G$2:$G$941,G86)</x:f>
        <x:v>0.22</x:v>
      </x:c>
      <x:c r="V86" s="32" t="n">
        <x:f>PERCENTRANK.INC($H$2:$H$941,H86)</x:f>
        <x:v>0.447</x:v>
      </x:c>
      <x:c r="W86" t="n">
        <x:f>ROUND((U86*55+V86*45)*IF(S86&lt;=5,1,IF(S86&lt;=10,0.95,IF(S86&lt;=20,0.85,0.70))),0)</x:f>
        <x:v>32</x:v>
      </x:c>
      <x:c r="X86" t="n">
        <x:v>60</x:v>
      </x:c>
      <x:c r="Y86" t="str">
        <x:v>PARTNER</x:v>
      </x:c>
      <x:c r="Z86" s="12" t="str">
        <x:v>Family + verified grassroots + straight-line geo only; transport not yet routed</x:v>
      </x:c>
      <x:c r="AA86" s="12"/>
      <x:c r="AB86" s="12"/>
      <x:c r="AC86" s="12"/>
      <x:c r="AD86" s="12"/>
      <x:c r="AE86" t="str">
        <x:v>Crystal Palace Women</x:v>
      </x:c>
      <x:c r="AF86" s="45" t="n">
        <x:v>7.387263237238177</x:v>
      </x:c>
      <x:c r="AG86" t="str">
        <x:v>Dulwich Hamlet Women</x:v>
      </x:c>
      <x:c r="AH86" s="45" t="n">
        <x:v>9.562042121899696</x:v>
      </x:c>
      <x:c r="AI86" t="n">
        <x:v>70</x:v>
      </x:c>
      <x:c r="AJ86" t="str">
        <x:v>MEDIUM</x:v>
      </x:c>
    </x:row>
    <x:row r="87">
      <x:c r="A87" s="12" t="str">
        <x:v>E01034386</x:v>
      </x:c>
      <x:c r="B87" s="12" t="str">
        <x:v>Bromley 018G</x:v>
      </x:c>
      <x:c r="C87" s="12" t="str">
        <x:v>Bromley</x:v>
      </x:c>
      <x:c r="D87" s="44" t="n">
        <x:v>51.40083716716706</x:v>
      </x:c>
      <x:c r="E87" s="44" t="n">
        <x:v>0.01548558004536379</x:v>
      </x:c>
      <x:c r="F87" s="33" t="n">
        <x:v>645</x:v>
      </x:c>
      <x:c r="G87" s="33" t="n">
        <x:v>148</x:v>
      </x:c>
      <x:c r="H87" s="26" t="n">
        <x:v>0.22945736434108527</x:v>
      </x:c>
      <x:c r="I87" s="12" t="n">
        <x:v>4</x:v>
      </x:c>
      <x:c r="J87" s="12" t="n">
        <x:v>94</x:v>
      </x:c>
      <x:c r="K87" s="12"/>
      <x:c r="L87" s="12"/>
      <x:c r="M87" s="12" t="str">
        <x:f>IF(K87="", "", MAX(0,IF(K87&lt;=20,100,IF(K87&lt;=30,85,IF(K87&lt;=40,70,IF(K87&lt;=50,55,IF(K87&lt;=60,40,20)))))-MIN(L87*5,20)))</x:f>
      </x:c>
      <x:c r="N87" s="12"/>
      <x:c r="O87" s="12"/>
      <x:c r="P87" s="12" t="str">
        <x:f>IF(OR(H87="",J87="",M87=""),"",ROUND(PERCENTRANK.INC($H$2:$H$941,H87)*35+J87*0.35+M87*0.30,0))</x:f>
      </x:c>
      <x:c r="Q87" s="12" t="str">
        <x:f>IF(P87="","",IF(P87&gt;=80,"ATTACK",IF(P87&gt;=65,"GROW",IF(P87&gt;=50,"PARTNER","WATCH"))))</x:f>
      </x:c>
      <x:c r="R87" s="12" t="str">
        <x:f>IF(Q87="","",IF(Q87="ATTACK","Grassroots + family acquisition",IF(Q87="GROW","Test local campaign",IF(Q87="PARTNER","Organisation-first partnership","Low priority / validate"))))</x:f>
      </x:c>
      <x:c r="S87" s="45" t="n">
        <x:v>1.1064394019278614</x:v>
      </x:c>
      <x:c r="T87" t="str">
        <x:v>CORE</x:v>
      </x:c>
      <x:c r="U87" s="32" t="n">
        <x:f>PERCENTRANK.INC($G$2:$G$941,G87)</x:f>
        <x:v>0.086</x:v>
      </x:c>
      <x:c r="V87" s="32" t="n">
        <x:f>PERCENTRANK.INC($H$2:$H$941,H87)</x:f>
        <x:v>0.133</x:v>
      </x:c>
      <x:c r="W87" t="n">
        <x:f>ROUND((U87*55+V87*45)*IF(S87&lt;=5,1,IF(S87&lt;=10,0.95,IF(S87&lt;=20,0.85,0.70))),0)</x:f>
        <x:v>11</x:v>
      </x:c>
      <x:c r="X87" t="n">
        <x:v>48</x:v>
      </x:c>
      <x:c r="Y87" t="str">
        <x:v>WATCH</x:v>
      </x:c>
      <x:c r="Z87" s="12" t="str">
        <x:v>Family + verified grassroots + straight-line geo only; transport not yet routed</x:v>
      </x:c>
      <x:c r="AA87" s="12"/>
      <x:c r="AB87" s="12"/>
      <x:c r="AC87" s="12"/>
      <x:c r="AD87" s="12"/>
      <x:c r="AE87" t="str">
        <x:v>Crystal Palace Women</x:v>
      </x:c>
      <x:c r="AF87" s="45" t="n">
        <x:v>6.987180798811069</x:v>
      </x:c>
      <x:c r="AG87" t="str">
        <x:v>Dulwich Hamlet Women</x:v>
      </x:c>
      <x:c r="AH87" s="45" t="n">
        <x:v>9.632154494536614</x:v>
      </x:c>
      <x:c r="AI87" t="n">
        <x:v>70</x:v>
      </x:c>
      <x:c r="AJ87" t="str">
        <x:v>MEDIUM</x:v>
      </x:c>
    </x:row>
    <x:row r="88">
      <x:c r="A88" s="12" t="str">
        <x:v>E01000719</x:v>
      </x:c>
      <x:c r="B88" s="12" t="str">
        <x:v>Bromley 019A</x:v>
      </x:c>
      <x:c r="C88" s="12" t="str">
        <x:v>Bromley</x:v>
      </x:c>
      <x:c r="D88" s="44" t="n">
        <x:v>51.39631873031996</x:v>
      </x:c>
      <x:c r="E88" s="44" t="n">
        <x:v>0.11684935158832561</x:v>
      </x:c>
      <x:c r="F88" s="33" t="n">
        <x:v>861</x:v>
      </x:c>
      <x:c r="G88" s="33" t="n">
        <x:v>322</x:v>
      </x:c>
      <x:c r="H88" s="26" t="n">
        <x:v>0.37398373983739835</x:v>
      </x:c>
      <x:c r="I88" s="12" t="n">
        <x:v>2</x:v>
      </x:c>
      <x:c r="J88" s="12" t="n">
        <x:v>47</x:v>
      </x:c>
      <x:c r="K88" s="12"/>
      <x:c r="L88" s="12"/>
      <x:c r="M88" s="12" t="str">
        <x:f>IF(K88="", "", MAX(0,IF(K88&lt;=20,100,IF(K88&lt;=30,85,IF(K88&lt;=40,70,IF(K88&lt;=50,55,IF(K88&lt;=60,40,20)))))-MIN(L88*5,20)))</x:f>
      </x:c>
      <x:c r="N88" s="12"/>
      <x:c r="O88" s="12"/>
      <x:c r="P88" s="12" t="str">
        <x:f>IF(OR(H88="",J88="",M88=""),"",ROUND(PERCENTRANK.INC($H$2:$H$941,H88)*35+J88*0.35+M88*0.30,0))</x:f>
      </x:c>
      <x:c r="Q88" s="12" t="str">
        <x:f>IF(P88="","",IF(P88&gt;=80,"ATTACK",IF(P88&gt;=65,"GROW",IF(P88&gt;=50,"PARTNER","WATCH"))))</x:f>
      </x:c>
      <x:c r="R88" s="12" t="str">
        <x:f>IF(Q88="","",IF(Q88="ATTACK","Grassroots + family acquisition",IF(Q88="GROW","Test local campaign",IF(Q88="PARTNER","Organisation-first partnership","Low priority / validate"))))</x:f>
      </x:c>
      <x:c r="S88" s="45" t="n">
        <x:v>6.904014043862529</x:v>
      </x:c>
      <x:c r="T88" t="str">
        <x:v>NEAR</x:v>
      </x:c>
      <x:c r="U88" s="32" t="n">
        <x:f>PERCENTRANK.INC($G$2:$G$941,G88)</x:f>
        <x:v>0.966</x:v>
      </x:c>
      <x:c r="V88" s="32" t="n">
        <x:f>PERCENTRANK.INC($H$2:$H$941,H88)</x:f>
        <x:v>0.812</x:v>
      </x:c>
      <x:c r="W88" t="n">
        <x:f>ROUND((U88*55+V88*45)*IF(S88&lt;=5,1,IF(S88&lt;=10,0.95,IF(S88&lt;=20,0.85,0.70))),0)</x:f>
        <x:v>85</x:v>
      </x:c>
      <x:c r="X88" t="n">
        <x:v>68</x:v>
      </x:c>
      <x:c r="Y88" t="str">
        <x:v>GROW</x:v>
      </x:c>
      <x:c r="Z88" s="12" t="str">
        <x:v>Family + verified grassroots + straight-line geo only; transport not yet routed</x:v>
      </x:c>
      <x:c r="AA88" s="12"/>
      <x:c r="AB88" s="12"/>
      <x:c r="AC88" s="12"/>
      <x:c r="AD88" s="12"/>
      <x:c r="AE88" t="str">
        <x:v>Charlton Athletic Women</x:v>
      </x:c>
      <x:c r="AF88" s="45" t="n">
        <x:v>11.472420880135722</x:v>
      </x:c>
      <x:c r="AG88" t="str">
        <x:v>Dulwich Hamlet Women</x:v>
      </x:c>
      <x:c r="AH88" s="45" t="n">
        <x:v>15.687488020245727</x:v>
      </x:c>
      <x:c r="AI88" t="n">
        <x:v>45</x:v>
      </x:c>
      <x:c r="AJ88" t="str">
        <x:v>LOW</x:v>
      </x:c>
    </x:row>
    <x:row r="89">
      <x:c r="A89" s="12" t="str">
        <x:v>E01000720</x:v>
      </x:c>
      <x:c r="B89" s="12" t="str">
        <x:v>Bromley 019B</x:v>
      </x:c>
      <x:c r="C89" s="12" t="str">
        <x:v>Bromley</x:v>
      </x:c>
      <x:c r="D89" s="44" t="n">
        <x:v>51.39508955240691</x:v>
      </x:c>
      <x:c r="E89" s="44" t="n">
        <x:v>0.12388781355613826</x:v>
      </x:c>
      <x:c r="F89" s="33" t="n">
        <x:v>682</x:v>
      </x:c>
      <x:c r="G89" s="33" t="n">
        <x:v>277</x:v>
      </x:c>
      <x:c r="H89" s="26" t="n">
        <x:v>0.40615835777126097</x:v>
      </x:c>
      <x:c r="I89" s="12" t="n">
        <x:v>2</x:v>
      </x:c>
      <x:c r="J89" s="12" t="n">
        <x:v>47</x:v>
      </x:c>
      <x:c r="K89" s="12"/>
      <x:c r="L89" s="12"/>
      <x:c r="M89" s="12" t="str">
        <x:f>IF(K89="", "", MAX(0,IF(K89&lt;=20,100,IF(K89&lt;=30,85,IF(K89&lt;=40,70,IF(K89&lt;=50,55,IF(K89&lt;=60,40,20)))))-MIN(L89*5,20)))</x:f>
      </x:c>
      <x:c r="N89" s="12"/>
      <x:c r="O89" s="12"/>
      <x:c r="P89" s="12" t="str">
        <x:f>IF(OR(H89="",J89="",M89=""),"",ROUND(PERCENTRANK.INC($H$2:$H$941,H89)*35+J89*0.35+M89*0.30,0))</x:f>
      </x:c>
      <x:c r="Q89" s="12" t="str">
        <x:f>IF(P89="","",IF(P89&gt;=80,"ATTACK",IF(P89&gt;=65,"GROW",IF(P89&gt;=50,"PARTNER","WATCH"))))</x:f>
      </x:c>
      <x:c r="R89" s="12" t="str">
        <x:f>IF(Q89="","",IF(Q89="ATTACK","Grassroots + family acquisition",IF(Q89="GROW","Test local campaign",IF(Q89="PARTNER","Organisation-first partnership","Low priority / validate"))))</x:f>
      </x:c>
      <x:c r="S89" s="45" t="n">
        <x:v>7.381055524019208</x:v>
      </x:c>
      <x:c r="T89" t="str">
        <x:v>NEAR</x:v>
      </x:c>
      <x:c r="U89" s="32" t="n">
        <x:f>PERCENTRANK.INC($G$2:$G$941,G89)</x:f>
        <x:v>0.887</x:v>
      </x:c>
      <x:c r="V89" s="32" t="n">
        <x:f>PERCENTRANK.INC($H$2:$H$941,H89)</x:f>
        <x:v>0.926</x:v>
      </x:c>
      <x:c r="W89" t="n">
        <x:f>ROUND((U89*55+V89*45)*IF(S89&lt;=5,1,IF(S89&lt;=10,0.95,IF(S89&lt;=20,0.85,0.70))),0)</x:f>
        <x:v>86</x:v>
      </x:c>
      <x:c r="X89" t="n">
        <x:v>69</x:v>
      </x:c>
      <x:c r="Y89" t="str">
        <x:v>GROW</x:v>
      </x:c>
      <x:c r="Z89" s="12" t="str">
        <x:v>Family + verified grassroots + straight-line geo only; transport not yet routed</x:v>
      </x:c>
      <x:c r="AA89" s="12"/>
      <x:c r="AB89" s="12"/>
      <x:c r="AC89" s="12"/>
      <x:c r="AD89" s="12"/>
      <x:c r="AE89" t="str">
        <x:v>Charlton Athletic Women</x:v>
      </x:c>
      <x:c r="AF89" s="45" t="n">
        <x:v>11.835088864726927</x:v>
      </x:c>
      <x:c r="AG89" t="str">
        <x:v>Dulwich Hamlet Women</x:v>
      </x:c>
      <x:c r="AH89" s="45" t="n">
        <x:v>16.18405225427994</x:v>
      </x:c>
      <x:c r="AI89" t="n">
        <x:v>45</x:v>
      </x:c>
      <x:c r="AJ89" t="str">
        <x:v>LOW</x:v>
      </x:c>
    </x:row>
    <x:row r="90">
      <x:c r="A90" s="12" t="str">
        <x:v>E01000721</x:v>
      </x:c>
      <x:c r="B90" s="12" t="str">
        <x:v>Bromley 019C</x:v>
      </x:c>
      <x:c r="C90" s="12" t="str">
        <x:v>Bromley</x:v>
      </x:c>
      <x:c r="D90" s="44" t="n">
        <x:v>51.39277810734325</x:v>
      </x:c>
      <x:c r="E90" s="44" t="n">
        <x:v>0.11982910701711304</x:v>
      </x:c>
      <x:c r="F90" s="33" t="n">
        <x:v>614</x:v>
      </x:c>
      <x:c r="G90" s="33" t="n">
        <x:v>231</x:v>
      </x:c>
      <x:c r="H90" s="26" t="n">
        <x:v>0.3762214983713355</x:v>
      </x:c>
      <x:c r="I90" s="12" t="n">
        <x:v>2</x:v>
      </x:c>
      <x:c r="J90" s="12" t="n">
        <x:v>47</x:v>
      </x:c>
      <x:c r="K90" s="12"/>
      <x:c r="L90" s="12"/>
      <x:c r="M90" s="12" t="str">
        <x:f>IF(K90="", "", MAX(0,IF(K90&lt;=20,100,IF(K90&lt;=30,85,IF(K90&lt;=40,70,IF(K90&lt;=50,55,IF(K90&lt;=60,40,20)))))-MIN(L90*5,20)))</x:f>
      </x:c>
      <x:c r="N90" s="12"/>
      <x:c r="O90" s="12"/>
      <x:c r="P90" s="12" t="str">
        <x:f>IF(OR(H90="",J90="",M90=""),"",ROUND(PERCENTRANK.INC($H$2:$H$941,H90)*35+J90*0.35+M90*0.30,0))</x:f>
      </x:c>
      <x:c r="Q90" s="12" t="str">
        <x:f>IF(P90="","",IF(P90&gt;=80,"ATTACK",IF(P90&gt;=65,"GROW",IF(P90&gt;=50,"PARTNER","WATCH"))))</x:f>
      </x:c>
      <x:c r="R90" s="12" t="str">
        <x:f>IF(Q90="","",IF(Q90="ATTACK","Grassroots + family acquisition",IF(Q90="GROW","Test local campaign",IF(Q90="PARTNER","Organisation-first partnership","Low priority / validate"))))</x:f>
      </x:c>
      <x:c r="S90" s="45" t="n">
        <x:v>7.088306357236715</x:v>
      </x:c>
      <x:c r="T90" t="str">
        <x:v>NEAR</x:v>
      </x:c>
      <x:c r="U90" s="32" t="n">
        <x:f>PERCENTRANK.INC($G$2:$G$941,G90)</x:f>
        <x:v>0.638</x:v>
      </x:c>
      <x:c r="V90" s="32" t="n">
        <x:f>PERCENTRANK.INC($H$2:$H$941,H90)</x:f>
        <x:v>0.816</x:v>
      </x:c>
      <x:c r="W90" t="n">
        <x:f>ROUND((U90*55+V90*45)*IF(S90&lt;=5,1,IF(S90&lt;=10,0.95,IF(S90&lt;=20,0.85,0.70))),0)</x:f>
        <x:v>68</x:v>
      </x:c>
      <x:c r="X90" t="n">
        <x:v>59</x:v>
      </x:c>
      <x:c r="Y90" t="str">
        <x:v>PARTNER</x:v>
      </x:c>
      <x:c r="Z90" s="12" t="str">
        <x:v>Family + verified grassroots + straight-line geo only; transport not yet routed</x:v>
      </x:c>
      <x:c r="AA90" s="12"/>
      <x:c r="AB90" s="12"/>
      <x:c r="AC90" s="12"/>
      <x:c r="AD90" s="12"/>
      <x:c r="AE90" t="str">
        <x:v>Charlton Athletic Women</x:v>
      </x:c>
      <x:c r="AF90" s="45" t="n">
        <x:v>11.91696489883687</x:v>
      </x:c>
      <x:c r="AG90" t="str">
        <x:v>Dulwich Hamlet Women</x:v>
      </x:c>
      <x:c r="AH90" s="45" t="n">
        <x:v>16.05472425163168</x:v>
      </x:c>
      <x:c r="AI90" t="n">
        <x:v>45</x:v>
      </x:c>
      <x:c r="AJ90" t="str">
        <x:v>LOW</x:v>
      </x:c>
    </x:row>
    <x:row r="91">
      <x:c r="A91" s="12" t="str">
        <x:v>E01000724</x:v>
      </x:c>
      <x:c r="B91" s="12" t="str">
        <x:v>Bromley 019D</x:v>
      </x:c>
      <x:c r="C91" s="12" t="str">
        <x:v>Bromley</x:v>
      </x:c>
      <x:c r="D91" s="44" t="n">
        <x:v>51.38959698596241</x:v>
      </x:c>
      <x:c r="E91" s="44" t="n">
        <x:v>0.11781981719497008</x:v>
      </x:c>
      <x:c r="F91" s="33" t="n">
        <x:v>653</x:v>
      </x:c>
      <x:c r="G91" s="33" t="n">
        <x:v>265</x:v>
      </x:c>
      <x:c r="H91" s="26" t="n">
        <x:v>0.4058192955589586</x:v>
      </x:c>
      <x:c r="I91" s="12" t="n">
        <x:v>2</x:v>
      </x:c>
      <x:c r="J91" s="12" t="n">
        <x:v>47</x:v>
      </x:c>
      <x:c r="K91" s="12"/>
      <x:c r="L91" s="12"/>
      <x:c r="M91" s="12" t="str">
        <x:f>IF(K91="", "", MAX(0,IF(K91&lt;=20,100,IF(K91&lt;=30,85,IF(K91&lt;=40,70,IF(K91&lt;=50,55,IF(K91&lt;=60,40,20)))))-MIN(L91*5,20)))</x:f>
      </x:c>
      <x:c r="N91" s="12"/>
      <x:c r="O91" s="12"/>
      <x:c r="P91" s="12" t="str">
        <x:f>IF(OR(H91="",J91="",M91=""),"",ROUND(PERCENTRANK.INC($H$2:$H$941,H91)*35+J91*0.35+M91*0.30,0))</x:f>
      </x:c>
      <x:c r="Q91" s="12" t="str">
        <x:f>IF(P91="","",IF(P91&gt;=80,"ATTACK",IF(P91&gt;=65,"GROW",IF(P91&gt;=50,"PARTNER","WATCH"))))</x:f>
      </x:c>
      <x:c r="R91" s="12" t="str">
        <x:f>IF(Q91="","",IF(Q91="ATTACK","Grassroots + family acquisition",IF(Q91="GROW","Test local campaign",IF(Q91="PARTNER","Organisation-first partnership","Low priority / validate"))))</x:f>
      </x:c>
      <x:c r="S91" s="45" t="n">
        <x:v>6.948038049624749</x:v>
      </x:c>
      <x:c r="T91" t="str">
        <x:v>NEAR</x:v>
      </x:c>
      <x:c r="U91" s="32" t="n">
        <x:f>PERCENTRANK.INC($G$2:$G$941,G91)</x:f>
        <x:v>0.851</x:v>
      </x:c>
      <x:c r="V91" s="32" t="n">
        <x:f>PERCENTRANK.INC($H$2:$H$941,H91)</x:f>
        <x:v>0.924</x:v>
      </x:c>
      <x:c r="W91" t="n">
        <x:f>ROUND((U91*55+V91*45)*IF(S91&lt;=5,1,IF(S91&lt;=10,0.95,IF(S91&lt;=20,0.85,0.70))),0)</x:f>
        <x:v>84</x:v>
      </x:c>
      <x:c r="X91" t="n">
        <x:v>67</x:v>
      </x:c>
      <x:c r="Y91" t="str">
        <x:v>GROW</x:v>
      </x:c>
      <x:c r="Z91" s="12" t="str">
        <x:v>Family + verified grassroots + straight-line geo only; transport not yet routed</x:v>
      </x:c>
      <x:c r="AA91" s="12"/>
      <x:c r="AB91" s="12"/>
      <x:c r="AC91" s="12"/>
      <x:c r="AD91" s="12"/>
      <x:c r="AE91" t="str">
        <x:v>Charlton Athletic Women</x:v>
      </x:c>
      <x:c r="AF91" s="45" t="n">
        <x:v>12.161827700169288</x:v>
      </x:c>
      <x:c r="AG91" t="str">
        <x:v>Dulwich Hamlet Women</x:v>
      </x:c>
      <x:c r="AH91" s="45" t="n">
        <x:v>16.104883169836587</x:v>
      </x:c>
      <x:c r="AI91" t="n">
        <x:v>45</x:v>
      </x:c>
      <x:c r="AJ91" t="str">
        <x:v>LOW</x:v>
      </x:c>
    </x:row>
    <x:row r="92">
      <x:c r="A92" s="12" t="str">
        <x:v>E01000728</x:v>
      </x:c>
      <x:c r="B92" s="12" t="str">
        <x:v>Bromley 019E</x:v>
      </x:c>
      <x:c r="C92" s="12" t="str">
        <x:v>Bromley</x:v>
      </x:c>
      <x:c r="D92" s="44" t="n">
        <x:v>51.40001894397771</x:v>
      </x:c>
      <x:c r="E92" s="44" t="n">
        <x:v>0.12032879618747458</x:v>
      </x:c>
      <x:c r="F92" s="33" t="n">
        <x:v>699</x:v>
      </x:c>
      <x:c r="G92" s="33" t="n">
        <x:v>202</x:v>
      </x:c>
      <x:c r="H92" s="26" t="n">
        <x:v>0.28898426323319026</x:v>
      </x:c>
      <x:c r="I92" s="12" t="n">
        <x:v>2</x:v>
      </x:c>
      <x:c r="J92" s="12" t="n">
        <x:v>47</x:v>
      </x:c>
      <x:c r="K92" s="12"/>
      <x:c r="L92" s="12"/>
      <x:c r="M92" s="12" t="str">
        <x:f>IF(K92="", "", MAX(0,IF(K92&lt;=20,100,IF(K92&lt;=30,85,IF(K92&lt;=40,70,IF(K92&lt;=50,55,IF(K92&lt;=60,40,20)))))-MIN(L92*5,20)))</x:f>
      </x:c>
      <x:c r="N92" s="12"/>
      <x:c r="O92" s="12"/>
      <x:c r="P92" s="12" t="str">
        <x:f>IF(OR(H92="",J92="",M92=""),"",ROUND(PERCENTRANK.INC($H$2:$H$941,H92)*35+J92*0.35+M92*0.30,0))</x:f>
      </x:c>
      <x:c r="Q92" s="12" t="str">
        <x:f>IF(P92="","",IF(P92&gt;=80,"ATTACK",IF(P92&gt;=65,"GROW",IF(P92&gt;=50,"PARTNER","WATCH"))))</x:f>
      </x:c>
      <x:c r="R92" s="12" t="str">
        <x:f>IF(Q92="","",IF(Q92="ATTACK","Grassroots + family acquisition",IF(Q92="GROW","Test local campaign",IF(Q92="PARTNER","Organisation-first partnership","Low priority / validate"))))</x:f>
      </x:c>
      <x:c r="S92" s="45" t="n">
        <x:v>7.190138376431119</x:v>
      </x:c>
      <x:c r="T92" t="str">
        <x:v>NEAR</x:v>
      </x:c>
      <x:c r="U92" s="32" t="n">
        <x:f>PERCENTRANK.INC($G$2:$G$941,G92)</x:f>
        <x:v>0.41</x:v>
      </x:c>
      <x:c r="V92" s="32" t="n">
        <x:f>PERCENTRANK.INC($H$2:$H$941,H92)</x:f>
        <x:v>0.337</x:v>
      </x:c>
      <x:c r="W92" t="n">
        <x:f>ROUND((U92*55+V92*45)*IF(S92&lt;=5,1,IF(S92&lt;=10,0.95,IF(S92&lt;=20,0.85,0.70))),0)</x:f>
        <x:v>36</x:v>
      </x:c>
      <x:c r="X92" t="n">
        <x:v>41</x:v>
      </x:c>
      <x:c r="Y92" t="str">
        <x:v>WATCH</x:v>
      </x:c>
      <x:c r="Z92" s="12" t="str">
        <x:v>Family + verified grassroots + straight-line geo only; transport not yet routed</x:v>
      </x:c>
      <x:c r="AA92" s="12"/>
      <x:c r="AB92" s="12"/>
      <x:c r="AC92" s="12"/>
      <x:c r="AD92" s="12"/>
      <x:c r="AE92" t="str">
        <x:v>Charlton Athletic Women</x:v>
      </x:c>
      <x:c r="AF92" s="45" t="n">
        <x:v>11.238161771998376</x:v>
      </x:c>
      <x:c r="AG92" t="str">
        <x:v>Dulwich Hamlet Women</x:v>
      </x:c>
      <x:c r="AH92" s="45" t="n">
        <x:v>15.718716934712106</x:v>
      </x:c>
      <x:c r="AI92" t="n">
        <x:v>45</x:v>
      </x:c>
      <x:c r="AJ92" t="str">
        <x:v>LOW</x:v>
      </x:c>
    </x:row>
    <x:row r="93">
      <x:c r="A93" s="12" t="str">
        <x:v>E01000651</x:v>
      </x:c>
      <x:c r="B93" s="12" t="str">
        <x:v>Bromley 020A</x:v>
      </x:c>
      <x:c r="C93" s="12" t="str">
        <x:v>Bromley</x:v>
      </x:c>
      <x:c r="D93" s="44" t="n">
        <x:v>51.397002475663214</x:v>
      </x:c>
      <x:c r="E93" s="44" t="n">
        <x:v>0.04299335251075513</x:v>
      </x:c>
      <x:c r="F93" s="33" t="n">
        <x:v>627</x:v>
      </x:c>
      <x:c r="G93" s="33" t="n">
        <x:v>201</x:v>
      </x:c>
      <x:c r="H93" s="26" t="n">
        <x:v>0.32057416267942584</x:v>
      </x:c>
      <x:c r="I93" s="12" t="n">
        <x:v>3</x:v>
      </x:c>
      <x:c r="J93" s="12" t="n">
        <x:v>86</x:v>
      </x:c>
      <x:c r="K93" s="12"/>
      <x:c r="L93" s="12"/>
      <x:c r="M93" s="12" t="str">
        <x:f>IF(K93="", "", MAX(0,IF(K93&lt;=20,100,IF(K93&lt;=30,85,IF(K93&lt;=40,70,IF(K93&lt;=50,55,IF(K93&lt;=60,40,20)))))-MIN(L93*5,20)))</x:f>
      </x:c>
      <x:c r="N93" s="12"/>
      <x:c r="O93" s="12"/>
      <x:c r="P93" s="12" t="str">
        <x:f>IF(OR(H93="",J93="",M93=""),"",ROUND(PERCENTRANK.INC($H$2:$H$941,H93)*35+J93*0.35+M93*0.30,0))</x:f>
      </x:c>
      <x:c r="Q93" s="12" t="str">
        <x:f>IF(P93="","",IF(P93&gt;=80,"ATTACK",IF(P93&gt;=65,"GROW",IF(P93&gt;=50,"PARTNER","WATCH"))))</x:f>
      </x:c>
      <x:c r="R93" s="12" t="str">
        <x:f>IF(Q93="","",IF(Q93="ATTACK","Grassroots + family acquisition",IF(Q93="GROW","Test local campaign",IF(Q93="PARTNER","Organisation-first partnership","Low priority / validate"))))</x:f>
      </x:c>
      <x:c r="S93" s="45" t="n">
        <x:v>1.8775155072408807</x:v>
      </x:c>
      <x:c r="T93" t="str">
        <x:v>CORE</x:v>
      </x:c>
      <x:c r="U93" s="32" t="n">
        <x:f>PERCENTRANK.INC($G$2:$G$941,G93)</x:f>
        <x:v>0.396</x:v>
      </x:c>
      <x:c r="V93" s="32" t="n">
        <x:f>PERCENTRANK.INC($H$2:$H$941,H93)</x:f>
        <x:v>0.514</x:v>
      </x:c>
      <x:c r="W93" t="n">
        <x:f>ROUND((U93*55+V93*45)*IF(S93&lt;=5,1,IF(S93&lt;=10,0.95,IF(S93&lt;=20,0.85,0.70))),0)</x:f>
        <x:v>45</x:v>
      </x:c>
      <x:c r="X93" t="n">
        <x:v>64</x:v>
      </x:c>
      <x:c r="Y93" t="str">
        <x:v>PARTNER</x:v>
      </x:c>
      <x:c r="Z93" s="12" t="str">
        <x:v>Family + verified grassroots + straight-line geo only; transport not yet routed</x:v>
      </x:c>
      <x:c r="AA93" s="12"/>
      <x:c r="AB93" s="12"/>
      <x:c r="AC93" s="12"/>
      <x:c r="AD93" s="12"/>
      <x:c r="AE93" t="str">
        <x:v>Crystal Palace Women</x:v>
      </x:c>
      <x:c r="AF93" s="45" t="n">
        <x:v>8.891196624591975</x:v>
      </x:c>
      <x:c r="AG93" t="str">
        <x:v>Dulwich Hamlet Women</x:v>
      </x:c>
      <x:c r="AH93" s="45" t="n">
        <x:v>11.341857760434813</x:v>
      </x:c>
      <x:c r="AI93" t="n">
        <x:v>65</x:v>
      </x:c>
      <x:c r="AJ93" t="str">
        <x:v>MEDIUM</x:v>
      </x:c>
    </x:row>
    <x:row r="94">
      <x:c r="A94" s="12" t="str">
        <x:v>E01000668</x:v>
      </x:c>
      <x:c r="B94" s="12" t="str">
        <x:v>Bromley 020B</x:v>
      </x:c>
      <x:c r="C94" s="12" t="str">
        <x:v>Bromley</x:v>
      </x:c>
      <x:c r="D94" s="44" t="n">
        <x:v>51.39286733769033</x:v>
      </x:c>
      <x:c r="E94" s="44" t="n">
        <x:v>0.03544647916982406</x:v>
      </x:c>
      <x:c r="F94" s="33" t="n">
        <x:v>973</x:v>
      </x:c>
      <x:c r="G94" s="33" t="n">
        <x:v>318</x:v>
      </x:c>
      <x:c r="H94" s="26" t="n">
        <x:v>0.32682425488180883</x:v>
      </x:c>
      <x:c r="I94" s="12" t="n">
        <x:v>3</x:v>
      </x:c>
      <x:c r="J94" s="12" t="n">
        <x:v>86</x:v>
      </x:c>
      <x:c r="K94" s="12"/>
      <x:c r="L94" s="12"/>
      <x:c r="M94" s="12" t="str">
        <x:f>IF(K94="", "", MAX(0,IF(K94&lt;=20,100,IF(K94&lt;=30,85,IF(K94&lt;=40,70,IF(K94&lt;=50,55,IF(K94&lt;=60,40,20)))))-MIN(L94*5,20)))</x:f>
      </x:c>
      <x:c r="N94" s="12"/>
      <x:c r="O94" s="12"/>
      <x:c r="P94" s="12" t="str">
        <x:f>IF(OR(H94="",J94="",M94=""),"",ROUND(PERCENTRANK.INC($H$2:$H$941,H94)*35+J94*0.35+M94*0.30,0))</x:f>
      </x:c>
      <x:c r="Q94" s="12" t="str">
        <x:f>IF(P94="","",IF(P94&gt;=80,"ATTACK",IF(P94&gt;=65,"GROW",IF(P94&gt;=50,"PARTNER","WATCH"))))</x:f>
      </x:c>
      <x:c r="R94" s="12" t="str">
        <x:f>IF(Q94="","",IF(Q94="ATTACK","Grassroots + family acquisition",IF(Q94="GROW","Test local campaign",IF(Q94="PARTNER","Organisation-first partnership","Low priority / validate"))))</x:f>
      </x:c>
      <x:c r="S94" s="45" t="n">
        <x:v>1.2483294630941628</x:v>
      </x:c>
      <x:c r="T94" t="str">
        <x:v>CORE</x:v>
      </x:c>
      <x:c r="U94" s="32" t="n">
        <x:f>PERCENTRANK.INC($G$2:$G$941,G94)</x:f>
        <x:v>0.962</x:v>
      </x:c>
      <x:c r="V94" s="32" t="n">
        <x:f>PERCENTRANK.INC($H$2:$H$941,H94)</x:f>
        <x:v>0.549</x:v>
      </x:c>
      <x:c r="W94" t="n">
        <x:f>ROUND((U94*55+V94*45)*IF(S94&lt;=5,1,IF(S94&lt;=10,0.95,IF(S94&lt;=20,0.85,0.70))),0)</x:f>
        <x:v>78</x:v>
      </x:c>
      <x:c r="X94" t="n">
        <x:v>81</x:v>
      </x:c>
      <x:c r="Y94" t="str">
        <x:v>ATTACK</x:v>
      </x:c>
      <x:c r="Z94" s="12" t="str">
        <x:v>Family + verified grassroots + straight-line geo only; transport not yet routed</x:v>
      </x:c>
      <x:c r="AA94" s="12"/>
      <x:c r="AB94" s="12"/>
      <x:c r="AC94" s="12"/>
      <x:c r="AD94" s="12"/>
      <x:c r="AE94" t="str">
        <x:v>Crystal Palace Women</x:v>
      </x:c>
      <x:c r="AF94" s="45" t="n">
        <x:v>8.388487995124</x:v>
      </x:c>
      <x:c r="AG94" t="str">
        <x:v>Dulwich Hamlet Women</x:v>
      </x:c>
      <x:c r="AH94" s="45" t="n">
        <x:v>11.246979576162861</x:v>
      </x:c>
      <x:c r="AI94" t="n">
        <x:v>65</x:v>
      </x:c>
      <x:c r="AJ94" t="str">
        <x:v>MEDIUM</x:v>
      </x:c>
    </x:row>
    <x:row r="95">
      <x:c r="A95" s="12" t="str">
        <x:v>E01000669</x:v>
      </x:c>
      <x:c r="B95" s="12" t="str">
        <x:v>Bromley 020C</x:v>
      </x:c>
      <x:c r="C95" s="12" t="str">
        <x:v>Bromley</x:v>
      </x:c>
      <x:c r="D95" s="44" t="n">
        <x:v>51.3906702396127</x:v>
      </x:c>
      <x:c r="E95" s="44" t="n">
        <x:v>0.038540354880942554</x:v>
      </x:c>
      <x:c r="F95" s="33" t="n">
        <x:v>748</x:v>
      </x:c>
      <x:c r="G95" s="33" t="n">
        <x:v>262</x:v>
      </x:c>
      <x:c r="H95" s="26" t="n">
        <x:v>0.3502673796791444</x:v>
      </x:c>
      <x:c r="I95" s="12" t="n">
        <x:v>3</x:v>
      </x:c>
      <x:c r="J95" s="12" t="n">
        <x:v>86</x:v>
      </x:c>
      <x:c r="K95" s="12"/>
      <x:c r="L95" s="12"/>
      <x:c r="M95" s="12" t="str">
        <x:f>IF(K95="", "", MAX(0,IF(K95&lt;=20,100,IF(K95&lt;=30,85,IF(K95&lt;=40,70,IF(K95&lt;=50,55,IF(K95&lt;=60,40,20)))))-MIN(L95*5,20)))</x:f>
      </x:c>
      <x:c r="N95" s="12"/>
      <x:c r="O95" s="12"/>
      <x:c r="P95" s="12" t="str">
        <x:f>IF(OR(H95="",J95="",M95=""),"",ROUND(PERCENTRANK.INC($H$2:$H$941,H95)*35+J95*0.35+M95*0.30,0))</x:f>
      </x:c>
      <x:c r="Q95" s="12" t="str">
        <x:f>IF(P95="","",IF(P95&gt;=80,"ATTACK",IF(P95&gt;=65,"GROW",IF(P95&gt;=50,"PARTNER","WATCH"))))</x:f>
      </x:c>
      <x:c r="R95" s="12" t="str">
        <x:f>IF(Q95="","",IF(Q95="ATTACK","Grassroots + family acquisition",IF(Q95="GROW","Test local campaign",IF(Q95="PARTNER","Organisation-first partnership","Low priority / validate"))))</x:f>
      </x:c>
      <x:c r="S95" s="45" t="n">
        <x:v>1.4457613016073634</x:v>
      </x:c>
      <x:c r="T95" t="str">
        <x:v>CORE</x:v>
      </x:c>
      <x:c r="U95" s="32" t="n">
        <x:f>PERCENTRANK.INC($G$2:$G$941,G95)</x:f>
        <x:v>0.837</x:v>
      </x:c>
      <x:c r="V95" s="32" t="n">
        <x:f>PERCENTRANK.INC($H$2:$H$941,H95)</x:f>
        <x:v>0.687</x:v>
      </x:c>
      <x:c r="W95" t="n">
        <x:f>ROUND((U95*55+V95*45)*IF(S95&lt;=5,1,IF(S95&lt;=10,0.95,IF(S95&lt;=20,0.85,0.70))),0)</x:f>
        <x:v>77</x:v>
      </x:c>
      <x:c r="X95" t="n">
        <x:v>81</x:v>
      </x:c>
      <x:c r="Y95" t="str">
        <x:v>ATTACK</x:v>
      </x:c>
      <x:c r="Z95" s="12" t="str">
        <x:v>Family + verified grassroots + straight-line geo only; transport not yet routed</x:v>
      </x:c>
      <x:c r="AA95" s="12"/>
      <x:c r="AB95" s="12"/>
      <x:c r="AC95" s="12"/>
      <x:c r="AD95" s="12"/>
      <x:c r="AE95" t="str">
        <x:v>Crystal Palace Women</x:v>
      </x:c>
      <x:c r="AF95" s="45" t="n">
        <x:v>8.623340625724767</x:v>
      </x:c>
      <x:c r="AG95" t="str">
        <x:v>Dulwich Hamlet Women</x:v>
      </x:c>
      <x:c r="AH95" s="45" t="n">
        <x:v>11.570435863875195</x:v>
      </x:c>
      <x:c r="AI95" t="n">
        <x:v>65</x:v>
      </x:c>
      <x:c r="AJ95" t="str">
        <x:v>MEDIUM</x:v>
      </x:c>
    </x:row>
    <x:row r="96">
      <x:c r="A96" s="12" t="str">
        <x:v>E01000671</x:v>
      </x:c>
      <x:c r="B96" s="12" t="str">
        <x:v>Bromley 020D</x:v>
      </x:c>
      <x:c r="C96" s="12" t="str">
        <x:v>Bromley</x:v>
      </x:c>
      <x:c r="D96" s="44" t="n">
        <x:v>51.396203658803344</x:v>
      </x:c>
      <x:c r="E96" s="44" t="n">
        <x:v>0.027558102374802117</x:v>
      </x:c>
      <x:c r="F96" s="33" t="n">
        <x:v>1017</x:v>
      </x:c>
      <x:c r="G96" s="33" t="n">
        <x:v>315</x:v>
      </x:c>
      <x:c r="H96" s="26" t="n">
        <x:v>0.30973451327433627</x:v>
      </x:c>
      <x:c r="I96" s="12" t="n">
        <x:v>3</x:v>
      </x:c>
      <x:c r="J96" s="12" t="n">
        <x:v>86</x:v>
      </x:c>
      <x:c r="K96" s="12"/>
      <x:c r="L96" s="12"/>
      <x:c r="M96" s="12" t="str">
        <x:f>IF(K96="", "", MAX(0,IF(K96&lt;=20,100,IF(K96&lt;=30,85,IF(K96&lt;=40,70,IF(K96&lt;=50,55,IF(K96&lt;=60,40,20)))))-MIN(L96*5,20)))</x:f>
      </x:c>
      <x:c r="N96" s="12"/>
      <x:c r="O96" s="12"/>
      <x:c r="P96" s="12" t="str">
        <x:f>IF(OR(H96="",J96="",M96=""),"",ROUND(PERCENTRANK.INC($H$2:$H$941,H96)*35+J96*0.35+M96*0.30,0))</x:f>
      </x:c>
      <x:c r="Q96" s="12" t="str">
        <x:f>IF(P96="","",IF(P96&gt;=80,"ATTACK",IF(P96&gt;=65,"GROW",IF(P96&gt;=50,"PARTNER","WATCH"))))</x:f>
      </x:c>
      <x:c r="R96" s="12" t="str">
        <x:f>IF(Q96="","",IF(Q96="ATTACK","Grassroots + family acquisition",IF(Q96="GROW","Test local campaign",IF(Q96="PARTNER","Organisation-first partnership","Low priority / validate"))))</x:f>
      </x:c>
      <x:c r="S96" s="45" t="n">
        <x:v>0.8965145579507999</x:v>
      </x:c>
      <x:c r="T96" t="str">
        <x:v>CORE</x:v>
      </x:c>
      <x:c r="U96" s="32" t="n">
        <x:f>PERCENTRANK.INC($G$2:$G$941,G96)</x:f>
        <x:v>0.959</x:v>
      </x:c>
      <x:c r="V96" s="32" t="n">
        <x:f>PERCENTRANK.INC($H$2:$H$941,H96)</x:f>
        <x:v>0.444</x:v>
      </x:c>
      <x:c r="W96" t="n">
        <x:f>ROUND((U96*55+V96*45)*IF(S96&lt;=5,1,IF(S96&lt;=10,0.95,IF(S96&lt;=20,0.85,0.70))),0)</x:f>
        <x:v>73</x:v>
      </x:c>
      <x:c r="X96" t="n">
        <x:v>79</x:v>
      </x:c>
      <x:c r="Y96" t="str">
        <x:v>GROW</x:v>
      </x:c>
      <x:c r="Z96" s="12" t="str">
        <x:v>Family + verified grassroots + straight-line geo only; transport not yet routed</x:v>
      </x:c>
      <x:c r="AA96" s="12"/>
      <x:c r="AB96" s="12"/>
      <x:c r="AC96" s="12"/>
      <x:c r="AD96" s="12"/>
      <x:c r="AE96" t="str">
        <x:v>Crystal Palace Women</x:v>
      </x:c>
      <x:c r="AF96" s="45" t="n">
        <x:v>7.8227035366418844</x:v>
      </x:c>
      <x:c r="AG96" t="str">
        <x:v>Dulwich Hamlet Women</x:v>
      </x:c>
      <x:c r="AH96" s="45" t="n">
        <x:v>10.593515291179594</x:v>
      </x:c>
      <x:c r="AI96" t="n">
        <x:v>65</x:v>
      </x:c>
      <x:c r="AJ96" t="str">
        <x:v>MEDIUM</x:v>
      </x:c>
    </x:row>
    <x:row r="97">
      <x:c r="A97" s="12" t="str">
        <x:v>E01000679</x:v>
      </x:c>
      <x:c r="B97" s="12" t="str">
        <x:v>Bromley 020E</x:v>
      </x:c>
      <x:c r="C97" s="12" t="str">
        <x:v>Bromley</x:v>
      </x:c>
      <x:c r="D97" s="44" t="n">
        <x:v>51.39667076720712</x:v>
      </x:c>
      <x:c r="E97" s="44" t="n">
        <x:v>0.032979465580300786</x:v>
      </x:c>
      <x:c r="F97" s="33" t="n">
        <x:v>674</x:v>
      </x:c>
      <x:c r="G97" s="33" t="n">
        <x:v>273</x:v>
      </x:c>
      <x:c r="H97" s="26" t="n">
        <x:v>0.4050445103857567</x:v>
      </x:c>
      <x:c r="I97" s="12" t="n">
        <x:v>3</x:v>
      </x:c>
      <x:c r="J97" s="12" t="n">
        <x:v>86</x:v>
      </x:c>
      <x:c r="K97" s="12"/>
      <x:c r="L97" s="12"/>
      <x:c r="M97" s="12" t="str">
        <x:f>IF(K97="", "", MAX(0,IF(K97&lt;=20,100,IF(K97&lt;=30,85,IF(K97&lt;=40,70,IF(K97&lt;=50,55,IF(K97&lt;=60,40,20)))))-MIN(L97*5,20)))</x:f>
      </x:c>
      <x:c r="N97" s="12"/>
      <x:c r="O97" s="12"/>
      <x:c r="P97" s="12" t="str">
        <x:f>IF(OR(H97="",J97="",M97=""),"",ROUND(PERCENTRANK.INC($H$2:$H$941,H97)*35+J97*0.35+M97*0.30,0))</x:f>
      </x:c>
      <x:c r="Q97" s="12" t="str">
        <x:f>IF(P97="","",IF(P97&gt;=80,"ATTACK",IF(P97&gt;=65,"GROW",IF(P97&gt;=50,"PARTNER","WATCH"))))</x:f>
      </x:c>
      <x:c r="R97" s="12" t="str">
        <x:f>IF(Q97="","",IF(Q97="ATTACK","Grassroots + family acquisition",IF(Q97="GROW","Test local campaign",IF(Q97="PARTNER","Organisation-first partnership","Low priority / validate"))))</x:f>
      </x:c>
      <x:c r="S97" s="45" t="n">
        <x:v>1.2337862576023344</x:v>
      </x:c>
      <x:c r="T97" t="str">
        <x:v>CORE</x:v>
      </x:c>
      <x:c r="U97" s="32" t="n">
        <x:f>PERCENTRANK.INC($G$2:$G$941,G97)</x:f>
        <x:v>0.877</x:v>
      </x:c>
      <x:c r="V97" s="32" t="n">
        <x:f>PERCENTRANK.INC($H$2:$H$941,H97)</x:f>
        <x:v>0.921</x:v>
      </x:c>
      <x:c r="W97" t="n">
        <x:f>ROUND((U97*55+V97*45)*IF(S97&lt;=5,1,IF(S97&lt;=10,0.95,IF(S97&lt;=20,0.85,0.70))),0)</x:f>
        <x:v>90</x:v>
      </x:c>
      <x:c r="X97" t="n">
        <x:v>88</x:v>
      </x:c>
      <x:c r="Y97" t="str">
        <x:v>ATTACK</x:v>
      </x:c>
      <x:c r="Z97" s="12" t="str">
        <x:v>Family + verified grassroots + straight-line geo only; transport not yet routed</x:v>
      </x:c>
      <x:c r="AA97" s="12"/>
      <x:c r="AB97" s="12"/>
      <x:c r="AC97" s="12"/>
      <x:c r="AD97" s="12"/>
      <x:c r="AE97" t="str">
        <x:v>Crystal Palace Women</x:v>
      </x:c>
      <x:c r="AF97" s="45" t="n">
        <x:v>8.197322353518844</x:v>
      </x:c>
      <x:c r="AG97" t="str">
        <x:v>Dulwich Hamlet Women</x:v>
      </x:c>
      <x:c r="AH97" s="45" t="n">
        <x:v>10.83635231444006</x:v>
      </x:c>
      <x:c r="AI97" t="n">
        <x:v>65</x:v>
      </x:c>
      <x:c r="AJ97" t="str">
        <x:v>MEDIUM</x:v>
      </x:c>
    </x:row>
    <x:row r="98">
      <x:c r="A98" s="12" t="str">
        <x:v>E01000826</x:v>
      </x:c>
      <x:c r="B98" s="12" t="str">
        <x:v>Bromley 021A</x:v>
      </x:c>
      <x:c r="C98" s="12" t="str">
        <x:v>Bromley</x:v>
      </x:c>
      <x:c r="D98" s="44" t="n">
        <x:v>51.39208569292761</x:v>
      </x:c>
      <x:c r="E98" s="44" t="n">
        <x:v>-0.007559472035525801</x:v>
      </x:c>
      <x:c r="F98" s="33" t="n">
        <x:v>560</x:v>
      </x:c>
      <x:c r="G98" s="33" t="n">
        <x:v>211</x:v>
      </x:c>
      <x:c r="H98" s="26" t="n">
        <x:v>0.3767857142857143</x:v>
      </x:c>
      <x:c r="I98" s="12" t="n">
        <x:v>4</x:v>
      </x:c>
      <x:c r="J98" s="12" t="n">
        <x:v>94</x:v>
      </x:c>
      <x:c r="K98" s="12"/>
      <x:c r="L98" s="12"/>
      <x:c r="M98" s="12" t="str">
        <x:f>IF(K98="", "", MAX(0,IF(K98&lt;=20,100,IF(K98&lt;=30,85,IF(K98&lt;=40,70,IF(K98&lt;=50,55,IF(K98&lt;=60,40,20)))))-MIN(L98*5,20)))</x:f>
      </x:c>
      <x:c r="N98" s="12"/>
      <x:c r="O98" s="12"/>
      <x:c r="P98" s="12" t="str">
        <x:f>IF(OR(H98="",J98="",M98=""),"",ROUND(PERCENTRANK.INC($H$2:$H$941,H98)*35+J98*0.35+M98*0.30,0))</x:f>
      </x:c>
      <x:c r="Q98" s="12" t="str">
        <x:f>IF(P98="","",IF(P98&gt;=80,"ATTACK",IF(P98&gt;=65,"GROW",IF(P98&gt;=50,"PARTNER","WATCH"))))</x:f>
      </x:c>
      <x:c r="R98" s="12" t="str">
        <x:f>IF(Q98="","",IF(Q98="ATTACK","Grassroots + family acquisition",IF(Q98="GROW","Test local campaign",IF(Q98="PARTNER","Organisation-first partnership","Low priority / validate"))))</x:f>
      </x:c>
      <x:c r="S98" s="45" t="n">
        <x:v>1.7576012159312338</x:v>
      </x:c>
      <x:c r="T98" t="str">
        <x:v>CORE</x:v>
      </x:c>
      <x:c r="U98" s="32" t="n">
        <x:f>PERCENTRANK.INC($G$2:$G$941,G98)</x:f>
        <x:v>0.482</x:v>
      </x:c>
      <x:c r="V98" s="32" t="n">
        <x:f>PERCENTRANK.INC($H$2:$H$941,H98)</x:f>
        <x:v>0.818</x:v>
      </x:c>
      <x:c r="W98" t="n">
        <x:f>ROUND((U98*55+V98*45)*IF(S98&lt;=5,1,IF(S98&lt;=10,0.95,IF(S98&lt;=20,0.85,0.70))),0)</x:f>
        <x:v>63</x:v>
      </x:c>
      <x:c r="X98" t="n">
        <x:v>77</x:v>
      </x:c>
      <x:c r="Y98" t="str">
        <x:v>GROW</x:v>
      </x:c>
      <x:c r="Z98" s="12" t="str">
        <x:v>Family + verified grassroots + straight-line geo only; transport not yet routed</x:v>
      </x:c>
      <x:c r="AA98" s="12"/>
      <x:c r="AB98" s="12"/>
      <x:c r="AC98" s="12"/>
      <x:c r="AD98" s="12"/>
      <x:c r="AE98" t="str">
        <x:v>Crystal Palace Women</x:v>
      </x:c>
      <x:c r="AF98" s="45" t="n">
        <x:v>5.427088549017996</x:v>
      </x:c>
      <x:c r="AG98" t="str">
        <x:v>Dulwich Hamlet Women</x:v>
      </x:c>
      <x:c r="AH98" s="45" t="n">
        <x:v>9.345580883308363</x:v>
      </x:c>
      <x:c r="AI98" t="n">
        <x:v>81</x:v>
      </x:c>
      <x:c r="AJ98" t="str">
        <x:v>HIGH</x:v>
      </x:c>
    </x:row>
    <x:row r="99">
      <x:c r="A99" s="12" t="str">
        <x:v>E01000827</x:v>
      </x:c>
      <x:c r="B99" s="12" t="str">
        <x:v>Bromley 021B</x:v>
      </x:c>
      <x:c r="C99" s="12" t="str">
        <x:v>Bromley</x:v>
      </x:c>
      <x:c r="D99" s="44" t="n">
        <x:v>51.39362880112722</x:v>
      </x:c>
      <x:c r="E99" s="44" t="n">
        <x:v>0.005551899130313997</x:v>
      </x:c>
      <x:c r="F99" s="33" t="n">
        <x:v>782</x:v>
      </x:c>
      <x:c r="G99" s="33" t="n">
        <x:v>236</x:v>
      </x:c>
      <x:c r="H99" s="26" t="n">
        <x:v>0.30179028132992325</x:v>
      </x:c>
      <x:c r="I99" s="12" t="n">
        <x:v>3</x:v>
      </x:c>
      <x:c r="J99" s="12" t="n">
        <x:v>93</x:v>
      </x:c>
      <x:c r="K99" s="12"/>
      <x:c r="L99" s="12"/>
      <x:c r="M99" s="12" t="str">
        <x:f>IF(K99="", "", MAX(0,IF(K99&lt;=20,100,IF(K99&lt;=30,85,IF(K99&lt;=40,70,IF(K99&lt;=50,55,IF(K99&lt;=60,40,20)))))-MIN(L99*5,20)))</x:f>
      </x:c>
      <x:c r="N99" s="12"/>
      <x:c r="O99" s="12"/>
      <x:c r="P99" s="12" t="str">
        <x:f>IF(OR(H99="",J99="",M99=""),"",ROUND(PERCENTRANK.INC($H$2:$H$941,H99)*35+J99*0.35+M99*0.30,0))</x:f>
      </x:c>
      <x:c r="Q99" s="12" t="str">
        <x:f>IF(P99="","",IF(P99&gt;=80,"ATTACK",IF(P99&gt;=65,"GROW",IF(P99&gt;=50,"PARTNER","WATCH"))))</x:f>
      </x:c>
      <x:c r="R99" s="12" t="str">
        <x:f>IF(Q99="","",IF(Q99="ATTACK","Grassroots + family acquisition",IF(Q99="GROW","Test local campaign",IF(Q99="PARTNER","Organisation-first partnership","Low priority / validate"))))</x:f>
      </x:c>
      <x:c r="S99" s="45" t="n">
        <x:v>0.8933710082027129</x:v>
      </x:c>
      <x:c r="T99" t="str">
        <x:v>CORE</x:v>
      </x:c>
      <x:c r="U99" s="32" t="n">
        <x:f>PERCENTRANK.INC($G$2:$G$941,G99)</x:f>
        <x:v>0.679</x:v>
      </x:c>
      <x:c r="V99" s="32" t="n">
        <x:f>PERCENTRANK.INC($H$2:$H$941,H99)</x:f>
        <x:v>0.406</x:v>
      </x:c>
      <x:c r="W99" t="n">
        <x:f>ROUND((U99*55+V99*45)*IF(S99&lt;=5,1,IF(S99&lt;=10,0.95,IF(S99&lt;=20,0.85,0.70))),0)</x:f>
        <x:v>56</x:v>
      </x:c>
      <x:c r="X99" t="n">
        <x:v>73</x:v>
      </x:c>
      <x:c r="Y99" t="str">
        <x:v>GROW</x:v>
      </x:c>
      <x:c r="Z99" s="12" t="str">
        <x:v>Family + verified grassroots + straight-line geo only; transport not yet routed</x:v>
      </x:c>
      <x:c r="AA99" s="12"/>
      <x:c r="AB99" s="12"/>
      <x:c r="AC99" s="12"/>
      <x:c r="AD99" s="12"/>
      <x:c r="AE99" t="str">
        <x:v>Crystal Palace Women</x:v>
      </x:c>
      <x:c r="AF99" s="45" t="n">
        <x:v>6.313976970191622</x:v>
      </x:c>
      <x:c r="AG99" t="str">
        <x:v>Dulwich Hamlet Women</x:v>
      </x:c>
      <x:c r="AH99" s="45" t="n">
        <x:v>9.75629366124938</x:v>
      </x:c>
      <x:c r="AI99" t="n">
        <x:v>70</x:v>
      </x:c>
      <x:c r="AJ99" t="str">
        <x:v>MEDIUM</x:v>
      </x:c>
    </x:row>
    <x:row r="100">
      <x:c r="A100" s="12" t="str">
        <x:v>E01000830</x:v>
      </x:c>
      <x:c r="B100" s="12" t="str">
        <x:v>Bromley 021C</x:v>
      </x:c>
      <x:c r="C100" s="12" t="str">
        <x:v>Bromley</x:v>
      </x:c>
      <x:c r="D100" s="44" t="n">
        <x:v>51.39708949539404</x:v>
      </x:c>
      <x:c r="E100" s="44" t="n">
        <x:v>-0.007916798349149153</x:v>
      </x:c>
      <x:c r="F100" s="33" t="n">
        <x:v>556</x:v>
      </x:c>
      <x:c r="G100" s="33" t="n">
        <x:v>227</x:v>
      </x:c>
      <x:c r="H100" s="26" t="n">
        <x:v>0.40827338129496404</x:v>
      </x:c>
      <x:c r="I100" s="12" t="n">
        <x:v>4</x:v>
      </x:c>
      <x:c r="J100" s="12" t="n">
        <x:v>94</x:v>
      </x:c>
      <x:c r="K100" s="12"/>
      <x:c r="L100" s="12"/>
      <x:c r="M100" s="12" t="str">
        <x:f>IF(K100="", "", MAX(0,IF(K100&lt;=20,100,IF(K100&lt;=30,85,IF(K100&lt;=40,70,IF(K100&lt;=50,55,IF(K100&lt;=60,40,20)))))-MIN(L100*5,20)))</x:f>
      </x:c>
      <x:c r="N100" s="12"/>
      <x:c r="O100" s="12"/>
      <x:c r="P100" s="12" t="str">
        <x:f>IF(OR(H100="",J100="",M100=""),"",ROUND(PERCENTRANK.INC($H$2:$H$941,H100)*35+J100*0.35+M100*0.30,0))</x:f>
      </x:c>
      <x:c r="Q100" s="12" t="str">
        <x:f>IF(P100="","",IF(P100&gt;=80,"ATTACK",IF(P100&gt;=65,"GROW",IF(P100&gt;=50,"PARTNER","WATCH"))))</x:f>
      </x:c>
      <x:c r="R100" s="12" t="str">
        <x:f>IF(Q100="","",IF(Q100="ATTACK","Grassroots + family acquisition",IF(Q100="GROW","Test local campaign",IF(Q100="PARTNER","Organisation-first partnership","Low priority / validate"))))</x:f>
      </x:c>
      <x:c r="S100" s="45" t="n">
        <x:v>1.9032266338904444</x:v>
      </x:c>
      <x:c r="T100" t="str">
        <x:v>CORE</x:v>
      </x:c>
      <x:c r="U100" s="32" t="n">
        <x:f>PERCENTRANK.INC($G$2:$G$941,G100)</x:f>
        <x:v>0.605</x:v>
      </x:c>
      <x:c r="V100" s="32" t="n">
        <x:f>PERCENTRANK.INC($H$2:$H$941,H100)</x:f>
        <x:v>0.932</x:v>
      </x:c>
      <x:c r="W100" t="n">
        <x:f>ROUND((U100*55+V100*45)*IF(S100&lt;=5,1,IF(S100&lt;=10,0.95,IF(S100&lt;=20,0.85,0.70))),0)</x:f>
        <x:v>75</x:v>
      </x:c>
      <x:c r="X100" t="n">
        <x:v>84</x:v>
      </x:c>
      <x:c r="Y100" t="str">
        <x:v>ATTACK</x:v>
      </x:c>
      <x:c r="Z100" s="12" t="str">
        <x:v>Family + verified grassroots + straight-line geo only; transport not yet routed</x:v>
      </x:c>
      <x:c r="AA100" s="12"/>
      <x:c r="AB100" s="12"/>
      <x:c r="AC100" s="12"/>
      <x:c r="AD100" s="12"/>
      <x:c r="AE100" t="str">
        <x:v>Crystal Palace Women</x:v>
      </x:c>
      <x:c r="AF100" s="45" t="n">
        <x:v>5.359754047594332</x:v>
      </x:c>
      <x:c r="AG100" t="str">
        <x:v>Dulwich Hamlet Women</x:v>
      </x:c>
      <x:c r="AH100" s="45" t="n">
        <x:v>8.877929273511587</x:v>
      </x:c>
      <x:c r="AI100" t="n">
        <x:v>81</x:v>
      </x:c>
      <x:c r="AJ100" t="str">
        <x:v>HIGH</x:v>
      </x:c>
    </x:row>
    <x:row r="101">
      <x:c r="A101" s="12" t="str">
        <x:v>E01000831</x:v>
      </x:c>
      <x:c r="B101" s="12" t="str">
        <x:v>Bromley 021D</x:v>
      </x:c>
      <x:c r="C101" s="12" t="str">
        <x:v>Bromley</x:v>
      </x:c>
      <x:c r="D101" s="44" t="n">
        <x:v>51.398628326808286</x:v>
      </x:c>
      <x:c r="E101" s="44" t="n">
        <x:v>0.0046242697207387285</x:v>
      </x:c>
      <x:c r="F101" s="33" t="n">
        <x:v>774</x:v>
      </x:c>
      <x:c r="G101" s="33" t="n">
        <x:v>209</x:v>
      </x:c>
      <x:c r="H101" s="26" t="n">
        <x:v>0.27002583979328165</x:v>
      </x:c>
      <x:c r="I101" s="12" t="n">
        <x:v>3</x:v>
      </x:c>
      <x:c r="J101" s="12" t="n">
        <x:v>93</x:v>
      </x:c>
      <x:c r="K101" s="12"/>
      <x:c r="L101" s="12"/>
      <x:c r="M101" s="12" t="str">
        <x:f>IF(K101="", "", MAX(0,IF(K101&lt;=20,100,IF(K101&lt;=30,85,IF(K101&lt;=40,70,IF(K101&lt;=50,55,IF(K101&lt;=60,40,20)))))-MIN(L101*5,20)))</x:f>
      </x:c>
      <x:c r="N101" s="12"/>
      <x:c r="O101" s="12"/>
      <x:c r="P101" s="12" t="str">
        <x:f>IF(OR(H101="",J101="",M101=""),"",ROUND(PERCENTRANK.INC($H$2:$H$941,H101)*35+J101*0.35+M101*0.30,0))</x:f>
      </x:c>
      <x:c r="Q101" s="12" t="str">
        <x:f>IF(P101="","",IF(P101&gt;=80,"ATTACK",IF(P101&gt;=65,"GROW",IF(P101&gt;=50,"PARTNER","WATCH"))))</x:f>
      </x:c>
      <x:c r="R101" s="12" t="str">
        <x:f>IF(Q101="","",IF(Q101="ATTACK","Grassroots + family acquisition",IF(Q101="GROW","Test local campaign",IF(Q101="PARTNER","Organisation-first partnership","Low priority / validate"))))</x:f>
      </x:c>
      <x:c r="S101" s="45" t="n">
        <x:v>1.2436982602426598</x:v>
      </x:c>
      <x:c r="T101" t="str">
        <x:v>CORE</x:v>
      </x:c>
      <x:c r="U101" s="32" t="n">
        <x:f>PERCENTRANK.INC($G$2:$G$941,G101)</x:f>
        <x:v>0.461</x:v>
      </x:c>
      <x:c r="V101" s="32" t="n">
        <x:f>PERCENTRANK.INC($H$2:$H$941,H101)</x:f>
        <x:v>0.26</x:v>
      </x:c>
      <x:c r="W101" t="n">
        <x:f>ROUND((U101*55+V101*45)*IF(S101&lt;=5,1,IF(S101&lt;=10,0.95,IF(S101&lt;=20,0.85,0.70))),0)</x:f>
        <x:v>37</x:v>
      </x:c>
      <x:c r="X101" t="n">
        <x:v>63</x:v>
      </x:c>
      <x:c r="Y101" t="str">
        <x:v>PARTNER</x:v>
      </x:c>
      <x:c r="Z101" s="12" t="str">
        <x:v>Family + verified grassroots + straight-line geo only; transport not yet routed</x:v>
      </x:c>
      <x:c r="AA101" s="12"/>
      <x:c r="AB101" s="12"/>
      <x:c r="AC101" s="12"/>
      <x:c r="AD101" s="12"/>
      <x:c r="AE101" t="str">
        <x:v>Crystal Palace Women</x:v>
      </x:c>
      <x:c r="AF101" s="45" t="n">
        <x:v>6.228181853852777</x:v>
      </x:c>
      <x:c r="AG101" t="str">
        <x:v>Dulwich Hamlet Women</x:v>
      </x:c>
      <x:c r="AH101" s="45" t="n">
        <x:v>9.291239137597808</x:v>
      </x:c>
      <x:c r="AI101" t="n">
        <x:v>70</x:v>
      </x:c>
      <x:c r="AJ101" t="str">
        <x:v>MEDIUM</x:v>
      </x:c>
    </x:row>
    <x:row r="102">
      <x:c r="A102" s="12" t="str">
        <x:v>E01000833</x:v>
      </x:c>
      <x:c r="B102" s="12" t="str">
        <x:v>Bromley 021E</x:v>
      </x:c>
      <x:c r="C102" s="12" t="str">
        <x:v>Bromley</x:v>
      </x:c>
      <x:c r="D102" s="44" t="n">
        <x:v>51.388495431482156</x:v>
      </x:c>
      <x:c r="E102" s="44" t="n">
        <x:v>-0.001869381705264339</x:v>
      </x:c>
      <x:c r="F102" s="33" t="n">
        <x:v>497</x:v>
      </x:c>
      <x:c r="G102" s="33" t="n">
        <x:v>187</x:v>
      </x:c>
      <x:c r="H102" s="26" t="n">
        <x:v>0.3762575452716298</x:v>
      </x:c>
      <x:c r="I102" s="12" t="n">
        <x:v>3</x:v>
      </x:c>
      <x:c r="J102" s="12" t="n">
        <x:v>86</x:v>
      </x:c>
      <x:c r="K102" s="12"/>
      <x:c r="L102" s="12"/>
      <x:c r="M102" s="12" t="str">
        <x:f>IF(K102="", "", MAX(0,IF(K102&lt;=20,100,IF(K102&lt;=30,85,IF(K102&lt;=40,70,IF(K102&lt;=50,55,IF(K102&lt;=60,40,20)))))-MIN(L102*5,20)))</x:f>
      </x:c>
      <x:c r="N102" s="12"/>
      <x:c r="O102" s="12"/>
      <x:c r="P102" s="12" t="str">
        <x:f>IF(OR(H102="",J102="",M102=""),"",ROUND(PERCENTRANK.INC($H$2:$H$941,H102)*35+J102*0.35+M102*0.30,0))</x:f>
      </x:c>
      <x:c r="Q102" s="12" t="str">
        <x:f>IF(P102="","",IF(P102&gt;=80,"ATTACK",IF(P102&gt;=65,"GROW",IF(P102&gt;=50,"PARTNER","WATCH"))))</x:f>
      </x:c>
      <x:c r="R102" s="12" t="str">
        <x:f>IF(Q102="","",IF(Q102="ATTACK","Grassroots + family acquisition",IF(Q102="GROW","Test local campaign",IF(Q102="PARTNER","Organisation-first partnership","Low priority / validate"))))</x:f>
      </x:c>
      <x:c r="S102" s="45" t="n">
        <x:v>1.3864669332729747</x:v>
      </x:c>
      <x:c r="T102" t="str">
        <x:v>CORE</x:v>
      </x:c>
      <x:c r="U102" s="32" t="n">
        <x:f>PERCENTRANK.INC($G$2:$G$941,G102)</x:f>
        <x:v>0.29</x:v>
      </x:c>
      <x:c r="V102" s="32" t="n">
        <x:f>PERCENTRANK.INC($H$2:$H$941,H102)</x:f>
        <x:v>0.817</x:v>
      </x:c>
      <x:c r="W102" t="n">
        <x:f>ROUND((U102*55+V102*45)*IF(S102&lt;=5,1,IF(S102&lt;=10,0.95,IF(S102&lt;=20,0.85,0.70))),0)</x:f>
        <x:v>53</x:v>
      </x:c>
      <x:c r="X102" t="n">
        <x:v>68</x:v>
      </x:c>
      <x:c r="Y102" t="str">
        <x:v>GROW</x:v>
      </x:c>
      <x:c r="Z102" s="12" t="str">
        <x:v>Family + verified grassroots + straight-line geo only; transport not yet routed</x:v>
      </x:c>
      <x:c r="AA102" s="12"/>
      <x:c r="AB102" s="12"/>
      <x:c r="AC102" s="12"/>
      <x:c r="AD102" s="12"/>
      <x:c r="AE102" t="str">
        <x:v>Crystal Palace Women</x:v>
      </x:c>
      <x:c r="AF102" s="45" t="n">
        <x:v>5.879745199259707</x:v>
      </x:c>
      <x:c r="AG102" t="str">
        <x:v>Dulwich Hamlet Women</x:v>
      </x:c>
      <x:c r="AH102" s="45" t="n">
        <x:v>9.898721607183687</x:v>
      </x:c>
      <x:c r="AI102" t="n">
        <x:v>81</x:v>
      </x:c>
      <x:c r="AJ102" t="str">
        <x:v>HIGH</x:v>
      </x:c>
    </x:row>
    <x:row r="103">
      <x:c r="A103" s="12" t="str">
        <x:v>E01000650</x:v>
      </x:c>
      <x:c r="B103" s="12" t="str">
        <x:v>Bromley 022A</x:v>
      </x:c>
      <x:c r="C103" s="12" t="str">
        <x:v>Bromley</x:v>
      </x:c>
      <x:c r="D103" s="44" t="n">
        <x:v>51.39639186956641</x:v>
      </x:c>
      <x:c r="E103" s="44" t="n">
        <x:v>0.0512174274530899</x:v>
      </x:c>
      <x:c r="F103" s="33" t="n">
        <x:v>749</x:v>
      </x:c>
      <x:c r="G103" s="33" t="n">
        <x:v>226</x:v>
      </x:c>
      <x:c r="H103" s="26" t="n">
        <x:v>0.30173564753004006</x:v>
      </x:c>
      <x:c r="I103" s="12" t="n">
        <x:v>3</x:v>
      </x:c>
      <x:c r="J103" s="12" t="n">
        <x:v>86</x:v>
      </x:c>
      <x:c r="K103" s="12"/>
      <x:c r="L103" s="12"/>
      <x:c r="M103" s="12" t="str">
        <x:f>IF(K103="", "", MAX(0,IF(K103&lt;=20,100,IF(K103&lt;=30,85,IF(K103&lt;=40,70,IF(K103&lt;=50,55,IF(K103&lt;=60,40,20)))))-MIN(L103*5,20)))</x:f>
      </x:c>
      <x:c r="N103" s="12"/>
      <x:c r="O103" s="12"/>
      <x:c r="P103" s="12" t="str">
        <x:f>IF(OR(H103="",J103="",M103=""),"",ROUND(PERCENTRANK.INC($H$2:$H$941,H103)*35+J103*0.35+M103*0.30,0))</x:f>
      </x:c>
      <x:c r="Q103" s="12" t="str">
        <x:f>IF(P103="","",IF(P103&gt;=80,"ATTACK",IF(P103&gt;=65,"GROW",IF(P103&gt;=50,"PARTNER","WATCH"))))</x:f>
      </x:c>
      <x:c r="R103" s="12" t="str">
        <x:f>IF(Q103="","",IF(Q103="ATTACK","Grassroots + family acquisition",IF(Q103="GROW","Test local campaign",IF(Q103="PARTNER","Organisation-first partnership","Low priority / validate"))))</x:f>
      </x:c>
      <x:c r="S103" s="45" t="n">
        <x:v>2.4013194221968184</x:v>
      </x:c>
      <x:c r="T103" t="str">
        <x:v>CORE</x:v>
      </x:c>
      <x:c r="U103" s="32" t="n">
        <x:f>PERCENTRANK.INC($G$2:$G$941,G103)</x:f>
        <x:v>0.595</x:v>
      </x:c>
      <x:c r="V103" s="32" t="n">
        <x:f>PERCENTRANK.INC($H$2:$H$941,H103)</x:f>
        <x:v>0.405</x:v>
      </x:c>
      <x:c r="W103" t="n">
        <x:f>ROUND((U103*55+V103*45)*IF(S103&lt;=5,1,IF(S103&lt;=10,0.95,IF(S103&lt;=20,0.85,0.70))),0)</x:f>
        <x:v>51</x:v>
      </x:c>
      <x:c r="X103" t="n">
        <x:v>67</x:v>
      </x:c>
      <x:c r="Y103" t="str">
        <x:v>GROW</x:v>
      </x:c>
      <x:c r="Z103" s="12" t="str">
        <x:v>Family + verified grassroots + straight-line geo only; transport not yet routed</x:v>
      </x:c>
      <x:c r="AA103" s="12"/>
      <x:c r="AB103" s="12"/>
      <x:c r="AC103" s="12"/>
      <x:c r="AD103" s="12"/>
      <x:c r="AE103" t="str">
        <x:v>Crystal Palace Women</x:v>
      </x:c>
      <x:c r="AF103" s="45" t="n">
        <x:v>9.463006743553361</x:v>
      </x:c>
      <x:c r="AG103" t="str">
        <x:v>Dulwich Hamlet Women</x:v>
      </x:c>
      <x:c r="AH103" s="45" t="n">
        <x:v>11.831220460709805</x:v>
      </x:c>
      <x:c r="AI103" t="n">
        <x:v>65</x:v>
      </x:c>
      <x:c r="AJ103" t="str">
        <x:v>MEDIUM</x:v>
      </x:c>
    </x:row>
    <x:row r="104">
      <x:c r="A104" s="12" t="str">
        <x:v>E01000652</x:v>
      </x:c>
      <x:c r="B104" s="12" t="str">
        <x:v>Bromley 022B</x:v>
      </x:c>
      <x:c r="C104" s="12" t="str">
        <x:v>Bromley</x:v>
      </x:c>
      <x:c r="D104" s="44" t="n">
        <x:v>51.39170690926489</x:v>
      </x:c>
      <x:c r="E104" s="44" t="n">
        <x:v>0.04924629842259176</x:v>
      </x:c>
      <x:c r="F104" s="33" t="n">
        <x:v>672</x:v>
      </x:c>
      <x:c r="G104" s="33" t="n">
        <x:v>217</x:v>
      </x:c>
      <x:c r="H104" s="26" t="n">
        <x:v>0.3229166666666667</x:v>
      </x:c>
      <x:c r="I104" s="12" t="n">
        <x:v>3</x:v>
      </x:c>
      <x:c r="J104" s="12" t="n">
        <x:v>78</x:v>
      </x:c>
      <x:c r="K104" s="12"/>
      <x:c r="L104" s="12"/>
      <x:c r="M104" s="12" t="str">
        <x:f>IF(K104="", "", MAX(0,IF(K104&lt;=20,100,IF(K104&lt;=30,85,IF(K104&lt;=40,70,IF(K104&lt;=50,55,IF(K104&lt;=60,40,20)))))-MIN(L104*5,20)))</x:f>
      </x:c>
      <x:c r="N104" s="12"/>
      <x:c r="O104" s="12"/>
      <x:c r="P104" s="12" t="str">
        <x:f>IF(OR(H104="",J104="",M104=""),"",ROUND(PERCENTRANK.INC($H$2:$H$941,H104)*35+J104*0.35+M104*0.30,0))</x:f>
      </x:c>
      <x:c r="Q104" s="12" t="str">
        <x:f>IF(P104="","",IF(P104&gt;=80,"ATTACK",IF(P104&gt;=65,"GROW",IF(P104&gt;=50,"PARTNER","WATCH"))))</x:f>
      </x:c>
      <x:c r="R104" s="12" t="str">
        <x:f>IF(Q104="","",IF(Q104="ATTACK","Grassroots + family acquisition",IF(Q104="GROW","Test local campaign",IF(Q104="PARTNER","Organisation-first partnership","Low priority / validate"))))</x:f>
      </x:c>
      <x:c r="S104" s="45" t="n">
        <x:v>2.1896367804160057</x:v>
      </x:c>
      <x:c r="T104" t="str">
        <x:v>CORE</x:v>
      </x:c>
      <x:c r="U104" s="32" t="n">
        <x:f>PERCENTRANK.INC($G$2:$G$941,G104)</x:f>
        <x:v>0.531</x:v>
      </x:c>
      <x:c r="V104" s="32" t="n">
        <x:f>PERCENTRANK.INC($H$2:$H$941,H104)</x:f>
        <x:v>0.527</x:v>
      </x:c>
      <x:c r="W104" t="n">
        <x:f>ROUND((U104*55+V104*45)*IF(S104&lt;=5,1,IF(S104&lt;=10,0.95,IF(S104&lt;=20,0.85,0.70))),0)</x:f>
        <x:v>53</x:v>
      </x:c>
      <x:c r="X104" t="n">
        <x:v>64</x:v>
      </x:c>
      <x:c r="Y104" t="str">
        <x:v>PARTNER</x:v>
      </x:c>
      <x:c r="Z104" s="12" t="str">
        <x:v>Family + verified grassroots + straight-line geo only; transport not yet routed</x:v>
      </x:c>
      <x:c r="AA104" s="12"/>
      <x:c r="AB104" s="12"/>
      <x:c r="AC104" s="12"/>
      <x:c r="AD104" s="12"/>
      <x:c r="AE104" t="str">
        <x:v>Crystal Palace Women</x:v>
      </x:c>
      <x:c r="AF104" s="45" t="n">
        <x:v>9.353006941256538</x:v>
      </x:c>
      <x:c r="AG104" t="str">
        <x:v>Dulwich Hamlet Women</x:v>
      </x:c>
      <x:c r="AH104" s="45" t="n">
        <x:v>12.05142879180632</x:v>
      </x:c>
      <x:c r="AI104" t="n">
        <x:v>65</x:v>
      </x:c>
      <x:c r="AJ104" t="str">
        <x:v>MEDIUM</x:v>
      </x:c>
    </x:row>
    <x:row r="105">
      <x:c r="A105" s="12" t="str">
        <x:v>E01000807</x:v>
      </x:c>
      <x:c r="B105" s="12" t="str">
        <x:v>Bromley 022C</x:v>
      </x:c>
      <x:c r="C105" s="12" t="str">
        <x:v>Bromley</x:v>
      </x:c>
      <x:c r="D105" s="44" t="n">
        <x:v>51.39101178005365</x:v>
      </x:c>
      <x:c r="E105" s="44" t="n">
        <x:v>0.0750707620890584</x:v>
      </x:c>
      <x:c r="F105" s="33" t="n">
        <x:v>640</x:v>
      </x:c>
      <x:c r="G105" s="33" t="n">
        <x:v>250</x:v>
      </x:c>
      <x:c r="H105" s="26" t="n">
        <x:v>0.390625</x:v>
      </x:c>
      <x:c r="I105" s="12" t="n">
        <x:v>3</x:v>
      </x:c>
      <x:c r="J105" s="12" t="n">
        <x:v>78</x:v>
      </x:c>
      <x:c r="K105" s="12"/>
      <x:c r="L105" s="12"/>
      <x:c r="M105" s="12" t="str">
        <x:f>IF(K105="", "", MAX(0,IF(K105&lt;=20,100,IF(K105&lt;=30,85,IF(K105&lt;=40,70,IF(K105&lt;=50,55,IF(K105&lt;=60,40,20)))))-MIN(L105*5,20)))</x:f>
      </x:c>
      <x:c r="N105" s="12"/>
      <x:c r="O105" s="12"/>
      <x:c r="P105" s="12" t="str">
        <x:f>IF(OR(H105="",J105="",M105=""),"",ROUND(PERCENTRANK.INC($H$2:$H$941,H105)*35+J105*0.35+M105*0.30,0))</x:f>
      </x:c>
      <x:c r="Q105" s="12" t="str">
        <x:f>IF(P105="","",IF(P105&gt;=80,"ATTACK",IF(P105&gt;=65,"GROW",IF(P105&gt;=50,"PARTNER","WATCH"))))</x:f>
      </x:c>
      <x:c r="R105" s="12" t="str">
        <x:f>IF(Q105="","",IF(Q105="ATTACK","Grassroots + family acquisition",IF(Q105="GROW","Test local campaign",IF(Q105="PARTNER","Organisation-first partnership","Low priority / validate"))))</x:f>
      </x:c>
      <x:c r="S105" s="45" t="n">
        <x:v>3.980034624056524</x:v>
      </x:c>
      <x:c r="T105" t="str">
        <x:v>CORE</x:v>
      </x:c>
      <x:c r="U105" s="32" t="n">
        <x:f>PERCENTRANK.INC($G$2:$G$941,G105)</x:f>
        <x:v>0.782</x:v>
      </x:c>
      <x:c r="V105" s="32" t="n">
        <x:f>PERCENTRANK.INC($H$2:$H$941,H105)</x:f>
        <x:v>0.875</x:v>
      </x:c>
      <x:c r="W105" t="n">
        <x:f>ROUND((U105*55+V105*45)*IF(S105&lt;=5,1,IF(S105&lt;=10,0.95,IF(S105&lt;=20,0.85,0.70))),0)</x:f>
        <x:v>82</x:v>
      </x:c>
      <x:c r="X105" t="n">
        <x:v>81</x:v>
      </x:c>
      <x:c r="Y105" t="str">
        <x:v>ATTACK</x:v>
      </x:c>
      <x:c r="Z105" s="12" t="str">
        <x:v>Family + verified grassroots + straight-line geo only; transport not yet routed</x:v>
      </x:c>
      <x:c r="AA105" s="12"/>
      <x:c r="AB105" s="12"/>
      <x:c r="AC105" s="12"/>
      <x:c r="AD105" s="12"/>
      <x:c r="AE105" t="str">
        <x:v>Charlton Athletic Women</x:v>
      </x:c>
      <x:c r="AF105" s="45" t="n">
        <x:v>10.944399789211396</x:v>
      </x:c>
      <x:c r="AG105" t="str">
        <x:v>Dulwich Hamlet Women</x:v>
      </x:c>
      <x:c r="AH105" s="45" t="n">
        <x:v>13.517531197069294</x:v>
      </x:c>
      <x:c r="AI105" t="n">
        <x:v>50</x:v>
      </x:c>
      <x:c r="AJ105" t="str">
        <x:v>MEDIUM</x:v>
      </x:c>
    </x:row>
    <x:row r="106">
      <x:c r="A106" s="12" t="str">
        <x:v>E01000809</x:v>
      </x:c>
      <x:c r="B106" s="12" t="str">
        <x:v>Bromley 022D</x:v>
      </x:c>
      <x:c r="C106" s="12" t="str">
        <x:v>Bromley</x:v>
      </x:c>
      <x:c r="D106" s="44" t="n">
        <x:v>51.386371881820295</x:v>
      </x:c>
      <x:c r="E106" s="44" t="n">
        <x:v>0.06655980464168394</x:v>
      </x:c>
      <x:c r="F106" s="33" t="n">
        <x:v>640</x:v>
      </x:c>
      <x:c r="G106" s="33" t="n">
        <x:v>189</x:v>
      </x:c>
      <x:c r="H106" s="26" t="n">
        <x:v>0.2953125</x:v>
      </x:c>
      <x:c r="I106" s="12" t="n">
        <x:v>3</x:v>
      </x:c>
      <x:c r="J106" s="12" t="n">
        <x:v>78</x:v>
      </x:c>
      <x:c r="K106" s="12"/>
      <x:c r="L106" s="12"/>
      <x:c r="M106" s="12" t="str">
        <x:f>IF(K106="", "", MAX(0,IF(K106&lt;=20,100,IF(K106&lt;=30,85,IF(K106&lt;=40,70,IF(K106&lt;=50,55,IF(K106&lt;=60,40,20)))))-MIN(L106*5,20)))</x:f>
      </x:c>
      <x:c r="N106" s="12"/>
      <x:c r="O106" s="12"/>
      <x:c r="P106" s="12" t="str">
        <x:f>IF(OR(H106="",J106="",M106=""),"",ROUND(PERCENTRANK.INC($H$2:$H$941,H106)*35+J106*0.35+M106*0.30,0))</x:f>
      </x:c>
      <x:c r="Q106" s="12" t="str">
        <x:f>IF(P106="","",IF(P106&gt;=80,"ATTACK",IF(P106&gt;=65,"GROW",IF(P106&gt;=50,"PARTNER","WATCH"))))</x:f>
      </x:c>
      <x:c r="R106" s="12" t="str">
        <x:f>IF(Q106="","",IF(Q106="ATTACK","Grassroots + family acquisition",IF(Q106="GROW","Test local campaign",IF(Q106="PARTNER","Organisation-first partnership","Low priority / validate"))))</x:f>
      </x:c>
      <x:c r="S106" s="45" t="n">
        <x:v>3.428240420734333</x:v>
      </x:c>
      <x:c r="T106" t="str">
        <x:v>CORE</x:v>
      </x:c>
      <x:c r="U106" s="32" t="n">
        <x:f>PERCENTRANK.INC($G$2:$G$941,G106)</x:f>
        <x:v>0.31</x:v>
      </x:c>
      <x:c r="V106" s="32" t="n">
        <x:f>PERCENTRANK.INC($H$2:$H$941,H106)</x:f>
        <x:v>0.371</x:v>
      </x:c>
      <x:c r="W106" t="n">
        <x:f>ROUND((U106*55+V106*45)*IF(S106&lt;=5,1,IF(S106&lt;=10,0.95,IF(S106&lt;=20,0.85,0.70))),0)</x:f>
        <x:v>34</x:v>
      </x:c>
      <x:c r="X106" t="n">
        <x:v>54</x:v>
      </x:c>
      <x:c r="Y106" t="str">
        <x:v>PARTNER</x:v>
      </x:c>
      <x:c r="Z106" s="12" t="str">
        <x:v>Family + verified grassroots + straight-line geo only; transport not yet routed</x:v>
      </x:c>
      <x:c r="AA106" s="12"/>
      <x:c r="AB106" s="12"/>
      <x:c r="AC106" s="12"/>
      <x:c r="AD106" s="12"/>
      <x:c r="AE106" t="str">
        <x:v>Crystal Palace Women</x:v>
      </x:c>
      <x:c r="AF106" s="45" t="n">
        <x:v>10.609183934823808</x:v>
      </x:c>
      <x:c r="AG106" t="str">
        <x:v>Dulwich Hamlet Women</x:v>
      </x:c>
      <x:c r="AH106" s="45" t="n">
        <x:v>13.35671775705339</x:v>
      </x:c>
      <x:c r="AI106" t="n">
        <x:v>50</x:v>
      </x:c>
      <x:c r="AJ106" t="str">
        <x:v>MEDIUM</x:v>
      </x:c>
    </x:row>
    <x:row r="107">
      <x:c r="A107" s="12" t="str">
        <x:v>E01000722</x:v>
      </x:c>
      <x:c r="B107" s="12" t="str">
        <x:v>Bromley 023A</x:v>
      </x:c>
      <x:c r="C107" s="12" t="str">
        <x:v>Bromley</x:v>
      </x:c>
      <x:c r="D107" s="44" t="n">
        <x:v>51.389433546863046</x:v>
      </x:c>
      <x:c r="E107" s="44" t="n">
        <x:v>0.10626227121736843</x:v>
      </x:c>
      <x:c r="F107" s="33" t="n">
        <x:v>757</x:v>
      </x:c>
      <x:c r="G107" s="33" t="n">
        <x:v>242</x:v>
      </x:c>
      <x:c r="H107" s="26" t="n">
        <x:v>0.31968295904887717</x:v>
      </x:c>
      <x:c r="I107" s="12" t="n">
        <x:v>2</x:v>
      </x:c>
      <x:c r="J107" s="12" t="n">
        <x:v>54</x:v>
      </x:c>
      <x:c r="K107" s="12"/>
      <x:c r="L107" s="12"/>
      <x:c r="M107" s="12" t="str">
        <x:f>IF(K107="", "", MAX(0,IF(K107&lt;=20,100,IF(K107&lt;=30,85,IF(K107&lt;=40,70,IF(K107&lt;=50,55,IF(K107&lt;=60,40,20)))))-MIN(L107*5,20)))</x:f>
      </x:c>
      <x:c r="N107" s="12"/>
      <x:c r="O107" s="12"/>
      <x:c r="P107" s="12" t="str">
        <x:f>IF(OR(H107="",J107="",M107=""),"",ROUND(PERCENTRANK.INC($H$2:$H$941,H107)*35+J107*0.35+M107*0.30,0))</x:f>
      </x:c>
      <x:c r="Q107" s="12" t="str">
        <x:f>IF(P107="","",IF(P107&gt;=80,"ATTACK",IF(P107&gt;=65,"GROW",IF(P107&gt;=50,"PARTNER","WATCH"))))</x:f>
      </x:c>
      <x:c r="R107" s="12" t="str">
        <x:f>IF(Q107="","",IF(Q107="ATTACK","Grassroots + family acquisition",IF(Q107="GROW","Test local campaign",IF(Q107="PARTNER","Organisation-first partnership","Low priority / validate"))))</x:f>
      </x:c>
      <x:c r="S107" s="45" t="n">
        <x:v>6.14681121632752</x:v>
      </x:c>
      <x:c r="T107" t="str">
        <x:v>NEAR</x:v>
      </x:c>
      <x:c r="U107" s="32" t="n">
        <x:f>PERCENTRANK.INC($G$2:$G$941,G107)</x:f>
        <x:v>0.725</x:v>
      </x:c>
      <x:c r="V107" s="32" t="n">
        <x:f>PERCENTRANK.INC($H$2:$H$941,H107)</x:f>
        <x:v>0.509</x:v>
      </x:c>
      <x:c r="W107" t="n">
        <x:f>ROUND((U107*55+V107*45)*IF(S107&lt;=5,1,IF(S107&lt;=10,0.95,IF(S107&lt;=20,0.85,0.70))),0)</x:f>
        <x:v>60</x:v>
      </x:c>
      <x:c r="X107" t="n">
        <x:v>57</x:v>
      </x:c>
      <x:c r="Y107" t="str">
        <x:v>PARTNER</x:v>
      </x:c>
      <x:c r="Z107" s="12" t="str">
        <x:v>Family + verified grassroots + straight-line geo only; transport not yet routed</x:v>
      </x:c>
      <x:c r="AA107" s="12"/>
      <x:c r="AB107" s="12"/>
      <x:c r="AC107" s="12"/>
      <x:c r="AD107" s="12"/>
      <x:c r="AE107" t="str">
        <x:v>Charlton Athletic Women</x:v>
      </x:c>
      <x:c r="AF107" s="45" t="n">
        <x:v>11.826812144767857</x:v>
      </x:c>
      <x:c r="AG107" t="str">
        <x:v>Dulwich Hamlet Women</x:v>
      </x:c>
      <x:c r="AH107" s="45" t="n">
        <x:v>15.423250505138286</x:v>
      </x:c>
      <x:c r="AI107" t="n">
        <x:v>45</x:v>
      </x:c>
      <x:c r="AJ107" t="str">
        <x:v>LOW</x:v>
      </x:c>
    </x:row>
    <x:row r="108">
      <x:c r="A108" s="12" t="str">
        <x:v>E01000725</x:v>
      </x:c>
      <x:c r="B108" s="12" t="str">
        <x:v>Bromley 023B</x:v>
      </x:c>
      <x:c r="C108" s="12" t="str">
        <x:v>Bromley</x:v>
      </x:c>
      <x:c r="D108" s="44" t="n">
        <x:v>51.38501707772787</x:v>
      </x:c>
      <x:c r="E108" s="44" t="n">
        <x:v>0.11018026949181525</x:v>
      </x:c>
      <x:c r="F108" s="33" t="n">
        <x:v>791</x:v>
      </x:c>
      <x:c r="G108" s="33" t="n">
        <x:v>219</x:v>
      </x:c>
      <x:c r="H108" s="26" t="n">
        <x:v>0.27686472819216185</x:v>
      </x:c>
      <x:c r="I108" s="12" t="n">
        <x:v>2</x:v>
      </x:c>
      <x:c r="J108" s="12" t="n">
        <x:v>46</x:v>
      </x:c>
      <x:c r="K108" s="12"/>
      <x:c r="L108" s="12"/>
      <x:c r="M108" s="12" t="str">
        <x:f>IF(K108="", "", MAX(0,IF(K108&lt;=20,100,IF(K108&lt;=30,85,IF(K108&lt;=40,70,IF(K108&lt;=50,55,IF(K108&lt;=60,40,20)))))-MIN(L108*5,20)))</x:f>
      </x:c>
      <x:c r="N108" s="12"/>
      <x:c r="O108" s="12"/>
      <x:c r="P108" s="12" t="str">
        <x:f>IF(OR(H108="",J108="",M108=""),"",ROUND(PERCENTRANK.INC($H$2:$H$941,H108)*35+J108*0.35+M108*0.30,0))</x:f>
      </x:c>
      <x:c r="Q108" s="12" t="str">
        <x:f>IF(P108="","",IF(P108&gt;=80,"ATTACK",IF(P108&gt;=65,"GROW",IF(P108&gt;=50,"PARTNER","WATCH"))))</x:f>
      </x:c>
      <x:c r="R108" s="12" t="str">
        <x:f>IF(Q108="","",IF(Q108="ATTACK","Grassroots + family acquisition",IF(Q108="GROW","Test local campaign",IF(Q108="PARTNER","Organisation-first partnership","Low priority / validate"))))</x:f>
      </x:c>
      <x:c r="S108" s="45" t="n">
        <x:v>6.450773874438327</x:v>
      </x:c>
      <x:c r="T108" t="str">
        <x:v>NEAR</x:v>
      </x:c>
      <x:c r="U108" s="32" t="n">
        <x:f>PERCENTRANK.INC($G$2:$G$941,G108)</x:f>
        <x:v>0.544</x:v>
      </x:c>
      <x:c r="V108" s="32" t="n">
        <x:f>PERCENTRANK.INC($H$2:$H$941,H108)</x:f>
        <x:v>0.281</x:v>
      </x:c>
      <x:c r="W108" t="n">
        <x:f>ROUND((U108*55+V108*45)*IF(S108&lt;=5,1,IF(S108&lt;=10,0.95,IF(S108&lt;=20,0.85,0.70))),0)</x:f>
        <x:v>40</x:v>
      </x:c>
      <x:c r="X108" t="n">
        <x:v>43</x:v>
      </x:c>
      <x:c r="Y108" t="str">
        <x:v>WATCH</x:v>
      </x:c>
      <x:c r="Z108" s="12" t="str">
        <x:v>Family + verified grassroots + straight-line geo only; transport not yet routed</x:v>
      </x:c>
      <x:c r="AA108" s="12"/>
      <x:c r="AB108" s="12"/>
      <x:c r="AC108" s="12"/>
      <x:c r="AD108" s="12"/>
      <x:c r="AE108" t="str">
        <x:v>Charlton Athletic Women</x:v>
      </x:c>
      <x:c r="AF108" s="45" t="n">
        <x:v>12.38630721507</x:v>
      </x:c>
      <x:c r="AG108" t="str">
        <x:v>Dulwich Hamlet Women</x:v>
      </x:c>
      <x:c r="AH108" s="45" t="n">
        <x:v>15.913086503311265</x:v>
      </x:c>
      <x:c r="AI108" t="n">
        <x:v>45</x:v>
      </x:c>
      <x:c r="AJ108" t="str">
        <x:v>LOW</x:v>
      </x:c>
    </x:row>
    <x:row r="109">
      <x:c r="A109" s="12" t="str">
        <x:v>E01000731</x:v>
      </x:c>
      <x:c r="B109" s="12" t="str">
        <x:v>Bromley 023C</x:v>
      </x:c>
      <x:c r="C109" s="12" t="str">
        <x:v>Bromley</x:v>
      </x:c>
      <x:c r="D109" s="44" t="n">
        <x:v>51.39631361142297</x:v>
      </x:c>
      <x:c r="E109" s="44" t="n">
        <x:v>0.09821695954478381</x:v>
      </x:c>
      <x:c r="F109" s="33" t="n">
        <x:v>513</x:v>
      </x:c>
      <x:c r="G109" s="33" t="n">
        <x:v>204</x:v>
      </x:c>
      <x:c r="H109" s="26" t="n">
        <x:v>0.39766081871345027</x:v>
      </x:c>
      <x:c r="I109" s="12" t="n">
        <x:v>3</x:v>
      </x:c>
      <x:c r="J109" s="12" t="n">
        <x:v>63</x:v>
      </x:c>
      <x:c r="K109" s="12"/>
      <x:c r="L109" s="12"/>
      <x:c r="M109" s="12" t="str">
        <x:f>IF(K109="", "", MAX(0,IF(K109&lt;=20,100,IF(K109&lt;=30,85,IF(K109&lt;=40,70,IF(K109&lt;=50,55,IF(K109&lt;=60,40,20)))))-MIN(L109*5,20)))</x:f>
      </x:c>
      <x:c r="N109" s="12"/>
      <x:c r="O109" s="12"/>
      <x:c r="P109" s="12" t="str">
        <x:f>IF(OR(H109="",J109="",M109=""),"",ROUND(PERCENTRANK.INC($H$2:$H$941,H109)*35+J109*0.35+M109*0.30,0))</x:f>
      </x:c>
      <x:c r="Q109" s="12" t="str">
        <x:f>IF(P109="","",IF(P109&gt;=80,"ATTACK",IF(P109&gt;=65,"GROW",IF(P109&gt;=50,"PARTNER","WATCH"))))</x:f>
      </x:c>
      <x:c r="R109" s="12" t="str">
        <x:f>IF(Q109="","",IF(Q109="ATTACK","Grassroots + family acquisition",IF(Q109="GROW","Test local campaign",IF(Q109="PARTNER","Organisation-first partnership","Low priority / validate"))))</x:f>
      </x:c>
      <x:c r="S109" s="45" t="n">
        <x:v>5.617081335415662</x:v>
      </x:c>
      <x:c r="T109" t="str">
        <x:v>NEAR</x:v>
      </x:c>
      <x:c r="U109" s="32" t="n">
        <x:f>PERCENTRANK.INC($G$2:$G$941,G109)</x:f>
        <x:v>0.421</x:v>
      </x:c>
      <x:c r="V109" s="32" t="n">
        <x:f>PERCENTRANK.INC($H$2:$H$941,H109)</x:f>
        <x:v>0.897</x:v>
      </x:c>
      <x:c r="W109" t="n">
        <x:f>ROUND((U109*55+V109*45)*IF(S109&lt;=5,1,IF(S109&lt;=10,0.95,IF(S109&lt;=20,0.85,0.70))),0)</x:f>
        <x:v>60</x:v>
      </x:c>
      <x:c r="X109" t="n">
        <x:v>62</x:v>
      </x:c>
      <x:c r="Y109" t="str">
        <x:v>PARTNER</x:v>
      </x:c>
      <x:c r="Z109" s="12" t="str">
        <x:v>Family + verified grassroots + straight-line geo only; transport not yet routed</x:v>
      </x:c>
      <x:c r="AA109" s="12"/>
      <x:c r="AB109" s="12"/>
      <x:c r="AC109" s="12"/>
      <x:c r="AD109" s="12"/>
      <x:c r="AE109" t="str">
        <x:v>Charlton Athletic Women</x:v>
      </x:c>
      <x:c r="AF109" s="45" t="n">
        <x:v>10.90180391169619</x:v>
      </x:c>
      <x:c r="AG109" t="str">
        <x:v>Dulwich Hamlet Women</x:v>
      </x:c>
      <x:c r="AH109" s="45" t="n">
        <x:v>14.553465437952507</x:v>
      </x:c>
      <x:c r="AI109" t="n">
        <x:v>50</x:v>
      </x:c>
      <x:c r="AJ109" t="str">
        <x:v>MEDIUM</x:v>
      </x:c>
    </x:row>
    <x:row r="110">
      <x:c r="A110" s="12" t="str">
        <x:v>E01000732</x:v>
      </x:c>
      <x:c r="B110" s="12" t="str">
        <x:v>Bromley 023D</x:v>
      </x:c>
      <x:c r="C110" s="12" t="str">
        <x:v>Bromley</x:v>
      </x:c>
      <x:c r="D110" s="44" t="n">
        <x:v>51.390380824876445</x:v>
      </x:c>
      <x:c r="E110" s="44" t="n">
        <x:v>0.09462788670595856</x:v>
      </x:c>
      <x:c r="F110" s="33" t="n">
        <x:v>584</x:v>
      </x:c>
      <x:c r="G110" s="33" t="n">
        <x:v>190</x:v>
      </x:c>
      <x:c r="H110" s="26" t="n">
        <x:v>0.3253424657534247</x:v>
      </x:c>
      <x:c r="I110" s="12" t="n">
        <x:v>3</x:v>
      </x:c>
      <x:c r="J110" s="12" t="n">
        <x:v>63</x:v>
      </x:c>
      <x:c r="K110" s="12"/>
      <x:c r="L110" s="12"/>
      <x:c r="M110" s="12" t="str">
        <x:f>IF(K110="", "", MAX(0,IF(K110&lt;=20,100,IF(K110&lt;=30,85,IF(K110&lt;=40,70,IF(K110&lt;=50,55,IF(K110&lt;=60,40,20)))))-MIN(L110*5,20)))</x:f>
      </x:c>
      <x:c r="N110" s="12"/>
      <x:c r="O110" s="12"/>
      <x:c r="P110" s="12" t="str">
        <x:f>IF(OR(H110="",J110="",M110=""),"",ROUND(PERCENTRANK.INC($H$2:$H$941,H110)*35+J110*0.35+M110*0.30,0))</x:f>
      </x:c>
      <x:c r="Q110" s="12" t="str">
        <x:f>IF(P110="","",IF(P110&gt;=80,"ATTACK",IF(P110&gt;=65,"GROW",IF(P110&gt;=50,"PARTNER","WATCH"))))</x:f>
      </x:c>
      <x:c r="R110" s="12" t="str">
        <x:f>IF(Q110="","",IF(Q110="ATTACK","Grassroots + family acquisition",IF(Q110="GROW","Test local campaign",IF(Q110="PARTNER","Organisation-first partnership","Low priority / validate"))))</x:f>
      </x:c>
      <x:c r="S110" s="45" t="n">
        <x:v>5.33748203783914</x:v>
      </x:c>
      <x:c r="T110" t="str">
        <x:v>NEAR</x:v>
      </x:c>
      <x:c r="U110" s="32" t="n">
        <x:f>PERCENTRANK.INC($G$2:$G$941,G110)</x:f>
        <x:v>0.317</x:v>
      </x:c>
      <x:c r="V110" s="32" t="n">
        <x:f>PERCENTRANK.INC($H$2:$H$941,H110)</x:f>
        <x:v>0.544</x:v>
      </x:c>
      <x:c r="W110" t="n">
        <x:f>ROUND((U110*55+V110*45)*IF(S110&lt;=5,1,IF(S110&lt;=10,0.95,IF(S110&lt;=20,0.85,0.70))),0)</x:f>
        <x:v>40</x:v>
      </x:c>
      <x:c r="X110" t="n">
        <x:v>50</x:v>
      </x:c>
      <x:c r="Y110" t="str">
        <x:v>PARTNER</x:v>
      </x:c>
      <x:c r="Z110" s="12" t="str">
        <x:v>Family + verified grassroots + straight-line geo only; transport not yet routed</x:v>
      </x:c>
      <x:c r="AA110" s="12"/>
      <x:c r="AB110" s="12"/>
      <x:c r="AC110" s="12"/>
      <x:c r="AD110" s="12"/>
      <x:c r="AE110" t="str">
        <x:v>Charlton Athletic Women</x:v>
      </x:c>
      <x:c r="AF110" s="45" t="n">
        <x:v>11.420371958788468</x:v>
      </x:c>
      <x:c r="AG110" t="str">
        <x:v>Dulwich Hamlet Women</x:v>
      </x:c>
      <x:c r="AH110" s="45" t="n">
        <x:v>14.682349986618979</x:v>
      </x:c>
      <x:c r="AI110" t="n">
        <x:v>50</x:v>
      </x:c>
      <x:c r="AJ110" t="str">
        <x:v>MEDIUM</x:v>
      </x:c>
    </x:row>
    <x:row r="111">
      <x:c r="A111" s="12" t="str">
        <x:v>E01000733</x:v>
      </x:c>
      <x:c r="B111" s="12" t="str">
        <x:v>Bromley 023E</x:v>
      </x:c>
      <x:c r="C111" s="12" t="str">
        <x:v>Bromley</x:v>
      </x:c>
      <x:c r="D111" s="44" t="n">
        <x:v>51.391974699518784</x:v>
      </x:c>
      <x:c r="E111" s="44" t="n">
        <x:v>0.10149878170382967</x:v>
      </x:c>
      <x:c r="F111" s="33" t="n">
        <x:v>634</x:v>
      </x:c>
      <x:c r="G111" s="33" t="n">
        <x:v>230</x:v>
      </x:c>
      <x:c r="H111" s="26" t="n">
        <x:v>0.3627760252365931</x:v>
      </x:c>
      <x:c r="I111" s="12" t="n">
        <x:v>3</x:v>
      </x:c>
      <x:c r="J111" s="12" t="n">
        <x:v>63</x:v>
      </x:c>
      <x:c r="K111" s="12"/>
      <x:c r="L111" s="12"/>
      <x:c r="M111" s="12" t="str">
        <x:f>IF(K111="", "", MAX(0,IF(K111&lt;=20,100,IF(K111&lt;=30,85,IF(K111&lt;=40,70,IF(K111&lt;=50,55,IF(K111&lt;=60,40,20)))))-MIN(L111*5,20)))</x:f>
      </x:c>
      <x:c r="N111" s="12"/>
      <x:c r="O111" s="12"/>
      <x:c r="P111" s="12" t="str">
        <x:f>IF(OR(H111="",J111="",M111=""),"",ROUND(PERCENTRANK.INC($H$2:$H$941,H111)*35+J111*0.35+M111*0.30,0))</x:f>
      </x:c>
      <x:c r="Q111" s="12" t="str">
        <x:f>IF(P111="","",IF(P111&gt;=80,"ATTACK",IF(P111&gt;=65,"GROW",IF(P111&gt;=50,"PARTNER","WATCH"))))</x:f>
      </x:c>
      <x:c r="R111" s="12" t="str">
        <x:f>IF(Q111="","",IF(Q111="ATTACK","Grassroots + family acquisition",IF(Q111="GROW","Test local campaign",IF(Q111="PARTNER","Organisation-first partnership","Low priority / validate"))))</x:f>
      </x:c>
      <x:c r="S111" s="45" t="n">
        <x:v>5.8147500548014195</x:v>
      </x:c>
      <x:c r="T111" t="str">
        <x:v>NEAR</x:v>
      </x:c>
      <x:c r="U111" s="32" t="n">
        <x:f>PERCENTRANK.INC($G$2:$G$941,G111)</x:f>
        <x:v>0.632</x:v>
      </x:c>
      <x:c r="V111" s="32" t="n">
        <x:f>PERCENTRANK.INC($H$2:$H$941,H111)</x:f>
        <x:v>0.756</x:v>
      </x:c>
      <x:c r="W111" t="n">
        <x:f>ROUND((U111*55+V111*45)*IF(S111&lt;=5,1,IF(S111&lt;=10,0.95,IF(S111&lt;=20,0.85,0.70))),0)</x:f>
        <x:v>65</x:v>
      </x:c>
      <x:c r="X111" t="n">
        <x:v>64</x:v>
      </x:c>
      <x:c r="Y111" t="str">
        <x:v>PARTNER</x:v>
      </x:c>
      <x:c r="Z111" s="12" t="str">
        <x:v>Family + verified grassroots + straight-line geo only; transport not yet routed</x:v>
      </x:c>
      <x:c r="AA111" s="12"/>
      <x:c r="AB111" s="12"/>
      <x:c r="AC111" s="12"/>
      <x:c r="AD111" s="12"/>
      <x:c r="AE111" t="str">
        <x:v>Charlton Athletic Women</x:v>
      </x:c>
      <x:c r="AF111" s="45" t="n">
        <x:v>11.434975531214091</x:v>
      </x:c>
      <x:c r="AG111" t="str">
        <x:v>Dulwich Hamlet Women</x:v>
      </x:c>
      <x:c r="AH111" s="45" t="n">
        <x:v>14.99421235643815</x:v>
      </x:c>
      <x:c r="AI111" t="n">
        <x:v>50</x:v>
      </x:c>
      <x:c r="AJ111" t="str">
        <x:v>MEDIUM</x:v>
      </x:c>
    </x:row>
    <x:row r="112">
      <x:c r="A112" s="12" t="str">
        <x:v>E01000769</x:v>
      </x:c>
      <x:c r="B112" s="12" t="str">
        <x:v>Bromley 024A</x:v>
      </x:c>
      <x:c r="C112" s="12" t="str">
        <x:v>Bromley</x:v>
      </x:c>
      <x:c r="D112" s="44" t="n">
        <x:v>51.38823634492653</x:v>
      </x:c>
      <x:c r="E112" s="44" t="n">
        <x:v>-0.031393292513187905</x:v>
      </x:c>
      <x:c r="F112" s="33" t="n">
        <x:v>451</x:v>
      </x:c>
      <x:c r="G112" s="33" t="n">
        <x:v>168</x:v>
      </x:c>
      <x:c r="H112" s="26" t="n">
        <x:v>0.37250554323725055</x:v>
      </x:c>
      <x:c r="I112" s="12" t="n">
        <x:v>3</x:v>
      </x:c>
      <x:c r="J112" s="12" t="n">
        <x:v>86</x:v>
      </x:c>
      <x:c r="K112" s="12"/>
      <x:c r="L112" s="12"/>
      <x:c r="M112" s="12" t="str">
        <x:f>IF(K112="", "", MAX(0,IF(K112&lt;=20,100,IF(K112&lt;=30,85,IF(K112&lt;=40,70,IF(K112&lt;=50,55,IF(K112&lt;=60,40,20)))))-MIN(L112*5,20)))</x:f>
      </x:c>
      <x:c r="N112" s="12"/>
      <x:c r="O112" s="12"/>
      <x:c r="P112" s="12" t="str">
        <x:f>IF(OR(H112="",J112="",M112=""),"",ROUND(PERCENTRANK.INC($H$2:$H$941,H112)*35+J112*0.35+M112*0.30,0))</x:f>
      </x:c>
      <x:c r="Q112" s="12" t="str">
        <x:f>IF(P112="","",IF(P112&gt;=80,"ATTACK",IF(P112&gt;=65,"GROW",IF(P112&gt;=50,"PARTNER","WATCH"))))</x:f>
      </x:c>
      <x:c r="R112" s="12" t="str">
        <x:f>IF(Q112="","",IF(Q112="ATTACK","Grassroots + family acquisition",IF(Q112="GROW","Test local campaign",IF(Q112="PARTNER","Organisation-first partnership","Low priority / validate"))))</x:f>
      </x:c>
      <x:c r="S112" s="45" t="n">
        <x:v>3.4208550368421933</x:v>
      </x:c>
      <x:c r="T112" t="str">
        <x:v>CORE</x:v>
      </x:c>
      <x:c r="U112" s="32" t="n">
        <x:f>PERCENTRANK.INC($G$2:$G$941,G112)</x:f>
        <x:v>0.166</x:v>
      </x:c>
      <x:c r="V112" s="32" t="n">
        <x:f>PERCENTRANK.INC($H$2:$H$941,H112)</x:f>
        <x:v>0.804</x:v>
      </x:c>
      <x:c r="W112" t="n">
        <x:f>ROUND((U112*55+V112*45)*IF(S112&lt;=5,1,IF(S112&lt;=10,0.95,IF(S112&lt;=20,0.85,0.70))),0)</x:f>
        <x:v>45</x:v>
      </x:c>
      <x:c r="X112" t="n">
        <x:v>64</x:v>
      </x:c>
      <x:c r="Y112" t="str">
        <x:v>PARTNER</x:v>
      </x:c>
      <x:c r="Z112" s="12" t="str">
        <x:v>Family + verified grassroots + straight-line geo only; transport not yet routed</x:v>
      </x:c>
      <x:c r="AA112" s="12"/>
      <x:c r="AB112" s="12"/>
      <x:c r="AC112" s="12"/>
      <x:c r="AD112" s="12"/>
      <x:c r="AE112" t="str">
        <x:v>Crystal Palace Women</x:v>
      </x:c>
      <x:c r="AF112" s="45" t="n">
        <x:v>3.8933917292632594</x:v>
      </x:c>
      <x:c r="AG112" t="str">
        <x:v>Dulwich Hamlet Women</x:v>
      </x:c>
      <x:c r="AH112" s="45" t="n">
        <x:v>8.906999196346717</x:v>
      </x:c>
      <x:c r="AI112" t="n">
        <x:v>81</x:v>
      </x:c>
      <x:c r="AJ112" t="str">
        <x:v>HIGH</x:v>
      </x:c>
    </x:row>
    <x:row r="113">
      <x:c r="A113" s="12" t="str">
        <x:v>E01000773</x:v>
      </x:c>
      <x:c r="B113" s="12" t="str">
        <x:v>Bromley 024B</x:v>
      </x:c>
      <x:c r="C113" s="12" t="str">
        <x:v>Bromley</x:v>
      </x:c>
      <x:c r="D113" s="44" t="n">
        <x:v>51.39810374186857</x:v>
      </x:c>
      <x:c r="E113" s="44" t="n">
        <x:v>-0.03198327574911133</x:v>
      </x:c>
      <x:c r="F113" s="33" t="n">
        <x:v>608</x:v>
      </x:c>
      <x:c r="G113" s="33" t="n">
        <x:v>214</x:v>
      </x:c>
      <x:c r="H113" s="26" t="n">
        <x:v>0.3519736842105263</x:v>
      </x:c>
      <x:c r="I113" s="12" t="n">
        <x:v>4</x:v>
      </x:c>
      <x:c r="J113" s="12" t="n">
        <x:v>93</x:v>
      </x:c>
      <x:c r="K113" s="12"/>
      <x:c r="L113" s="12"/>
      <x:c r="M113" s="12" t="str">
        <x:f>IF(K113="", "", MAX(0,IF(K113&lt;=20,100,IF(K113&lt;=30,85,IF(K113&lt;=40,70,IF(K113&lt;=50,55,IF(K113&lt;=60,40,20)))))-MIN(L113*5,20)))</x:f>
      </x:c>
      <x:c r="N113" s="12"/>
      <x:c r="O113" s="12"/>
      <x:c r="P113" s="12" t="str">
        <x:f>IF(OR(H113="",J113="",M113=""),"",ROUND(PERCENTRANK.INC($H$2:$H$941,H113)*35+J113*0.35+M113*0.30,0))</x:f>
      </x:c>
      <x:c r="Q113" s="12" t="str">
        <x:f>IF(P113="","",IF(P113&gt;=80,"ATTACK",IF(P113&gt;=65,"GROW",IF(P113&gt;=50,"PARTNER","WATCH"))))</x:f>
      </x:c>
      <x:c r="R113" s="12" t="str">
        <x:f>IF(Q113="","",IF(Q113="ATTACK","Grassroots + family acquisition",IF(Q113="GROW","Test local campaign",IF(Q113="PARTNER","Organisation-first partnership","Low priority / validate"))))</x:f>
      </x:c>
      <x:c r="S113" s="45" t="n">
        <x:v>3.5374762242544047</x:v>
      </x:c>
      <x:c r="T113" t="str">
        <x:v>CORE</x:v>
      </x:c>
      <x:c r="U113" s="32" t="n">
        <x:f>PERCENTRANK.INC($G$2:$G$941,G113)</x:f>
        <x:v>0.502</x:v>
      </x:c>
      <x:c r="V113" s="32" t="n">
        <x:f>PERCENTRANK.INC($H$2:$H$941,H113)</x:f>
        <x:v>0.697</x:v>
      </x:c>
      <x:c r="W113" t="n">
        <x:f>ROUND((U113*55+V113*45)*IF(S113&lt;=5,1,IF(S113&lt;=10,0.95,IF(S113&lt;=20,0.85,0.70))),0)</x:f>
        <x:v>59</x:v>
      </x:c>
      <x:c r="X113" t="n">
        <x:v>75</x:v>
      </x:c>
      <x:c r="Y113" t="str">
        <x:v>GROW</x:v>
      </x:c>
      <x:c r="Z113" s="12" t="str">
        <x:v>Family + verified grassroots + straight-line geo only; transport not yet routed</x:v>
      </x:c>
      <x:c r="AA113" s="12"/>
      <x:c r="AB113" s="12"/>
      <x:c r="AC113" s="12"/>
      <x:c r="AD113" s="12"/>
      <x:c r="AE113" t="str">
        <x:v>Crystal Palace Women</x:v>
      </x:c>
      <x:c r="AF113" s="45" t="n">
        <x:v>3.688497960819959</x:v>
      </x:c>
      <x:c r="AG113" t="str">
        <x:v>Dulwich Hamlet Women</x:v>
      </x:c>
      <x:c r="AH113" s="45" t="n">
        <x:v>7.899752282523098</x:v>
      </x:c>
      <x:c r="AI113" t="n">
        <x:v>81</x:v>
      </x:c>
      <x:c r="AJ113" t="str">
        <x:v>HIGH</x:v>
      </x:c>
    </x:row>
    <x:row r="114">
      <x:c r="A114" s="12" t="str">
        <x:v>E01000775</x:v>
      </x:c>
      <x:c r="B114" s="12" t="str">
        <x:v>Bromley 024C</x:v>
      </x:c>
      <x:c r="C114" s="12" t="str">
        <x:v>Bromley</x:v>
      </x:c>
      <x:c r="D114" s="44" t="n">
        <x:v>51.39201062585146</x:v>
      </x:c>
      <x:c r="E114" s="44" t="n">
        <x:v>-0.02174565551718472</x:v>
      </x:c>
      <x:c r="F114" s="33" t="n">
        <x:v>856</x:v>
      </x:c>
      <x:c r="G114" s="33" t="n">
        <x:v>315</x:v>
      </x:c>
      <x:c r="H114" s="26" t="n">
        <x:v>0.3679906542056075</x:v>
      </x:c>
      <x:c r="I114" s="12" t="n">
        <x:v>5</x:v>
      </x:c>
      <x:c r="J114" s="12" t="n">
        <x:v>92</x:v>
      </x:c>
      <x:c r="K114" s="12" t="n">
        <x:v>35</x:v>
      </x:c>
      <x:c r="L114" s="12" t="n">
        <x:v>1</x:v>
      </x:c>
      <x:c r="M114" s="12" t="n">
        <x:f>IF(K114="", "", MAX(0,IF(K114&lt;=20,100,IF(K114&lt;=30,85,IF(K114&lt;=40,70,IF(K114&lt;=50,55,IF(K114&lt;=60,40,20)))))-MIN(L114*5,20)))</x:f>
        <x:v>65</x:v>
      </x:c>
      <x:c r="N114" s="12"/>
      <x:c r="O114" s="12"/>
      <x:c r="P114" s="12" t="n">
        <x:f>IF(OR(H114="",J114="",M114=""),"",ROUND(PERCENTRANK.INC($H$2:$H$941,H114)*35+J114*0.35+M114*0.30,0))</x:f>
        <x:v>79</x:v>
      </x:c>
      <x:c r="Q114" s="12" t="str">
        <x:f>IF(P114="","",IF(P114&gt;=80,"ATTACK",IF(P114&gt;=65,"GROW",IF(P114&gt;=50,"PARTNER","WATCH"))))</x:f>
        <x:v>GROW</x:v>
      </x:c>
      <x:c r="R114" s="12" t="str">
        <x:f>IF(Q114="","",IF(Q114="ATTACK","Grassroots + family acquisition",IF(Q114="GROW","Test local campaign",IF(Q114="PARTNER","Organisation-first partnership","Low priority / validate"))))</x:f>
        <x:v>Test local campaign</x:v>
      </x:c>
      <x:c r="S114" s="45" t="n">
        <x:v>2.740019016380759</x:v>
      </x:c>
      <x:c r="T114" t="str">
        <x:v>CORE</x:v>
      </x:c>
      <x:c r="U114" s="32" t="n">
        <x:f>PERCENTRANK.INC($G$2:$G$941,G114)</x:f>
        <x:v>0.959</x:v>
      </x:c>
      <x:c r="V114" s="32" t="n">
        <x:f>PERCENTRANK.INC($H$2:$H$941,H114)</x:f>
        <x:v>0.785</x:v>
      </x:c>
      <x:c r="W114" t="n">
        <x:f>ROUND((U114*55+V114*45)*IF(S114&lt;=5,1,IF(S114&lt;=10,0.95,IF(S114&lt;=20,0.85,0.70))),0)</x:f>
        <x:v>88</x:v>
      </x:c>
      <x:c r="X114" t="n">
        <x:v>90</x:v>
      </x:c>
      <x:c r="Y114" t="str">
        <x:v>ATTACK</x:v>
      </x:c>
      <x:c r="Z114" s="12" t="str">
        <x:v>Family + verified grassroots + straight-line geo only; transport not yet routed</x:v>
      </x:c>
      <x:c r="AA114" s="12" t="str">
        <x:v>MEDIUM</x:v>
      </x:c>
      <x:c r="AB114" s="12" t="str">
        <x:v>BR3 3LY / Eden Park</x:v>
      </x:c>
      <x:c r="AC114" s="12" t="str">
        <x:v>Eden Park→Hayes ~29 min; short local final leg to Hayes Lane.</x:v>
      </x:c>
      <x:c r="AD114" s="12" t="str">
        <x:v>Rome2Rio Eden Park→Hayes</x:v>
      </x:c>
      <x:c r="AE114" t="str">
        <x:v>Crystal Palace Women</x:v>
      </x:c>
      <x:c r="AF114" s="45" t="n">
        <x:v>4.453870041174495</x:v>
      </x:c>
      <x:c r="AG114" t="str">
        <x:v>Dulwich Hamlet Women</x:v>
      </x:c>
      <x:c r="AH114" s="45" t="n">
        <x:v>8.832520117332209</x:v>
      </x:c>
      <x:c r="AI114" t="n">
        <x:v>81</x:v>
      </x:c>
      <x:c r="AJ114" t="str">
        <x:v>HIGH</x:v>
      </x:c>
    </x:row>
    <x:row r="115">
      <x:c r="A115" s="12" t="str">
        <x:v>E01000777</x:v>
      </x:c>
      <x:c r="B115" s="12" t="str">
        <x:v>Bromley 024D</x:v>
      </x:c>
      <x:c r="C115" s="12" t="str">
        <x:v>Bromley</x:v>
      </x:c>
      <x:c r="D115" s="44" t="n">
        <x:v>51.39284963843466</x:v>
      </x:c>
      <x:c r="E115" s="44" t="n">
        <x:v>-0.033242504779393035</x:v>
      </x:c>
      <x:c r="F115" s="33" t="n">
        <x:v>558</x:v>
      </x:c>
      <x:c r="G115" s="33" t="n">
        <x:v>240</x:v>
      </x:c>
      <x:c r="H115" s="26" t="n">
        <x:v>0.43010752688172044</x:v>
      </x:c>
      <x:c r="I115" s="12" t="n">
        <x:v>4</x:v>
      </x:c>
      <x:c r="J115" s="12" t="n">
        <x:v>93</x:v>
      </x:c>
      <x:c r="K115" s="12"/>
      <x:c r="L115" s="12"/>
      <x:c r="M115" s="12" t="str">
        <x:f>IF(K115="", "", MAX(0,IF(K115&lt;=20,100,IF(K115&lt;=30,85,IF(K115&lt;=40,70,IF(K115&lt;=50,55,IF(K115&lt;=60,40,20)))))-MIN(L115*5,20)))</x:f>
      </x:c>
      <x:c r="N115" s="12"/>
      <x:c r="O115" s="12"/>
      <x:c r="P115" s="12" t="str">
        <x:f>IF(OR(H115="",J115="",M115=""),"",ROUND(PERCENTRANK.INC($H$2:$H$941,H115)*35+J115*0.35+M115*0.30,0))</x:f>
      </x:c>
      <x:c r="Q115" s="12" t="str">
        <x:f>IF(P115="","",IF(P115&gt;=80,"ATTACK",IF(P115&gt;=65,"GROW",IF(P115&gt;=50,"PARTNER","WATCH"))))</x:f>
      </x:c>
      <x:c r="R115" s="12" t="str">
        <x:f>IF(Q115="","",IF(Q115="ATTACK","Grassroots + family acquisition",IF(Q115="GROW","Test local campaign",IF(Q115="PARTNER","Organisation-first partnership","Low priority / validate"))))</x:f>
      </x:c>
      <x:c r="S115" s="45" t="n">
        <x:v>3.5414004089146007</x:v>
      </x:c>
      <x:c r="T115" t="str">
        <x:v>CORE</x:v>
      </x:c>
      <x:c r="U115" s="32" t="n">
        <x:f>PERCENTRANK.INC($G$2:$G$941,G115)</x:f>
        <x:v>0.708</x:v>
      </x:c>
      <x:c r="V115" s="32" t="n">
        <x:f>PERCENTRANK.INC($H$2:$H$941,H115)</x:f>
        <x:v>0.961</x:v>
      </x:c>
      <x:c r="W115" t="n">
        <x:f>ROUND((U115*55+V115*45)*IF(S115&lt;=5,1,IF(S115&lt;=10,0.95,IF(S115&lt;=20,0.85,0.70))),0)</x:f>
        <x:v>82</x:v>
      </x:c>
      <x:c r="X115" t="n">
        <x:v>87</x:v>
      </x:c>
      <x:c r="Y115" t="str">
        <x:v>ATTACK</x:v>
      </x:c>
      <x:c r="Z115" s="12" t="str">
        <x:v>Family + verified grassroots + straight-line geo only; transport not yet routed</x:v>
      </x:c>
      <x:c r="AA115" s="12"/>
      <x:c r="AB115" s="12"/>
      <x:c r="AC115" s="12"/>
      <x:c r="AD115" s="12"/>
      <x:c r="AE115" t="str">
        <x:v>Crystal Palace Women</x:v>
      </x:c>
      <x:c r="AF115" s="45" t="n">
        <x:v>3.65156480544108</x:v>
      </x:c>
      <x:c r="AG115" t="str">
        <x:v>Dulwich Hamlet Women</x:v>
      </x:c>
      <x:c r="AH115" s="45" t="n">
        <x:v>8.386928589969001</x:v>
      </x:c>
      <x:c r="AI115" t="n">
        <x:v>81</x:v>
      </x:c>
      <x:c r="AJ115" t="str">
        <x:v>HIGH</x:v>
      </x:c>
    </x:row>
    <x:row r="116">
      <x:c r="A116" s="12" t="str">
        <x:v>E01000778</x:v>
      </x:c>
      <x:c r="B116" s="12" t="str">
        <x:v>Bromley 024E</x:v>
      </x:c>
      <x:c r="C116" s="12" t="str">
        <x:v>Bromley</x:v>
      </x:c>
      <x:c r="D116" s="44" t="n">
        <x:v>51.391334866152505</x:v>
      </x:c>
      <x:c r="E116" s="44" t="n">
        <x:v>-0.041983182177897024</x:v>
      </x:c>
      <x:c r="F116" s="33" t="n">
        <x:v>638</x:v>
      </x:c>
      <x:c r="G116" s="33" t="n">
        <x:v>213</x:v>
      </x:c>
      <x:c r="H116" s="26" t="n">
        <x:v>0.3338557993730408</x:v>
      </x:c>
      <x:c r="I116" s="12" t="n">
        <x:v>4</x:v>
      </x:c>
      <x:c r="J116" s="12" t="n">
        <x:v>84</x:v>
      </x:c>
      <x:c r="K116" s="12"/>
      <x:c r="L116" s="12"/>
      <x:c r="M116" s="12" t="str">
        <x:f>IF(K116="", "", MAX(0,IF(K116&lt;=20,100,IF(K116&lt;=30,85,IF(K116&lt;=40,70,IF(K116&lt;=50,55,IF(K116&lt;=60,40,20)))))-MIN(L116*5,20)))</x:f>
      </x:c>
      <x:c r="N116" s="12"/>
      <x:c r="O116" s="12"/>
      <x:c r="P116" s="12" t="str">
        <x:f>IF(OR(H116="",J116="",M116=""),"",ROUND(PERCENTRANK.INC($H$2:$H$941,H116)*35+J116*0.35+M116*0.30,0))</x:f>
      </x:c>
      <x:c r="Q116" s="12" t="str">
        <x:f>IF(P116="","",IF(P116&gt;=80,"ATTACK",IF(P116&gt;=65,"GROW",IF(P116&gt;=50,"PARTNER","WATCH"))))</x:f>
      </x:c>
      <x:c r="R116" s="12" t="str">
        <x:f>IF(Q116="","",IF(Q116="ATTACK","Grassroots + family acquisition",IF(Q116="GROW","Test local campaign",IF(Q116="PARTNER","Organisation-first partnership","Low priority / validate"))))</x:f>
      </x:c>
      <x:c r="S116" s="45" t="n">
        <x:v>4.142039822812792</x:v>
      </x:c>
      <x:c r="T116" t="str">
        <x:v>CORE</x:v>
      </x:c>
      <x:c r="U116" s="32" t="n">
        <x:f>PERCENTRANK.INC($G$2:$G$941,G116)</x:f>
        <x:v>0.496</x:v>
      </x:c>
      <x:c r="V116" s="32" t="n">
        <x:f>PERCENTRANK.INC($H$2:$H$941,H116)</x:f>
        <x:v>0.594</x:v>
      </x:c>
      <x:c r="W116" t="n">
        <x:f>ROUND((U116*55+V116*45)*IF(S116&lt;=5,1,IF(S116&lt;=10,0.95,IF(S116&lt;=20,0.85,0.70))),0)</x:f>
        <x:v>54</x:v>
      </x:c>
      <x:c r="X116" t="n">
        <x:v>68</x:v>
      </x:c>
      <x:c r="Y116" t="str">
        <x:v>GROW</x:v>
      </x:c>
      <x:c r="Z116" s="12" t="str">
        <x:v>Family + verified grassroots + straight-line geo only; transport not yet routed</x:v>
      </x:c>
      <x:c r="AA116" s="12"/>
      <x:c r="AB116" s="12"/>
      <x:c r="AC116" s="12"/>
      <x:c r="AD116" s="12"/>
      <x:c r="AE116" t="str">
        <x:v>Crystal Palace Women</x:v>
      </x:c>
      <x:c r="AF116" s="45" t="n">
        <x:v>3.092888198790955</x:v>
      </x:c>
      <x:c r="AG116" t="str">
        <x:v>Dulwich Hamlet Women</x:v>
      </x:c>
      <x:c r="AH116" s="45" t="n">
        <x:v>8.308898208505074</x:v>
      </x:c>
      <x:c r="AI116" t="n">
        <x:v>81</x:v>
      </x:c>
      <x:c r="AJ116" t="str">
        <x:v>HIGH</x:v>
      </x:c>
    </x:row>
    <x:row r="117">
      <x:c r="A117" s="12" t="str">
        <x:v>E01000808</x:v>
      </x:c>
      <x:c r="B117" s="12" t="str">
        <x:v>Bromley 025A</x:v>
      </x:c>
      <x:c r="C117" s="12" t="str">
        <x:v>Bromley</x:v>
      </x:c>
      <x:c r="D117" s="44" t="n">
        <x:v>51.38328253634118</x:v>
      </x:c>
      <x:c r="E117" s="44" t="n">
        <x:v>0.08546023627072429</x:v>
      </x:c>
      <x:c r="F117" s="33" t="n">
        <x:v>619</x:v>
      </x:c>
      <x:c r="G117" s="33" t="n">
        <x:v>208</x:v>
      </x:c>
      <x:c r="H117" s="26" t="n">
        <x:v>0.3360258481421648</x:v>
      </x:c>
      <x:c r="I117" s="12" t="n">
        <x:v>3</x:v>
      </x:c>
      <x:c r="J117" s="12" t="n">
        <x:v>63</x:v>
      </x:c>
      <x:c r="K117" s="12"/>
      <x:c r="L117" s="12"/>
      <x:c r="M117" s="12" t="str">
        <x:f>IF(K117="", "", MAX(0,IF(K117&lt;=20,100,IF(K117&lt;=30,85,IF(K117&lt;=40,70,IF(K117&lt;=50,55,IF(K117&lt;=60,40,20)))))-MIN(L117*5,20)))</x:f>
      </x:c>
      <x:c r="N117" s="12"/>
      <x:c r="O117" s="12"/>
      <x:c r="P117" s="12" t="str">
        <x:f>IF(OR(H117="",J117="",M117=""),"",ROUND(PERCENTRANK.INC($H$2:$H$941,H117)*35+J117*0.35+M117*0.30,0))</x:f>
      </x:c>
      <x:c r="Q117" s="12" t="str">
        <x:f>IF(P117="","",IF(P117&gt;=80,"ATTACK",IF(P117&gt;=65,"GROW",IF(P117&gt;=50,"PARTNER","WATCH"))))</x:f>
      </x:c>
      <x:c r="R117" s="12" t="str">
        <x:f>IF(Q117="","",IF(Q117="ATTACK","Grassroots + family acquisition",IF(Q117="GROW","Test local campaign",IF(Q117="PARTNER","Organisation-first partnership","Low priority / validate"))))</x:f>
      </x:c>
      <x:c r="S117" s="45" t="n">
        <x:v>4.778673231499937</x:v>
      </x:c>
      <x:c r="T117" t="str">
        <x:v>CORE</x:v>
      </x:c>
      <x:c r="U117" s="32" t="n">
        <x:f>PERCENTRANK.INC($G$2:$G$941,G117)</x:f>
        <x:v>0.448</x:v>
      </x:c>
      <x:c r="V117" s="32" t="n">
        <x:f>PERCENTRANK.INC($H$2:$H$941,H117)</x:f>
        <x:v>0.604</x:v>
      </x:c>
      <x:c r="W117" t="n">
        <x:f>ROUND((U117*55+V117*45)*IF(S117&lt;=5,1,IF(S117&lt;=10,0.95,IF(S117&lt;=20,0.85,0.70))),0)</x:f>
        <x:v>52</x:v>
      </x:c>
      <x:c r="X117" t="n">
        <x:v>57</x:v>
      </x:c>
      <x:c r="Y117" t="str">
        <x:v>PARTNER</x:v>
      </x:c>
      <x:c r="Z117" s="12" t="str">
        <x:v>Family + verified grassroots + straight-line geo only; transport not yet routed</x:v>
      </x:c>
      <x:c r="AA117" s="12"/>
      <x:c r="AB117" s="12"/>
      <x:c r="AC117" s="12"/>
      <x:c r="AD117" s="12"/>
      <x:c r="AE117" t="str">
        <x:v>Crystal Palace Women</x:v>
      </x:c>
      <x:c r="AF117" s="45" t="n">
        <x:v>11.954899213174677</x:v>
      </x:c>
      <x:c r="AG117" t="str">
        <x:v>Dulwich Hamlet Women</x:v>
      </x:c>
      <x:c r="AH117" s="45" t="n">
        <x:v>14.605804411322449</x:v>
      </x:c>
      <x:c r="AI117" t="n">
        <x:v>50</x:v>
      </x:c>
      <x:c r="AJ117" t="str">
        <x:v>MEDIUM</x:v>
      </x:c>
    </x:row>
    <x:row r="118">
      <x:c r="A118" s="12" t="str">
        <x:v>E01000810</x:v>
      </x:c>
      <x:c r="B118" s="12" t="str">
        <x:v>Bromley 025B</x:v>
      </x:c>
      <x:c r="C118" s="12" t="str">
        <x:v>Bromley</x:v>
      </x:c>
      <x:c r="D118" s="44" t="n">
        <x:v>51.38792056453295</x:v>
      </x:c>
      <x:c r="E118" s="44" t="n">
        <x:v>0.08275248241233987</x:v>
      </x:c>
      <x:c r="F118" s="33" t="n">
        <x:v>592</x:v>
      </x:c>
      <x:c r="G118" s="33" t="n">
        <x:v>213</x:v>
      </x:c>
      <x:c r="H118" s="26" t="n">
        <x:v>0.3597972972972973</x:v>
      </x:c>
      <x:c r="I118" s="12" t="n">
        <x:v>3</x:v>
      </x:c>
      <x:c r="J118" s="12" t="n">
        <x:v>70</x:v>
      </x:c>
      <x:c r="K118" s="12"/>
      <x:c r="L118" s="12"/>
      <x:c r="M118" s="12" t="str">
        <x:f>IF(K118="", "", MAX(0,IF(K118&lt;=20,100,IF(K118&lt;=30,85,IF(K118&lt;=40,70,IF(K118&lt;=50,55,IF(K118&lt;=60,40,20)))))-MIN(L118*5,20)))</x:f>
      </x:c>
      <x:c r="N118" s="12"/>
      <x:c r="O118" s="12"/>
      <x:c r="P118" s="12" t="str">
        <x:f>IF(OR(H118="",J118="",M118=""),"",ROUND(PERCENTRANK.INC($H$2:$H$941,H118)*35+J118*0.35+M118*0.30,0))</x:f>
      </x:c>
      <x:c r="Q118" s="12" t="str">
        <x:f>IF(P118="","",IF(P118&gt;=80,"ATTACK",IF(P118&gt;=65,"GROW",IF(P118&gt;=50,"PARTNER","WATCH"))))</x:f>
      </x:c>
      <x:c r="R118" s="12" t="str">
        <x:f>IF(Q118="","",IF(Q118="ATTACK","Grassroots + family acquisition",IF(Q118="GROW","Test local campaign",IF(Q118="PARTNER","Organisation-first partnership","Low priority / validate"))))</x:f>
      </x:c>
      <x:c r="S118" s="45" t="n">
        <x:v>4.526026466745018</x:v>
      </x:c>
      <x:c r="T118" t="str">
        <x:v>CORE</x:v>
      </x:c>
      <x:c r="U118" s="32" t="n">
        <x:f>PERCENTRANK.INC($G$2:$G$941,G118)</x:f>
        <x:v>0.496</x:v>
      </x:c>
      <x:c r="V118" s="32" t="n">
        <x:f>PERCENTRANK.INC($H$2:$H$941,H118)</x:f>
        <x:v>0.735</x:v>
      </x:c>
      <x:c r="W118" t="n">
        <x:f>ROUND((U118*55+V118*45)*IF(S118&lt;=5,1,IF(S118&lt;=10,0.95,IF(S118&lt;=20,0.85,0.70))),0)</x:f>
        <x:v>60</x:v>
      </x:c>
      <x:c r="X118" t="n">
        <x:v>65</x:v>
      </x:c>
      <x:c r="Y118" t="str">
        <x:v>GROW</x:v>
      </x:c>
      <x:c r="Z118" s="12" t="str">
        <x:v>Family + verified grassroots + straight-line geo only; transport not yet routed</x:v>
      </x:c>
      <x:c r="AA118" s="12"/>
      <x:c r="AB118" s="12"/>
      <x:c r="AC118" s="12"/>
      <x:c r="AD118" s="12"/>
      <x:c r="AE118" t="str">
        <x:v>Charlton Athletic Women</x:v>
      </x:c>
      <x:c r="AF118" s="45" t="n">
        <x:v>11.416947359771523</x:v>
      </x:c>
      <x:c r="AG118" t="str">
        <x:v>Dulwich Hamlet Women</x:v>
      </x:c>
      <x:c r="AH118" s="45" t="n">
        <x:v>14.151155944614697</x:v>
      </x:c>
      <x:c r="AI118" t="n">
        <x:v>50</x:v>
      </x:c>
      <x:c r="AJ118" t="str">
        <x:v>MEDIUM</x:v>
      </x:c>
    </x:row>
    <x:row r="119">
      <x:c r="A119" s="12" t="str">
        <x:v>E01000811</x:v>
      </x:c>
      <x:c r="B119" s="12" t="str">
        <x:v>Bromley 025C</x:v>
      </x:c>
      <x:c r="C119" s="12" t="str">
        <x:v>Bromley</x:v>
      </x:c>
      <x:c r="D119" s="44" t="n">
        <x:v>51.38573057175023</x:v>
      </x:c>
      <x:c r="E119" s="44" t="n">
        <x:v>0.07159320100045886</x:v>
      </x:c>
      <x:c r="F119" s="33" t="n">
        <x:v>566</x:v>
      </x:c>
      <x:c r="G119" s="33" t="n">
        <x:v>208</x:v>
      </x:c>
      <x:c r="H119" s="26" t="n">
        <x:v>0.3674911660777385</x:v>
      </x:c>
      <x:c r="I119" s="12" t="n">
        <x:v>3</x:v>
      </x:c>
      <x:c r="J119" s="12" t="n">
        <x:v>78</x:v>
      </x:c>
      <x:c r="K119" s="12"/>
      <x:c r="L119" s="12"/>
      <x:c r="M119" s="12" t="str">
        <x:f>IF(K119="", "", MAX(0,IF(K119&lt;=20,100,IF(K119&lt;=30,85,IF(K119&lt;=40,70,IF(K119&lt;=50,55,IF(K119&lt;=60,40,20)))))-MIN(L119*5,20)))</x:f>
      </x:c>
      <x:c r="N119" s="12"/>
      <x:c r="O119" s="12"/>
      <x:c r="P119" s="12" t="str">
        <x:f>IF(OR(H119="",J119="",M119=""),"",ROUND(PERCENTRANK.INC($H$2:$H$941,H119)*35+J119*0.35+M119*0.30,0))</x:f>
      </x:c>
      <x:c r="Q119" s="12" t="str">
        <x:f>IF(P119="","",IF(P119&gt;=80,"ATTACK",IF(P119&gt;=65,"GROW",IF(P119&gt;=50,"PARTNER","WATCH"))))</x:f>
      </x:c>
      <x:c r="R119" s="12" t="str">
        <x:f>IF(Q119="","",IF(Q119="ATTACK","Grassroots + family acquisition",IF(Q119="GROW","Test local campaign",IF(Q119="PARTNER","Organisation-first partnership","Low priority / validate"))))</x:f>
      </x:c>
      <x:c r="S119" s="45" t="n">
        <x:v>3.7843127901042797</x:v>
      </x:c>
      <x:c r="T119" t="str">
        <x:v>CORE</x:v>
      </x:c>
      <x:c r="U119" s="32" t="n">
        <x:f>PERCENTRANK.INC($G$2:$G$941,G119)</x:f>
        <x:v>0.448</x:v>
      </x:c>
      <x:c r="V119" s="32" t="n">
        <x:f>PERCENTRANK.INC($H$2:$H$941,H119)</x:f>
        <x:v>0.784</x:v>
      </x:c>
      <x:c r="W119" t="n">
        <x:f>ROUND((U119*55+V119*45)*IF(S119&lt;=5,1,IF(S119&lt;=10,0.95,IF(S119&lt;=20,0.85,0.70))),0)</x:f>
        <x:v>60</x:v>
      </x:c>
      <x:c r="X119" t="n">
        <x:v>68</x:v>
      </x:c>
      <x:c r="Y119" t="str">
        <x:v>GROW</x:v>
      </x:c>
      <x:c r="Z119" s="12" t="str">
        <x:v>Family + verified grassroots + straight-line geo only; transport not yet routed</x:v>
      </x:c>
      <x:c r="AA119" s="12"/>
      <x:c r="AB119" s="12"/>
      <x:c r="AC119" s="12"/>
      <x:c r="AD119" s="12"/>
      <x:c r="AE119" t="str">
        <x:v>Crystal Palace Women</x:v>
      </x:c>
      <x:c r="AF119" s="45" t="n">
        <x:v>10.964699498271033</x:v>
      </x:c>
      <x:c r="AG119" t="str">
        <x:v>Dulwich Hamlet Women</x:v>
      </x:c>
      <x:c r="AH119" s="45" t="n">
        <x:v>13.674960462271851</x:v>
      </x:c>
      <x:c r="AI119" t="n">
        <x:v>50</x:v>
      </x:c>
      <x:c r="AJ119" t="str">
        <x:v>MEDIUM</x:v>
      </x:c>
    </x:row>
    <x:row r="120">
      <x:c r="A120" s="12" t="str">
        <x:v>E01000813</x:v>
      </x:c>
      <x:c r="B120" s="12" t="str">
        <x:v>Bromley 025D</x:v>
      </x:c>
      <x:c r="C120" s="12" t="str">
        <x:v>Bromley</x:v>
      </x:c>
      <x:c r="D120" s="44" t="n">
        <x:v>51.38245848643572</x:v>
      </x:c>
      <x:c r="E120" s="44" t="n">
        <x:v>0.07712522073199309</x:v>
      </x:c>
      <x:c r="F120" s="33" t="n">
        <x:v>622</x:v>
      </x:c>
      <x:c r="G120" s="33" t="n">
        <x:v>207</x:v>
      </x:c>
      <x:c r="H120" s="26" t="n">
        <x:v>0.3327974276527331</x:v>
      </x:c>
      <x:c r="I120" s="12" t="n">
        <x:v>3</x:v>
      </x:c>
      <x:c r="J120" s="12" t="n">
        <x:v>62</x:v>
      </x:c>
      <x:c r="K120" s="12"/>
      <x:c r="L120" s="12"/>
      <x:c r="M120" s="12" t="str">
        <x:f>IF(K120="", "", MAX(0,IF(K120&lt;=20,100,IF(K120&lt;=30,85,IF(K120&lt;=40,70,IF(K120&lt;=50,55,IF(K120&lt;=60,40,20)))))-MIN(L120*5,20)))</x:f>
      </x:c>
      <x:c r="N120" s="12"/>
      <x:c r="O120" s="12"/>
      <x:c r="P120" s="12" t="str">
        <x:f>IF(OR(H120="",J120="",M120=""),"",ROUND(PERCENTRANK.INC($H$2:$H$941,H120)*35+J120*0.35+M120*0.30,0))</x:f>
      </x:c>
      <x:c r="Q120" s="12" t="str">
        <x:f>IF(P120="","",IF(P120&gt;=80,"ATTACK",IF(P120&gt;=65,"GROW",IF(P120&gt;=50,"PARTNER","WATCH"))))</x:f>
      </x:c>
      <x:c r="R120" s="12" t="str">
        <x:f>IF(Q120="","",IF(Q120="ATTACK","Grassroots + family acquisition",IF(Q120="GROW","Test local campaign",IF(Q120="PARTNER","Organisation-first partnership","Low priority / validate"))))</x:f>
      </x:c>
      <x:c r="S120" s="45" t="n">
        <x:v>4.230552134132412</x:v>
      </x:c>
      <x:c r="T120" t="str">
        <x:v>CORE</x:v>
      </x:c>
      <x:c r="U120" s="32" t="n">
        <x:f>PERCENTRANK.INC($G$2:$G$941,G120)</x:f>
        <x:v>0.444</x:v>
      </x:c>
      <x:c r="V120" s="32" t="n">
        <x:f>PERCENTRANK.INC($H$2:$H$941,H120)</x:f>
        <x:v>0.586</x:v>
      </x:c>
      <x:c r="W120" t="n">
        <x:f>ROUND((U120*55+V120*45)*IF(S120&lt;=5,1,IF(S120&lt;=10,0.95,IF(S120&lt;=20,0.85,0.70))),0)</x:f>
        <x:v>51</x:v>
      </x:c>
      <x:c r="X120" t="n">
        <x:v>56</x:v>
      </x:c>
      <x:c r="Y120" t="str">
        <x:v>PARTNER</x:v>
      </x:c>
      <x:c r="Z120" s="12" t="str">
        <x:v>Family + verified grassroots + straight-line geo only; transport not yet routed</x:v>
      </x:c>
      <x:c r="AA120" s="12"/>
      <x:c r="AB120" s="12"/>
      <x:c r="AC120" s="12"/>
      <x:c r="AD120" s="12"/>
      <x:c r="AE120" t="str">
        <x:v>Crystal Palace Women</x:v>
      </x:c>
      <x:c r="AF120" s="45" t="n">
        <x:v>11.396389232371329</x:v>
      </x:c>
      <x:c r="AG120" t="str">
        <x:v>Dulwich Hamlet Women</x:v>
      </x:c>
      <x:c r="AH120" s="45" t="n">
        <x:v>14.201561665545478</x:v>
      </x:c>
      <x:c r="AI120" t="n">
        <x:v>50</x:v>
      </x:c>
      <x:c r="AJ120" t="str">
        <x:v>MEDIUM</x:v>
      </x:c>
    </x:row>
    <x:row r="121">
      <x:c r="A121" s="12" t="str">
        <x:v>E01000815</x:v>
      </x:c>
      <x:c r="B121" s="12" t="str">
        <x:v>Bromley 025E</x:v>
      </x:c>
      <x:c r="C121" s="12" t="str">
        <x:v>Bromley</x:v>
      </x:c>
      <x:c r="D121" s="44" t="n">
        <x:v>51.39262064122767</x:v>
      </x:c>
      <x:c r="E121" s="44" t="n">
        <x:v>0.08248208682399921</x:v>
      </x:c>
      <x:c r="F121" s="33" t="n">
        <x:v>560</x:v>
      </x:c>
      <x:c r="G121" s="33" t="n">
        <x:v>182</x:v>
      </x:c>
      <x:c r="H121" s="26" t="n">
        <x:v>0.325</x:v>
      </x:c>
      <x:c r="I121" s="12" t="n">
        <x:v>3</x:v>
      </x:c>
      <x:c r="J121" s="12" t="n">
        <x:v>70</x:v>
      </x:c>
      <x:c r="K121" s="12"/>
      <x:c r="L121" s="12"/>
      <x:c r="M121" s="12" t="str">
        <x:f>IF(K121="", "", MAX(0,IF(K121&lt;=20,100,IF(K121&lt;=30,85,IF(K121&lt;=40,70,IF(K121&lt;=50,55,IF(K121&lt;=60,40,20)))))-MIN(L121*5,20)))</x:f>
      </x:c>
      <x:c r="N121" s="12"/>
      <x:c r="O121" s="12"/>
      <x:c r="P121" s="12" t="str">
        <x:f>IF(OR(H121="",J121="",M121=""),"",ROUND(PERCENTRANK.INC($H$2:$H$941,H121)*35+J121*0.35+M121*0.30,0))</x:f>
      </x:c>
      <x:c r="Q121" s="12" t="str">
        <x:f>IF(P121="","",IF(P121&gt;=80,"ATTACK",IF(P121&gt;=65,"GROW",IF(P121&gt;=50,"PARTNER","WATCH"))))</x:f>
      </x:c>
      <x:c r="R121" s="12" t="str">
        <x:f>IF(Q121="","",IF(Q121="ATTACK","Grassroots + family acquisition",IF(Q121="GROW","Test local campaign",IF(Q121="PARTNER","Organisation-first partnership","Low priority / validate"))))</x:f>
      </x:c>
      <x:c r="S121" s="45" t="n">
        <x:v>4.497879638612402</x:v>
      </x:c>
      <x:c r="T121" t="str">
        <x:v>CORE</x:v>
      </x:c>
      <x:c r="U121" s="32" t="n">
        <x:f>PERCENTRANK.INC($G$2:$G$941,G121)</x:f>
        <x:v>0.238</x:v>
      </x:c>
      <x:c r="V121" s="32" t="n">
        <x:f>PERCENTRANK.INC($H$2:$H$941,H121)</x:f>
        <x:v>0.541</x:v>
      </x:c>
      <x:c r="W121" t="n">
        <x:f>ROUND((U121*55+V121*45)*IF(S121&lt;=5,1,IF(S121&lt;=10,0.95,IF(S121&lt;=20,0.85,0.70))),0)</x:f>
        <x:v>37</x:v>
      </x:c>
      <x:c r="X121" t="n">
        <x:v>52</x:v>
      </x:c>
      <x:c r="Y121" t="str">
        <x:v>PARTNER</x:v>
      </x:c>
      <x:c r="Z121" s="12" t="str">
        <x:v>Family + verified grassroots + straight-line geo only; transport not yet routed</x:v>
      </x:c>
      <x:c r="AA121" s="12"/>
      <x:c r="AB121" s="12"/>
      <x:c r="AC121" s="12"/>
      <x:c r="AD121" s="12"/>
      <x:c r="AE121" t="str">
        <x:v>Charlton Athletic Women</x:v>
      </x:c>
      <x:c r="AF121" s="45" t="n">
        <x:v>10.911099038878703</x:v>
      </x:c>
      <x:c r="AG121" t="str">
        <x:v>Dulwich Hamlet Women</x:v>
      </x:c>
      <x:c r="AH121" s="45" t="n">
        <x:v>13.84017966240098</x:v>
      </x:c>
      <x:c r="AI121" t="n">
        <x:v>50</x:v>
      </x:c>
      <x:c r="AJ121" t="str">
        <x:v>MEDIUM</x:v>
      </x:c>
    </x:row>
    <x:row r="122">
      <x:c r="A122" s="12" t="str">
        <x:v>E01000661</x:v>
      </x:c>
      <x:c r="B122" s="12" t="str">
        <x:v>Bromley 026A</x:v>
      </x:c>
      <x:c r="C122" s="12" t="str">
        <x:v>Bromley</x:v>
      </x:c>
      <x:c r="D122" s="44" t="n">
        <x:v>51.38574377181577</x:v>
      </x:c>
      <x:c r="E122" s="44" t="n">
        <x:v>0.04087322485277543</x:v>
      </x:c>
      <x:c r="F122" s="33" t="n">
        <x:v>1181</x:v>
      </x:c>
      <x:c r="G122" s="33" t="n">
        <x:v>452</x:v>
      </x:c>
      <x:c r="H122" s="26" t="n">
        <x:v>0.3827265029635902</x:v>
      </x:c>
      <x:c r="I122" s="12" t="n">
        <x:v>3</x:v>
      </x:c>
      <x:c r="J122" s="12" t="n">
        <x:v>86</x:v>
      </x:c>
      <x:c r="K122" s="12" t="n">
        <x:v>20</x:v>
      </x:c>
      <x:c r="L122" s="12" t="n">
        <x:v>0</x:v>
      </x:c>
      <x:c r="M122" s="12" t="n">
        <x:f>IF(K122="", "", MAX(0,IF(K122&lt;=20,100,IF(K122&lt;=30,85,IF(K122&lt;=40,70,IF(K122&lt;=50,55,IF(K122&lt;=60,40,20)))))-MIN(L122*5,20)))</x:f>
        <x:v>100</x:v>
      </x:c>
      <x:c r="N122" s="12"/>
      <x:c r="O122" s="12"/>
      <x:c r="P122" s="12" t="n">
        <x:f>IF(OR(H122="",J122="",M122=""),"",ROUND(PERCENTRANK.INC($H$2:$H$941,H122)*35+J122*0.35+M122*0.30,0))</x:f>
        <x:v>90</x:v>
      </x:c>
      <x:c r="Q122" s="12" t="str">
        <x:f>IF(P122="","",IF(P122&gt;=80,"ATTACK",IF(P122&gt;=65,"GROW",IF(P122&gt;=50,"PARTNER","WATCH"))))</x:f>
        <x:v>ATTACK</x:v>
      </x:c>
      <x:c r="R122" s="12" t="str">
        <x:f>IF(Q122="","",IF(Q122="ATTACK","Grassroots + family acquisition",IF(Q122="GROW","Test local campaign",IF(Q122="PARTNER","Organisation-first partnership","Low priority / validate"))))</x:f>
        <x:v>Grassroots + family acquisition</x:v>
      </x:c>
      <x:c r="S122" s="45" t="n">
        <x:v>1.7096563890399867</x:v>
      </x:c>
      <x:c r="T122" t="str">
        <x:v>CORE</x:v>
      </x:c>
      <x:c r="U122" s="32" t="n">
        <x:f>PERCENTRANK.INC($G$2:$G$941,G122)</x:f>
        <x:v>0.998</x:v>
      </x:c>
      <x:c r="V122" s="32" t="n">
        <x:f>PERCENTRANK.INC($H$2:$H$941,H122)</x:f>
        <x:v>0.844</x:v>
      </x:c>
      <x:c r="W122" t="n">
        <x:f>ROUND((U122*55+V122*45)*IF(S122&lt;=5,1,IF(S122&lt;=10,0.95,IF(S122&lt;=20,0.85,0.70))),0)</x:f>
        <x:v>93</x:v>
      </x:c>
      <x:c r="X122" t="n">
        <x:v>90</x:v>
      </x:c>
      <x:c r="Y122" t="str">
        <x:v>ATTACK</x:v>
      </x:c>
      <x:c r="Z122" s="12" t="str">
        <x:v>Family + verified grassroots + straight-line geo only; transport not yet routed</x:v>
      </x:c>
      <x:c r="AA122" s="12" t="str">
        <x:v>HIGH</x:v>
      </x:c>
      <x:c r="AB122" s="12" t="str">
        <x:v>BR2 9TS / Bromley Common-Chatterton</x:v>
      </x:c>
      <x:c r="AC122" s="12" t="str">
        <x:v>Representative postcode ~1,026 yd from Norman Park and ~1,665 yd from Ravensbourne School.</x:v>
      </x:c>
      <x:c r="AD122" s="12" t="str">
        <x:v>StreetScan / Active Places proximity</x:v>
      </x:c>
      <x:c r="AE122" t="str">
        <x:v>Crystal Palace Women</x:v>
      </x:c>
      <x:c r="AF122" s="45" t="n">
        <x:v>8.854467011294627</x:v>
      </x:c>
      <x:c r="AG122" t="str">
        <x:v>Dulwich Hamlet Women</x:v>
      </x:c>
      <x:c r="AH122" s="45" t="n">
        <x:v>12.064997109862468</x:v>
      </x:c>
      <x:c r="AI122" t="n">
        <x:v>65</x:v>
      </x:c>
      <x:c r="AJ122" t="str">
        <x:v>MEDIUM</x:v>
      </x:c>
    </x:row>
    <x:row r="123">
      <x:c r="A123" s="12" t="str">
        <x:v>E01000662</x:v>
      </x:c>
      <x:c r="B123" s="12" t="str">
        <x:v>Bromley 026B</x:v>
      </x:c>
      <x:c r="C123" s="12" t="str">
        <x:v>Bromley</x:v>
      </x:c>
      <x:c r="D123" s="44" t="n">
        <x:v>51.38817297908859</x:v>
      </x:c>
      <x:c r="E123" s="44" t="n">
        <x:v>0.04853684689360062</x:v>
      </x:c>
      <x:c r="F123" s="33" t="n">
        <x:v>652</x:v>
      </x:c>
      <x:c r="G123" s="33" t="n">
        <x:v>251</x:v>
      </x:c>
      <x:c r="H123" s="26" t="n">
        <x:v>0.38496932515337423</x:v>
      </x:c>
      <x:c r="I123" s="12" t="n">
        <x:v>3</x:v>
      </x:c>
      <x:c r="J123" s="12" t="n">
        <x:v>78</x:v>
      </x:c>
      <x:c r="K123" s="12"/>
      <x:c r="L123" s="12"/>
      <x:c r="M123" s="12" t="str">
        <x:f>IF(K123="", "", MAX(0,IF(K123&lt;=20,100,IF(K123&lt;=30,85,IF(K123&lt;=40,70,IF(K123&lt;=50,55,IF(K123&lt;=60,40,20)))))-MIN(L123*5,20)))</x:f>
      </x:c>
      <x:c r="N123" s="12"/>
      <x:c r="O123" s="12"/>
      <x:c r="P123" s="12" t="str">
        <x:f>IF(OR(H123="",J123="",M123=""),"",ROUND(PERCENTRANK.INC($H$2:$H$941,H123)*35+J123*0.35+M123*0.30,0))</x:f>
      </x:c>
      <x:c r="Q123" s="12" t="str">
        <x:f>IF(P123="","",IF(P123&gt;=80,"ATTACK",IF(P123&gt;=65,"GROW",IF(P123&gt;=50,"PARTNER","WATCH"))))</x:f>
      </x:c>
      <x:c r="R123" s="12" t="str">
        <x:f>IF(Q123="","",IF(Q123="ATTACK","Grassroots + family acquisition",IF(Q123="GROW","Test local campaign",IF(Q123="PARTNER","Organisation-first partnership","Low priority / validate"))))</x:f>
      </x:c>
      <x:c r="S123" s="45" t="n">
        <x:v>2.1617349710581735</x:v>
      </x:c>
      <x:c r="T123" t="str">
        <x:v>CORE</x:v>
      </x:c>
      <x:c r="U123" s="32" t="n">
        <x:f>PERCENTRANK.INC($G$2:$G$941,G123)</x:f>
        <x:v>0.79</x:v>
      </x:c>
      <x:c r="V123" s="32" t="n">
        <x:f>PERCENTRANK.INC($H$2:$H$941,H123)</x:f>
        <x:v>0.86</x:v>
      </x:c>
      <x:c r="W123" t="n">
        <x:f>ROUND((U123*55+V123*45)*IF(S123&lt;=5,1,IF(S123&lt;=10,0.95,IF(S123&lt;=20,0.85,0.70))),0)</x:f>
        <x:v>82</x:v>
      </x:c>
      <x:c r="X123" t="n">
        <x:v>80</x:v>
      </x:c>
      <x:c r="Y123" t="str">
        <x:v>ATTACK</x:v>
      </x:c>
      <x:c r="Z123" s="12" t="str">
        <x:v>Family + verified grassroots + straight-line geo only; transport not yet routed</x:v>
      </x:c>
      <x:c r="AA123" s="12"/>
      <x:c r="AB123" s="12"/>
      <x:c r="AC123" s="12"/>
      <x:c r="AD123" s="12"/>
      <x:c r="AE123" t="str">
        <x:v>Crystal Palace Women</x:v>
      </x:c>
      <x:c r="AF123" s="45" t="n">
        <x:v>9.343378079352746</x:v>
      </x:c>
      <x:c r="AG123" t="str">
        <x:v>Dulwich Hamlet Women</x:v>
      </x:c>
      <x:c r="AH123" s="45" t="n">
        <x:v>12.270903081414096</x:v>
      </x:c>
      <x:c r="AI123" t="n">
        <x:v>65</x:v>
      </x:c>
      <x:c r="AJ123" t="str">
        <x:v>MEDIUM</x:v>
      </x:c>
    </x:row>
    <x:row r="124">
      <x:c r="A124" s="12" t="str">
        <x:v>E01000663</x:v>
      </x:c>
      <x:c r="B124" s="12" t="str">
        <x:v>Bromley 026C</x:v>
      </x:c>
      <x:c r="C124" s="12" t="str">
        <x:v>Bromley</x:v>
      </x:c>
      <x:c r="D124" s="44" t="n">
        <x:v>51.38519622586039</x:v>
      </x:c>
      <x:c r="E124" s="44" t="n">
        <x:v>0.060162564060616826</x:v>
      </x:c>
      <x:c r="F124" s="33" t="n">
        <x:v>665</x:v>
      </x:c>
      <x:c r="G124" s="33" t="n">
        <x:v>257</x:v>
      </x:c>
      <x:c r="H124" s="26" t="n">
        <x:v>0.38646616541353385</x:v>
      </x:c>
      <x:c r="I124" s="12" t="n">
        <x:v>3</x:v>
      </x:c>
      <x:c r="J124" s="12" t="n">
        <x:v>70</x:v>
      </x:c>
      <x:c r="K124" s="12"/>
      <x:c r="L124" s="12"/>
      <x:c r="M124" s="12" t="str">
        <x:f>IF(K124="", "", MAX(0,IF(K124&lt;=20,100,IF(K124&lt;=30,85,IF(K124&lt;=40,70,IF(K124&lt;=50,55,IF(K124&lt;=60,40,20)))))-MIN(L124*5,20)))</x:f>
      </x:c>
      <x:c r="N124" s="12"/>
      <x:c r="O124" s="12"/>
      <x:c r="P124" s="12" t="str">
        <x:f>IF(OR(H124="",J124="",M124=""),"",ROUND(PERCENTRANK.INC($H$2:$H$941,H124)*35+J124*0.35+M124*0.30,0))</x:f>
      </x:c>
      <x:c r="Q124" s="12" t="str">
        <x:f>IF(P124="","",IF(P124&gt;=80,"ATTACK",IF(P124&gt;=65,"GROW",IF(P124&gt;=50,"PARTNER","WATCH"))))</x:f>
      </x:c>
      <x:c r="R124" s="12" t="str">
        <x:f>IF(Q124="","",IF(Q124="ATTACK","Grassroots + family acquisition",IF(Q124="GROW","Test local campaign",IF(Q124="PARTNER","Organisation-first partnership","Low priority / validate"))))</x:f>
      </x:c>
      <x:c r="S124" s="45" t="n">
        <x:v>3.015282026412407</x:v>
      </x:c>
      <x:c r="T124" t="str">
        <x:v>CORE</x:v>
      </x:c>
      <x:c r="U124" s="32" t="n">
        <x:f>PERCENTRANK.INC($G$2:$G$941,G124)</x:f>
        <x:v>0.816</x:v>
      </x:c>
      <x:c r="V124" s="32" t="n">
        <x:f>PERCENTRANK.INC($H$2:$H$941,H124)</x:f>
        <x:v>0.865</x:v>
      </x:c>
      <x:c r="W124" t="n">
        <x:f>ROUND((U124*55+V124*45)*IF(S124&lt;=5,1,IF(S124&lt;=10,0.95,IF(S124&lt;=20,0.85,0.70))),0)</x:f>
        <x:v>84</x:v>
      </x:c>
      <x:c r="X124" t="n">
        <x:v>78</x:v>
      </x:c>
      <x:c r="Y124" t="str">
        <x:v>GROW</x:v>
      </x:c>
      <x:c r="Z124" s="12" t="str">
        <x:v>Family + verified grassroots + straight-line geo only; transport not yet routed</x:v>
      </x:c>
      <x:c r="AA124" s="12"/>
      <x:c r="AB124" s="12"/>
      <x:c r="AC124" s="12"/>
      <x:c r="AD124" s="12"/>
      <x:c r="AE124" t="str">
        <x:v>Crystal Palace Women</x:v>
      </x:c>
      <x:c r="AF124" s="45" t="n">
        <x:v>10.186914886459896</x:v>
      </x:c>
      <x:c r="AG124" t="str">
        <x:v>Dulwich Hamlet Women</x:v>
      </x:c>
      <x:c r="AH124" s="45" t="n">
        <x:v>13.097237025861965</x:v>
      </x:c>
      <x:c r="AI124" t="n">
        <x:v>50</x:v>
      </x:c>
      <x:c r="AJ124" t="str">
        <x:v>MEDIUM</x:v>
      </x:c>
    </x:row>
    <x:row r="125">
      <x:c r="A125" s="12" t="str">
        <x:v>E01000664</x:v>
      </x:c>
      <x:c r="B125" s="12" t="str">
        <x:v>Bromley 026D</x:v>
      </x:c>
      <x:c r="C125" s="12" t="str">
        <x:v>Bromley</x:v>
      </x:c>
      <x:c r="D125" s="44" t="n">
        <x:v>51.381863008986095</x:v>
      </x:c>
      <x:c r="E125" s="44" t="n">
        <x:v>0.05454504397667823</x:v>
      </x:c>
      <x:c r="F125" s="33" t="n">
        <x:v>600</x:v>
      </x:c>
      <x:c r="G125" s="33" t="n">
        <x:v>237</x:v>
      </x:c>
      <x:c r="H125" s="26" t="n">
        <x:v>0.395</x:v>
      </x:c>
      <x:c r="I125" s="12" t="n">
        <x:v>3</x:v>
      </x:c>
      <x:c r="J125" s="12" t="n">
        <x:v>70</x:v>
      </x:c>
      <x:c r="K125" s="12"/>
      <x:c r="L125" s="12"/>
      <x:c r="M125" s="12" t="str">
        <x:f>IF(K125="", "", MAX(0,IF(K125&lt;=20,100,IF(K125&lt;=30,85,IF(K125&lt;=40,70,IF(K125&lt;=50,55,IF(K125&lt;=60,40,20)))))-MIN(L125*5,20)))</x:f>
      </x:c>
      <x:c r="N125" s="12"/>
      <x:c r="O125" s="12"/>
      <x:c r="P125" s="12" t="str">
        <x:f>IF(OR(H125="",J125="",M125=""),"",ROUND(PERCENTRANK.INC($H$2:$H$941,H125)*35+J125*0.35+M125*0.30,0))</x:f>
      </x:c>
      <x:c r="Q125" s="12" t="str">
        <x:f>IF(P125="","",IF(P125&gt;=80,"ATTACK",IF(P125&gt;=65,"GROW",IF(P125&gt;=50,"PARTNER","WATCH"))))</x:f>
      </x:c>
      <x:c r="R125" s="12" t="str">
        <x:f>IF(Q125="","",IF(Q125="ATTACK","Grassroots + family acquisition",IF(Q125="GROW","Test local campaign",IF(Q125="PARTNER","Organisation-first partnership","Low priority / validate"))))</x:f>
      </x:c>
      <x:c r="S125" s="45" t="n">
        <x:v>2.7499500067537275</x:v>
      </x:c>
      <x:c r="T125" t="str">
        <x:v>CORE</x:v>
      </x:c>
      <x:c r="U125" s="32" t="n">
        <x:f>PERCENTRANK.INC($G$2:$G$941,G125)</x:f>
        <x:v>0.689</x:v>
      </x:c>
      <x:c r="V125" s="32" t="n">
        <x:f>PERCENTRANK.INC($H$2:$H$941,H125)</x:f>
        <x:v>0.892</x:v>
      </x:c>
      <x:c r="W125" t="n">
        <x:f>ROUND((U125*55+V125*45)*IF(S125&lt;=5,1,IF(S125&lt;=10,0.95,IF(S125&lt;=20,0.85,0.70))),0)</x:f>
        <x:v>78</x:v>
      </x:c>
      <x:c r="X125" t="n">
        <x:v>75</x:v>
      </x:c>
      <x:c r="Y125" t="str">
        <x:v>GROW</x:v>
      </x:c>
      <x:c r="Z125" s="12" t="str">
        <x:v>Family + verified grassroots + straight-line geo only; transport not yet routed</x:v>
      </x:c>
      <x:c r="AA125" s="12"/>
      <x:c r="AB125" s="12"/>
      <x:c r="AC125" s="12"/>
      <x:c r="AD125" s="12"/>
      <x:c r="AE125" t="str">
        <x:v>Crystal Palace Women</x:v>
      </x:c>
      <x:c r="AF125" s="45" t="n">
        <x:v>9.863472788761472</x:v>
      </x:c>
      <x:c r="AG125" t="str">
        <x:v>Dulwich Hamlet Women</x:v>
      </x:c>
      <x:c r="AH125" s="45" t="n">
        <x:v>13.050759325798108</x:v>
      </x:c>
      <x:c r="AI125" t="n">
        <x:v>65</x:v>
      </x:c>
      <x:c r="AJ125" t="str">
        <x:v>MEDIUM</x:v>
      </x:c>
    </x:row>
    <x:row r="126">
      <x:c r="A126" s="12" t="str">
        <x:v>E01000763</x:v>
      </x:c>
      <x:c r="B126" s="12" t="str">
        <x:v>Bromley 027A</x:v>
      </x:c>
      <x:c r="C126" s="12" t="str">
        <x:v>Bromley</x:v>
      </x:c>
      <x:c r="D126" s="44" t="n">
        <x:v>51.38479044580042</x:v>
      </x:c>
      <x:c r="E126" s="44" t="n">
        <x:v>0.015524873387159127</x:v>
      </x:c>
      <x:c r="F126" s="33" t="n">
        <x:v>528</x:v>
      </x:c>
      <x:c r="G126" s="33" t="n">
        <x:v>202</x:v>
      </x:c>
      <x:c r="H126" s="26" t="n">
        <x:v>0.38257575757575757</x:v>
      </x:c>
      <x:c r="I126" s="12" t="n">
        <x:v>2</x:v>
      </x:c>
      <x:c r="J126" s="12" t="n">
        <x:v>78</x:v>
      </x:c>
      <x:c r="K126" s="12"/>
      <x:c r="L126" s="12"/>
      <x:c r="M126" s="12" t="str">
        <x:f>IF(K126="", "", MAX(0,IF(K126&lt;=20,100,IF(K126&lt;=30,85,IF(K126&lt;=40,70,IF(K126&lt;=50,55,IF(K126&lt;=60,40,20)))))-MIN(L126*5,20)))</x:f>
      </x:c>
      <x:c r="N126" s="12"/>
      <x:c r="O126" s="12"/>
      <x:c r="P126" s="12" t="str">
        <x:f>IF(OR(H126="",J126="",M126=""),"",ROUND(PERCENTRANK.INC($H$2:$H$941,H126)*35+J126*0.35+M126*0.30,0))</x:f>
      </x:c>
      <x:c r="Q126" s="12" t="str">
        <x:f>IF(P126="","",IF(P126&gt;=80,"ATTACK",IF(P126&gt;=65,"GROW",IF(P126&gt;=50,"PARTNER","WATCH"))))</x:f>
      </x:c>
      <x:c r="R126" s="12" t="str">
        <x:f>IF(Q126="","",IF(Q126="ATTACK","Grassroots + family acquisition",IF(Q126="GROW","Test local campaign",IF(Q126="PARTNER","Organisation-first partnership","Low priority / validate"))))</x:f>
      </x:c>
      <x:c r="S126" s="45" t="n">
        <x:v>0.7051869314795356</x:v>
      </x:c>
      <x:c r="T126" t="str">
        <x:v>CORE</x:v>
      </x:c>
      <x:c r="U126" s="32" t="n">
        <x:f>PERCENTRANK.INC($G$2:$G$941,G126)</x:f>
        <x:v>0.41</x:v>
      </x:c>
      <x:c r="V126" s="32" t="n">
        <x:f>PERCENTRANK.INC($H$2:$H$941,H126)</x:f>
        <x:v>0.842</x:v>
      </x:c>
      <x:c r="W126" t="n">
        <x:f>ROUND((U126*55+V126*45)*IF(S126&lt;=5,1,IF(S126&lt;=10,0.95,IF(S126&lt;=20,0.85,0.70))),0)</x:f>
        <x:v>60</x:v>
      </x:c>
      <x:c r="X126" t="n">
        <x:v>69</x:v>
      </x:c>
      <x:c r="Y126" t="str">
        <x:v>GROW</x:v>
      </x:c>
      <x:c r="Z126" s="12" t="str">
        <x:v>Family + verified grassroots + straight-line geo only; transport not yet routed</x:v>
      </x:c>
      <x:c r="AA126" s="12"/>
      <x:c r="AB126" s="12"/>
      <x:c r="AC126" s="12"/>
      <x:c r="AD126" s="12"/>
      <x:c r="AE126" t="str">
        <x:v>Crystal Palace Women</x:v>
      </x:c>
      <x:c r="AF126" s="45" t="n">
        <x:v>7.144574203468369</x:v>
      </x:c>
      <x:c r="AG126" t="str">
        <x:v>Dulwich Hamlet Women</x:v>
      </x:c>
      <x:c r="AH126" s="45" t="n">
        <x:v>10.95522335246555</x:v>
      </x:c>
      <x:c r="AI126" t="n">
        <x:v>65</x:v>
      </x:c>
      <x:c r="AJ126" t="str">
        <x:v>MEDIUM</x:v>
      </x:c>
    </x:row>
    <x:row r="127">
      <x:c r="A127" s="12" t="str">
        <x:v>E01000764</x:v>
      </x:c>
      <x:c r="B127" s="12" t="str">
        <x:v>Bromley 027B</x:v>
      </x:c>
      <x:c r="C127" s="12" t="str">
        <x:v>Bromley</x:v>
      </x:c>
      <x:c r="D127" s="44" t="n">
        <x:v>51.3854147277952</x:v>
      </x:c>
      <x:c r="E127" s="44" t="n">
        <x:v>0.009944032950755018</x:v>
      </x:c>
      <x:c r="F127" s="33" t="n">
        <x:v>660</x:v>
      </x:c>
      <x:c r="G127" s="33" t="n">
        <x:v>257</x:v>
      </x:c>
      <x:c r="H127" s="26" t="n">
        <x:v>0.3893939393939394</x:v>
      </x:c>
      <x:c r="I127" s="12" t="n">
        <x:v>2</x:v>
      </x:c>
      <x:c r="J127" s="12" t="n">
        <x:v>86</x:v>
      </x:c>
      <x:c r="K127" s="12"/>
      <x:c r="L127" s="12"/>
      <x:c r="M127" s="12" t="str">
        <x:f>IF(K127="", "", MAX(0,IF(K127&lt;=20,100,IF(K127&lt;=30,85,IF(K127&lt;=40,70,IF(K127&lt;=50,55,IF(K127&lt;=60,40,20)))))-MIN(L127*5,20)))</x:f>
      </x:c>
      <x:c r="N127" s="12"/>
      <x:c r="O127" s="12"/>
      <x:c r="P127" s="12" t="str">
        <x:f>IF(OR(H127="",J127="",M127=""),"",ROUND(PERCENTRANK.INC($H$2:$H$941,H127)*35+J127*0.35+M127*0.30,0))</x:f>
      </x:c>
      <x:c r="Q127" s="12" t="str">
        <x:f>IF(P127="","",IF(P127&gt;=80,"ATTACK",IF(P127&gt;=65,"GROW",IF(P127&gt;=50,"PARTNER","WATCH"))))</x:f>
      </x:c>
      <x:c r="R127" s="12" t="str">
        <x:f>IF(Q127="","",IF(Q127="ATTACK","Grassroots + family acquisition",IF(Q127="GROW","Test local campaign",IF(Q127="PARTNER","Organisation-first partnership","Low priority / validate"))))</x:f>
      </x:c>
      <x:c r="S127" s="45" t="n">
        <x:v>0.8209119885837795</x:v>
      </x:c>
      <x:c r="T127" t="str">
        <x:v>CORE</x:v>
      </x:c>
      <x:c r="U127" s="32" t="n">
        <x:f>PERCENTRANK.INC($G$2:$G$941,G127)</x:f>
        <x:v>0.816</x:v>
      </x:c>
      <x:c r="V127" s="32" t="n">
        <x:f>PERCENTRANK.INC($H$2:$H$941,H127)</x:f>
        <x:v>0.872</x:v>
      </x:c>
      <x:c r="W127" t="n">
        <x:f>ROUND((U127*55+V127*45)*IF(S127&lt;=5,1,IF(S127&lt;=10,0.95,IF(S127&lt;=20,0.85,0.70))),0)</x:f>
        <x:v>84</x:v>
      </x:c>
      <x:c r="X127" t="n">
        <x:v>85</x:v>
      </x:c>
      <x:c r="Y127" t="str">
        <x:v>ATTACK</x:v>
      </x:c>
      <x:c r="Z127" s="12" t="str">
        <x:v>Family + verified grassroots + straight-line geo only; transport not yet routed</x:v>
      </x:c>
      <x:c r="AA127" s="12"/>
      <x:c r="AB127" s="12"/>
      <x:c r="AC127" s="12"/>
      <x:c r="AD127" s="12"/>
      <x:c r="AE127" t="str">
        <x:v>Crystal Palace Women</x:v>
      </x:c>
      <x:c r="AF127" s="45" t="n">
        <x:v>6.751372345848282</x:v>
      </x:c>
      <x:c r="AG127" t="str">
        <x:v>Dulwich Hamlet Women</x:v>
      </x:c>
      <x:c r="AH127" s="45" t="n">
        <x:v>10.660669093298939</x:v>
      </x:c>
      <x:c r="AI127" t="n">
        <x:v>65</x:v>
      </x:c>
      <x:c r="AJ127" t="str">
        <x:v>MEDIUM</x:v>
      </x:c>
    </x:row>
    <x:row r="128">
      <x:c r="A128" s="12" t="str">
        <x:v>E01000766</x:v>
      </x:c>
      <x:c r="B128" s="12" t="str">
        <x:v>Bromley 027C</x:v>
      </x:c>
      <x:c r="C128" s="12" t="str">
        <x:v>Bromley</x:v>
      </x:c>
      <x:c r="D128" s="44" t="n">
        <x:v>51.38013533692041</x:v>
      </x:c>
      <x:c r="E128" s="44" t="n">
        <x:v>0.0052898686090936025</x:v>
      </x:c>
      <x:c r="F128" s="33" t="n">
        <x:v>647</x:v>
      </x:c>
      <x:c r="G128" s="33" t="n">
        <x:v>260</x:v>
      </x:c>
      <x:c r="H128" s="26" t="n">
        <x:v>0.401854714064915</x:v>
      </x:c>
      <x:c r="I128" s="12" t="n">
        <x:v>2</x:v>
      </x:c>
      <x:c r="J128" s="12" t="n">
        <x:v>86</x:v>
      </x:c>
      <x:c r="K128" s="12"/>
      <x:c r="L128" s="12"/>
      <x:c r="M128" s="12" t="str">
        <x:f>IF(K128="", "", MAX(0,IF(K128&lt;=20,100,IF(K128&lt;=30,85,IF(K128&lt;=40,70,IF(K128&lt;=50,55,IF(K128&lt;=60,40,20)))))-MIN(L128*5,20)))</x:f>
      </x:c>
      <x:c r="N128" s="12"/>
      <x:c r="O128" s="12"/>
      <x:c r="P128" s="12" t="str">
        <x:f>IF(OR(H128="",J128="",M128=""),"",ROUND(PERCENTRANK.INC($H$2:$H$941,H128)*35+J128*0.35+M128*0.30,0))</x:f>
      </x:c>
      <x:c r="Q128" s="12" t="str">
        <x:f>IF(P128="","",IF(P128&gt;=80,"ATTACK",IF(P128&gt;=65,"GROW",IF(P128&gt;=50,"PARTNER","WATCH"))))</x:f>
      </x:c>
      <x:c r="R128" s="12" t="str">
        <x:f>IF(Q128="","",IF(Q128="ATTACK","Grassroots + family acquisition",IF(Q128="GROW","Test local campaign",IF(Q128="PARTNER","Organisation-first partnership","Low priority / validate"))))</x:f>
      </x:c>
      <x:c r="S128" s="45" t="n">
        <x:v>1.4825821364669707</x:v>
      </x:c>
      <x:c r="T128" t="str">
        <x:v>CORE</x:v>
      </x:c>
      <x:c r="U128" s="32" t="n">
        <x:f>PERCENTRANK.INC($G$2:$G$941,G128)</x:f>
        <x:v>0.828</x:v>
      </x:c>
      <x:c r="V128" s="32" t="n">
        <x:f>PERCENTRANK.INC($H$2:$H$941,H128)</x:f>
        <x:v>0.914</x:v>
      </x:c>
      <x:c r="W128" t="n">
        <x:f>ROUND((U128*55+V128*45)*IF(S128&lt;=5,1,IF(S128&lt;=10,0.95,IF(S128&lt;=20,0.85,0.70))),0)</x:f>
        <x:v>87</x:v>
      </x:c>
      <x:c r="X128" t="n">
        <x:v>87</x:v>
      </x:c>
      <x:c r="Y128" t="str">
        <x:v>ATTACK</x:v>
      </x:c>
      <x:c r="Z128" s="12" t="str">
        <x:v>Family + verified grassroots + straight-line geo only; transport not yet routed</x:v>
      </x:c>
      <x:c r="AA128" s="12"/>
      <x:c r="AB128" s="12"/>
      <x:c r="AC128" s="12"/>
      <x:c r="AD128" s="12"/>
      <x:c r="AE128" t="str">
        <x:v>Crystal Palace Women</x:v>
      </x:c>
      <x:c r="AF128" s="45" t="n">
        <x:v>6.591863505267185</x:v>
      </x:c>
      <x:c r="AG128" t="str">
        <x:v>Dulwich Hamlet Women</x:v>
      </x:c>
      <x:c r="AH128" s="45" t="n">
        <x:v>10.945752322978931</x:v>
      </x:c>
      <x:c r="AI128" t="n">
        <x:v>65</x:v>
      </x:c>
      <x:c r="AJ128" t="str">
        <x:v>MEDIUM</x:v>
      </x:c>
    </x:row>
    <x:row r="129">
      <x:c r="A129" s="12" t="str">
        <x:v>E01000767</x:v>
      </x:c>
      <x:c r="B129" s="12" t="str">
        <x:v>Bromley 027D</x:v>
      </x:c>
      <x:c r="C129" s="12" t="str">
        <x:v>Bromley</x:v>
      </x:c>
      <x:c r="D129" s="44" t="n">
        <x:v>51.3791705474943</x:v>
      </x:c>
      <x:c r="E129" s="44" t="n">
        <x:v>0.012524250287694336</x:v>
      </x:c>
      <x:c r="F129" s="33" t="n">
        <x:v>606</x:v>
      </x:c>
      <x:c r="G129" s="33" t="n">
        <x:v>221</x:v>
      </x:c>
      <x:c r="H129" s="26" t="n">
        <x:v>0.36468646864686466</x:v>
      </x:c>
      <x:c r="I129" s="12" t="n">
        <x:v>2</x:v>
      </x:c>
      <x:c r="J129" s="12" t="n">
        <x:v>78</x:v>
      </x:c>
      <x:c r="K129" s="12"/>
      <x:c r="L129" s="12"/>
      <x:c r="M129" s="12" t="str">
        <x:f>IF(K129="", "", MAX(0,IF(K129&lt;=20,100,IF(K129&lt;=30,85,IF(K129&lt;=40,70,IF(K129&lt;=50,55,IF(K129&lt;=60,40,20)))))-MIN(L129*5,20)))</x:f>
      </x:c>
      <x:c r="N129" s="12"/>
      <x:c r="O129" s="12"/>
      <x:c r="P129" s="12" t="str">
        <x:f>IF(OR(H129="",J129="",M129=""),"",ROUND(PERCENTRANK.INC($H$2:$H$941,H129)*35+J129*0.35+M129*0.30,0))</x:f>
      </x:c>
      <x:c r="Q129" s="12" t="str">
        <x:f>IF(P129="","",IF(P129&gt;=80,"ATTACK",IF(P129&gt;=65,"GROW",IF(P129&gt;=50,"PARTNER","WATCH"))))</x:f>
      </x:c>
      <x:c r="R129" s="12" t="str">
        <x:f>IF(Q129="","",IF(Q129="ATTACK","Grassroots + family acquisition",IF(Q129="GROW","Test local campaign",IF(Q129="PARTNER","Organisation-first partnership","Low priority / validate"))))</x:f>
      </x:c>
      <x:c r="S129" s="45" t="n">
        <x:v>1.3619992531423455</x:v>
      </x:c>
      <x:c r="T129" t="str">
        <x:v>CORE</x:v>
      </x:c>
      <x:c r="U129" s="32" t="n">
        <x:f>PERCENTRANK.INC($G$2:$G$941,G129)</x:f>
        <x:v>0.552</x:v>
      </x:c>
      <x:c r="V129" s="32" t="n">
        <x:f>PERCENTRANK.INC($H$2:$H$941,H129)</x:f>
        <x:v>0.766</x:v>
      </x:c>
      <x:c r="W129" t="n">
        <x:f>ROUND((U129*55+V129*45)*IF(S129&lt;=5,1,IF(S129&lt;=10,0.95,IF(S129&lt;=20,0.85,0.70))),0)</x:f>
        <x:v>65</x:v>
      </x:c>
      <x:c r="X129" t="n">
        <x:v>71</x:v>
      </x:c>
      <x:c r="Y129" t="str">
        <x:v>GROW</x:v>
      </x:c>
      <x:c r="Z129" s="12" t="str">
        <x:v>Family + verified grassroots + straight-line geo only; transport not yet routed</x:v>
      </x:c>
      <x:c r="AA129" s="12"/>
      <x:c r="AB129" s="12"/>
      <x:c r="AC129" s="12"/>
      <x:c r="AD129" s="12"/>
      <x:c r="AE129" t="str">
        <x:v>Crystal Palace Women</x:v>
      </x:c>
      <x:c r="AF129" s="45" t="n">
        <x:v>7.102846970651768</x:v>
      </x:c>
      <x:c r="AG129" t="str">
        <x:v>Dulwich Hamlet Women</x:v>
      </x:c>
      <x:c r="AH129" s="45" t="n">
        <x:v>11.323463280877695</x:v>
      </x:c>
      <x:c r="AI129" t="n">
        <x:v>65</x:v>
      </x:c>
      <x:c r="AJ129" t="str">
        <x:v>MEDIUM</x:v>
      </x:c>
    </x:row>
    <x:row r="130">
      <x:c r="A130" s="12" t="str">
        <x:v>E01000834</x:v>
      </x:c>
      <x:c r="B130" s="12" t="str">
        <x:v>Bromley 027E</x:v>
      </x:c>
      <x:c r="C130" s="12" t="str">
        <x:v>Bromley</x:v>
      </x:c>
      <x:c r="D130" s="44" t="n">
        <x:v>51.38370339330256</x:v>
      </x:c>
      <x:c r="E130" s="44" t="n">
        <x:v>0.00032691078424982076</x:v>
      </x:c>
      <x:c r="F130" s="33" t="n">
        <x:v>462</x:v>
      </x:c>
      <x:c r="G130" s="33" t="n">
        <x:v>199</x:v>
      </x:c>
      <x:c r="H130" s="26" t="n">
        <x:v>0.43073593073593075</x:v>
      </x:c>
      <x:c r="I130" s="12" t="n">
        <x:v>2</x:v>
      </x:c>
      <x:c r="J130" s="12" t="n">
        <x:v>79</x:v>
      </x:c>
      <x:c r="K130" s="12"/>
      <x:c r="L130" s="12"/>
      <x:c r="M130" s="12" t="str">
        <x:f>IF(K130="", "", MAX(0,IF(K130&lt;=20,100,IF(K130&lt;=30,85,IF(K130&lt;=40,70,IF(K130&lt;=50,55,IF(K130&lt;=60,40,20)))))-MIN(L130*5,20)))</x:f>
      </x:c>
      <x:c r="N130" s="12"/>
      <x:c r="O130" s="12"/>
      <x:c r="P130" s="12" t="str">
        <x:f>IF(OR(H130="",J130="",M130=""),"",ROUND(PERCENTRANK.INC($H$2:$H$941,H130)*35+J130*0.35+M130*0.30,0))</x:f>
      </x:c>
      <x:c r="Q130" s="12" t="str">
        <x:f>IF(P130="","",IF(P130&gt;=80,"ATTACK",IF(P130&gt;=65,"GROW",IF(P130&gt;=50,"PARTNER","WATCH"))))</x:f>
      </x:c>
      <x:c r="R130" s="12" t="str">
        <x:f>IF(Q130="","",IF(Q130="ATTACK","Grassroots + family acquisition",IF(Q130="GROW","Test local campaign",IF(Q130="PARTNER","Organisation-first partnership","Low priority / validate"))))</x:f>
      </x:c>
      <x:c r="S130" s="45" t="n">
        <x:v>1.4527260286289976</x:v>
      </x:c>
      <x:c r="T130" t="str">
        <x:v>CORE</x:v>
      </x:c>
      <x:c r="U130" s="32" t="n">
        <x:f>PERCENTRANK.INC($G$2:$G$941,G130)</x:f>
        <x:v>0.376</x:v>
      </x:c>
      <x:c r="V130" s="32" t="n">
        <x:f>PERCENTRANK.INC($H$2:$H$941,H130)</x:f>
        <x:v>0.963</x:v>
      </x:c>
      <x:c r="W130" t="n">
        <x:f>ROUND((U130*55+V130*45)*IF(S130&lt;=5,1,IF(S130&lt;=10,0.95,IF(S130&lt;=20,0.85,0.70))),0)</x:f>
        <x:v>64</x:v>
      </x:c>
      <x:c r="X130" t="n">
        <x:v>71</x:v>
      </x:c>
      <x:c r="Y130" t="str">
        <x:v>GROW</x:v>
      </x:c>
      <x:c r="Z130" s="12" t="str">
        <x:v>Family + verified grassroots + straight-line geo only; transport not yet routed</x:v>
      </x:c>
      <x:c r="AA130" s="12"/>
      <x:c r="AB130" s="12"/>
      <x:c r="AC130" s="12"/>
      <x:c r="AD130" s="12"/>
      <x:c r="AE130" t="str">
        <x:v>Crystal Palace Women</x:v>
      </x:c>
      <x:c r="AF130" s="45" t="n">
        <x:v>6.148392444524928</x:v>
      </x:c>
      <x:c r="AG130" t="str">
        <x:v>Dulwich Hamlet Women</x:v>
      </x:c>
      <x:c r="AH130" s="45" t="n">
        <x:v>10.423964617517635</x:v>
      </x:c>
      <x:c r="AI130" t="n">
        <x:v>65</x:v>
      </x:c>
      <x:c r="AJ130" t="str">
        <x:v>MEDIUM</x:v>
      </x:c>
    </x:row>
    <x:row r="131">
      <x:c r="A131" s="12" t="str">
        <x:v>E01000727</x:v>
      </x:c>
      <x:c r="B131" s="12" t="str">
        <x:v>Bromley 028A</x:v>
      </x:c>
      <x:c r="C131" s="12" t="str">
        <x:v>Bromley</x:v>
      </x:c>
      <x:c r="D131" s="44" t="n">
        <x:v>51.38241596267385</x:v>
      </x:c>
      <x:c r="E131" s="44" t="n">
        <x:v>0.10257658461989237</x:v>
      </x:c>
      <x:c r="F131" s="33" t="n">
        <x:v>764</x:v>
      </x:c>
      <x:c r="G131" s="33" t="n">
        <x:v>205</x:v>
      </x:c>
      <x:c r="H131" s="26" t="n">
        <x:v>0.2683246073298429</x:v>
      </x:c>
      <x:c r="I131" s="12" t="n">
        <x:v>3</x:v>
      </x:c>
      <x:c r="J131" s="12" t="n">
        <x:v>55</x:v>
      </x:c>
      <x:c r="K131" s="12"/>
      <x:c r="L131" s="12"/>
      <x:c r="M131" s="12" t="str">
        <x:f>IF(K131="", "", MAX(0,IF(K131&lt;=20,100,IF(K131&lt;=30,85,IF(K131&lt;=40,70,IF(K131&lt;=50,55,IF(K131&lt;=60,40,20)))))-MIN(L131*5,20)))</x:f>
      </x:c>
      <x:c r="N131" s="12"/>
      <x:c r="O131" s="12"/>
      <x:c r="P131" s="12" t="str">
        <x:f>IF(OR(H131="",J131="",M131=""),"",ROUND(PERCENTRANK.INC($H$2:$H$941,H131)*35+J131*0.35+M131*0.30,0))</x:f>
      </x:c>
      <x:c r="Q131" s="12" t="str">
        <x:f>IF(P131="","",IF(P131&gt;=80,"ATTACK",IF(P131&gt;=65,"GROW",IF(P131&gt;=50,"PARTNER","WATCH"))))</x:f>
      </x:c>
      <x:c r="R131" s="12" t="str">
        <x:f>IF(Q131="","",IF(Q131="ATTACK","Grassroots + family acquisition",IF(Q131="GROW","Test local campaign",IF(Q131="PARTNER","Organisation-first partnership","Low priority / validate"))))</x:f>
      </x:c>
      <x:c r="S131" s="45" t="n">
        <x:v>5.965671944938699</x:v>
      </x:c>
      <x:c r="T131" t="str">
        <x:v>NEAR</x:v>
      </x:c>
      <x:c r="U131" s="32" t="n">
        <x:f>PERCENTRANK.INC($G$2:$G$941,G131)</x:f>
        <x:v>0.432</x:v>
      </x:c>
      <x:c r="V131" s="32" t="n">
        <x:f>PERCENTRANK.INC($H$2:$H$941,H131)</x:f>
        <x:v>0.255</x:v>
      </x:c>
      <x:c r="W131" t="n">
        <x:f>ROUND((U131*55+V131*45)*IF(S131&lt;=5,1,IF(S131&lt;=10,0.95,IF(S131&lt;=20,0.85,0.70))),0)</x:f>
        <x:v>33</x:v>
      </x:c>
      <x:c r="X131" t="n">
        <x:v>43</x:v>
      </x:c>
      <x:c r="Y131" t="str">
        <x:v>WATCH</x:v>
      </x:c>
      <x:c r="Z131" s="12" t="str">
        <x:v>Family + verified grassroots + straight-line geo only; transport not yet routed</x:v>
      </x:c>
      <x:c r="AA131" s="12"/>
      <x:c r="AB131" s="12"/>
      <x:c r="AC131" s="12"/>
      <x:c r="AD131" s="12"/>
      <x:c r="AE131" t="str">
        <x:v>Charlton Athletic Women</x:v>
      </x:c>
      <x:c r="AF131" s="45" t="n">
        <x:v>12.445679796813202</x:v>
      </x:c>
      <x:c r="AG131" t="str">
        <x:v>Dulwich Hamlet Women</x:v>
      </x:c>
      <x:c r="AH131" s="45" t="n">
        <x:v>15.630421188052026</x:v>
      </x:c>
      <x:c r="AI131" t="n">
        <x:v>45</x:v>
      </x:c>
      <x:c r="AJ131" t="str">
        <x:v>LOW</x:v>
      </x:c>
    </x:row>
    <x:row r="132">
      <x:c r="A132" s="12" t="str">
        <x:v>E01000734</x:v>
      </x:c>
      <x:c r="B132" s="12" t="str">
        <x:v>Bromley 028B</x:v>
      </x:c>
      <x:c r="C132" s="12" t="str">
        <x:v>Bromley</x:v>
      </x:c>
      <x:c r="D132" s="44" t="n">
        <x:v>51.38703955938501</x:v>
      </x:c>
      <x:c r="E132" s="44" t="n">
        <x:v>0.09724177770754266</x:v>
      </x:c>
      <x:c r="F132" s="33" t="n">
        <x:v>508</x:v>
      </x:c>
      <x:c r="G132" s="33" t="n">
        <x:v>218</x:v>
      </x:c>
      <x:c r="H132" s="26" t="n">
        <x:v>0.42913385826771655</x:v>
      </x:c>
      <x:c r="I132" s="12" t="n">
        <x:v>3</x:v>
      </x:c>
      <x:c r="J132" s="12" t="n">
        <x:v>63</x:v>
      </x:c>
      <x:c r="K132" s="12"/>
      <x:c r="L132" s="12"/>
      <x:c r="M132" s="12" t="str">
        <x:f>IF(K132="", "", MAX(0,IF(K132&lt;=20,100,IF(K132&lt;=30,85,IF(K132&lt;=40,70,IF(K132&lt;=50,55,IF(K132&lt;=60,40,20)))))-MIN(L132*5,20)))</x:f>
      </x:c>
      <x:c r="N132" s="12"/>
      <x:c r="O132" s="12"/>
      <x:c r="P132" s="12" t="str">
        <x:f>IF(OR(H132="",J132="",M132=""),"",ROUND(PERCENTRANK.INC($H$2:$H$941,H132)*35+J132*0.35+M132*0.30,0))</x:f>
      </x:c>
      <x:c r="Q132" s="12" t="str">
        <x:f>IF(P132="","",IF(P132&gt;=80,"ATTACK",IF(P132&gt;=65,"GROW",IF(P132&gt;=50,"PARTNER","WATCH"))))</x:f>
      </x:c>
      <x:c r="R132" s="12" t="str">
        <x:f>IF(Q132="","",IF(Q132="ATTACK","Grassroots + family acquisition",IF(Q132="GROW","Test local campaign",IF(Q132="PARTNER","Organisation-first partnership","Low priority / validate"))))</x:f>
      </x:c>
      <x:c r="S132" s="45" t="n">
        <x:v>5.536032656089797</x:v>
      </x:c>
      <x:c r="T132" t="str">
        <x:v>NEAR</x:v>
      </x:c>
      <x:c r="U132" s="32" t="n">
        <x:f>PERCENTRANK.INC($G$2:$G$941,G132)</x:f>
        <x:v>0.538</x:v>
      </x:c>
      <x:c r="V132" s="32" t="n">
        <x:f>PERCENTRANK.INC($H$2:$H$941,H132)</x:f>
        <x:v>0.956</x:v>
      </x:c>
      <x:c r="W132" t="n">
        <x:f>ROUND((U132*55+V132*45)*IF(S132&lt;=5,1,IF(S132&lt;=10,0.95,IF(S132&lt;=20,0.85,0.70))),0)</x:f>
        <x:v>69</x:v>
      </x:c>
      <x:c r="X132" t="n">
        <x:v>66</x:v>
      </x:c>
      <x:c r="Y132" t="str">
        <x:v>GROW</x:v>
      </x:c>
      <x:c r="Z132" s="12" t="str">
        <x:v>Family + verified grassroots + straight-line geo only; transport not yet routed</x:v>
      </x:c>
      <x:c r="AA132" s="12"/>
      <x:c r="AB132" s="12"/>
      <x:c r="AC132" s="12"/>
      <x:c r="AD132" s="12"/>
      <x:c r="AE132" t="str">
        <x:v>Charlton Athletic Women</x:v>
      </x:c>
      <x:c r="AF132" s="45" t="n">
        <x:v>11.832135352610509</x:v>
      </x:c>
      <x:c r="AG132" t="str">
        <x:v>Dulwich Hamlet Women</x:v>
      </x:c>
      <x:c r="AH132" s="45" t="n">
        <x:v>15.036743264897746</x:v>
      </x:c>
      <x:c r="AI132" t="n">
        <x:v>45</x:v>
      </x:c>
      <x:c r="AJ132" t="str">
        <x:v>LOW</x:v>
      </x:c>
    </x:row>
    <x:row r="133">
      <x:c r="A133" s="12" t="str">
        <x:v>E01000790</x:v>
      </x:c>
      <x:c r="B133" s="12" t="str">
        <x:v>Bromley 028C</x:v>
      </x:c>
      <x:c r="C133" s="12" t="str">
        <x:v>Bromley</x:v>
      </x:c>
      <x:c r="D133" s="44" t="n">
        <x:v>51.37395136694028</x:v>
      </x:c>
      <x:c r="E133" s="44" t="n">
        <x:v>0.09699369813732459</x:v>
      </x:c>
      <x:c r="F133" s="33" t="n">
        <x:v>1048</x:v>
      </x:c>
      <x:c r="G133" s="33" t="n">
        <x:v>265</x:v>
      </x:c>
      <x:c r="H133" s="26" t="n">
        <x:v>0.25286259541984735</x:v>
      </x:c>
      <x:c r="I133" s="12" t="n">
        <x:v>3</x:v>
      </x:c>
      <x:c r="J133" s="12" t="n">
        <x:v>55</x:v>
      </x:c>
      <x:c r="K133" s="12"/>
      <x:c r="L133" s="12"/>
      <x:c r="M133" s="12" t="str">
        <x:f>IF(K133="", "", MAX(0,IF(K133&lt;=20,100,IF(K133&lt;=30,85,IF(K133&lt;=40,70,IF(K133&lt;=50,55,IF(K133&lt;=60,40,20)))))-MIN(L133*5,20)))</x:f>
      </x:c>
      <x:c r="N133" s="12"/>
      <x:c r="O133" s="12"/>
      <x:c r="P133" s="12" t="str">
        <x:f>IF(OR(H133="",J133="",M133=""),"",ROUND(PERCENTRANK.INC($H$2:$H$941,H133)*35+J133*0.35+M133*0.30,0))</x:f>
      </x:c>
      <x:c r="Q133" s="12" t="str">
        <x:f>IF(P133="","",IF(P133&gt;=80,"ATTACK",IF(P133&gt;=65,"GROW",IF(P133&gt;=50,"PARTNER","WATCH"))))</x:f>
      </x:c>
      <x:c r="R133" s="12" t="str">
        <x:f>IF(Q133="","",IF(Q133="ATTACK","Grassroots + family acquisition",IF(Q133="GROW","Test local campaign",IF(Q133="PARTNER","Organisation-first partnership","Low priority / validate"))))</x:f>
      </x:c>
      <x:c r="S133" s="45" t="n">
        <x:v>5.819043764270622</x:v>
      </x:c>
      <x:c r="T133" t="str">
        <x:v>NEAR</x:v>
      </x:c>
      <x:c r="U133" s="32" t="n">
        <x:f>PERCENTRANK.INC($G$2:$G$941,G133)</x:f>
        <x:v>0.851</x:v>
      </x:c>
      <x:c r="V133" s="32" t="n">
        <x:f>PERCENTRANK.INC($H$2:$H$941,H133)</x:f>
        <x:v>0.193</x:v>
      </x:c>
      <x:c r="W133" t="n">
        <x:f>ROUND((U133*55+V133*45)*IF(S133&lt;=5,1,IF(S133&lt;=10,0.95,IF(S133&lt;=20,0.85,0.70))),0)</x:f>
        <x:v>53</x:v>
      </x:c>
      <x:c r="X133" t="n">
        <x:v>54</x:v>
      </x:c>
      <x:c r="Y133" t="str">
        <x:v>PARTNER</x:v>
      </x:c>
      <x:c r="Z133" s="12" t="str">
        <x:v>Family + verified grassroots + straight-line geo only; transport not yet routed</x:v>
      </x:c>
      <x:c r="AA133" s="12"/>
      <x:c r="AB133" s="12"/>
      <x:c r="AC133" s="12"/>
      <x:c r="AD133" s="12"/>
      <x:c r="AE133" t="str">
        <x:v>Crystal Palace Women</x:v>
      </x:c>
      <x:c r="AF133" s="45" t="n">
        <x:v>12.92582211432218</x:v>
      </x:c>
      <x:c r="AG133" t="str">
        <x:v>Dulwich Hamlet Women</x:v>
      </x:c>
      <x:c r="AH133" s="45" t="n">
        <x:v>15.870598800886214</x:v>
      </x:c>
      <x:c r="AI133" t="n">
        <x:v>45</x:v>
      </x:c>
      <x:c r="AJ133" t="str">
        <x:v>LOW</x:v>
      </x:c>
    </x:row>
    <x:row r="134">
      <x:c r="A134" s="12" t="str">
        <x:v>E01000812</x:v>
      </x:c>
      <x:c r="B134" s="12" t="str">
        <x:v>Bromley 028D</x:v>
      </x:c>
      <x:c r="C134" s="12" t="str">
        <x:v>Bromley</x:v>
      </x:c>
      <x:c r="D134" s="44" t="n">
        <x:v>51.38017642571826</x:v>
      </x:c>
      <x:c r="E134" s="44" t="n">
        <x:v>0.09667025850131156</x:v>
      </x:c>
      <x:c r="F134" s="33" t="n">
        <x:v>674</x:v>
      </x:c>
      <x:c r="G134" s="33" t="n">
        <x:v>193</x:v>
      </x:c>
      <x:c r="H134" s="26" t="n">
        <x:v>0.28635014836795253</x:v>
      </x:c>
      <x:c r="I134" s="12" t="n">
        <x:v>3</x:v>
      </x:c>
      <x:c r="J134" s="12" t="n">
        <x:v>55</x:v>
      </x:c>
      <x:c r="K134" s="12"/>
      <x:c r="L134" s="12"/>
      <x:c r="M134" s="12" t="str">
        <x:f>IF(K134="", "", MAX(0,IF(K134&lt;=20,100,IF(K134&lt;=30,85,IF(K134&lt;=40,70,IF(K134&lt;=50,55,IF(K134&lt;=60,40,20)))))-MIN(L134*5,20)))</x:f>
      </x:c>
      <x:c r="N134" s="12"/>
      <x:c r="O134" s="12"/>
      <x:c r="P134" s="12" t="str">
        <x:f>IF(OR(H134="",J134="",M134=""),"",ROUND(PERCENTRANK.INC($H$2:$H$941,H134)*35+J134*0.35+M134*0.30,0))</x:f>
      </x:c>
      <x:c r="Q134" s="12" t="str">
        <x:f>IF(P134="","",IF(P134&gt;=80,"ATTACK",IF(P134&gt;=65,"GROW",IF(P134&gt;=50,"PARTNER","WATCH"))))</x:f>
      </x:c>
      <x:c r="R134" s="12" t="str">
        <x:f>IF(Q134="","",IF(Q134="ATTACK","Grassroots + family acquisition",IF(Q134="GROW","Test local campaign",IF(Q134="PARTNER","Organisation-first partnership","Low priority / validate"))))</x:f>
      </x:c>
      <x:c r="S134" s="45" t="n">
        <x:v>5.609621650652738</x:v>
      </x:c>
      <x:c r="T134" t="str">
        <x:v>NEAR</x:v>
      </x:c>
      <x:c r="U134" s="32" t="n">
        <x:f>PERCENTRANK.INC($G$2:$G$941,G134)</x:f>
        <x:v>0.333</x:v>
      </x:c>
      <x:c r="V134" s="32" t="n">
        <x:f>PERCENTRANK.INC($H$2:$H$941,H134)</x:f>
        <x:v>0.324</x:v>
      </x:c>
      <x:c r="W134" t="n">
        <x:f>ROUND((U134*55+V134*45)*IF(S134&lt;=5,1,IF(S134&lt;=10,0.95,IF(S134&lt;=20,0.85,0.70))),0)</x:f>
        <x:v>31</x:v>
      </x:c>
      <x:c r="X134" t="n">
        <x:v>42</x:v>
      </x:c>
      <x:c r="Y134" t="str">
        <x:v>WATCH</x:v>
      </x:c>
      <x:c r="Z134" s="12" t="str">
        <x:v>Family + verified grassroots + straight-line geo only; transport not yet routed</x:v>
      </x:c>
      <x:c r="AA134" s="12"/>
      <x:c r="AB134" s="12"/>
      <x:c r="AC134" s="12"/>
      <x:c r="AD134" s="12"/>
      <x:c r="AE134" t="str">
        <x:v>Charlton Athletic Women</x:v>
      </x:c>
      <x:c r="AF134" s="45" t="n">
        <x:v>12.534496333424729</x:v>
      </x:c>
      <x:c r="AG134" t="str">
        <x:v>Dulwich Hamlet Women</x:v>
      </x:c>
      <x:c r="AH134" s="45" t="n">
        <x:v>15.437678743525739</x:v>
      </x:c>
      <x:c r="AI134" t="n">
        <x:v>45</x:v>
      </x:c>
      <x:c r="AJ134" t="str">
        <x:v>LOW</x:v>
      </x:c>
    </x:row>
    <x:row r="135">
      <x:c r="A135" s="12" t="str">
        <x:v>E01000814</x:v>
      </x:c>
      <x:c r="B135" s="12" t="str">
        <x:v>Bromley 028E</x:v>
      </x:c>
      <x:c r="C135" s="12" t="str">
        <x:v>Bromley</x:v>
      </x:c>
      <x:c r="D135" s="44" t="n">
        <x:v>51.37694070588109</x:v>
      </x:c>
      <x:c r="E135" s="44" t="n">
        <x:v>0.08979671716736251</x:v>
      </x:c>
      <x:c r="F135" s="33" t="n">
        <x:v>580</x:v>
      </x:c>
      <x:c r="G135" s="33" t="n">
        <x:v>191</x:v>
      </x:c>
      <x:c r="H135" s="26" t="n">
        <x:v>0.3293103448275862</x:v>
      </x:c>
      <x:c r="I135" s="12" t="n">
        <x:v>3</x:v>
      </x:c>
      <x:c r="J135" s="12" t="n">
        <x:v>55</x:v>
      </x:c>
      <x:c r="K135" s="12"/>
      <x:c r="L135" s="12"/>
      <x:c r="M135" s="12" t="str">
        <x:f>IF(K135="", "", MAX(0,IF(K135&lt;=20,100,IF(K135&lt;=30,85,IF(K135&lt;=40,70,IF(K135&lt;=50,55,IF(K135&lt;=60,40,20)))))-MIN(L135*5,20)))</x:f>
      </x:c>
      <x:c r="N135" s="12"/>
      <x:c r="O135" s="12"/>
      <x:c r="P135" s="12" t="str">
        <x:f>IF(OR(H135="",J135="",M135=""),"",ROUND(PERCENTRANK.INC($H$2:$H$941,H135)*35+J135*0.35+M135*0.30,0))</x:f>
      </x:c>
      <x:c r="Q135" s="12" t="str">
        <x:f>IF(P135="","",IF(P135&gt;=80,"ATTACK",IF(P135&gt;=65,"GROW",IF(P135&gt;=50,"PARTNER","WATCH"))))</x:f>
      </x:c>
      <x:c r="R135" s="12" t="str">
        <x:f>IF(Q135="","",IF(Q135="ATTACK","Grassroots + family acquisition",IF(Q135="GROW","Test local campaign",IF(Q135="PARTNER","Organisation-first partnership","Low priority / validate"))))</x:f>
      </x:c>
      <x:c r="S135" s="45" t="n">
        <x:v>5.240630113545259</x:v>
      </x:c>
      <x:c r="T135" t="str">
        <x:v>NEAR</x:v>
      </x:c>
      <x:c r="U135" s="32" t="n">
        <x:f>PERCENTRANK.INC($G$2:$G$941,G135)</x:f>
        <x:v>0.319</x:v>
      </x:c>
      <x:c r="V135" s="32" t="n">
        <x:f>PERCENTRANK.INC($H$2:$H$941,H135)</x:f>
        <x:v>0.562</x:v>
      </x:c>
      <x:c r="W135" t="n">
        <x:f>ROUND((U135*55+V135*45)*IF(S135&lt;=5,1,IF(S135&lt;=10,0.95,IF(S135&lt;=20,0.85,0.70))),0)</x:f>
        <x:v>41</x:v>
      </x:c>
      <x:c r="X135" t="n">
        <x:v>47</x:v>
      </x:c>
      <x:c r="Y135" t="str">
        <x:v>WATCH</x:v>
      </x:c>
      <x:c r="Z135" s="12" t="str">
        <x:v>Family + verified grassroots + straight-line geo only; transport not yet routed</x:v>
      </x:c>
      <x:c r="AA135" s="12"/>
      <x:c r="AB135" s="12"/>
      <x:c r="AC135" s="12"/>
      <x:c r="AD135" s="12"/>
      <x:c r="AE135" t="str">
        <x:v>Crystal Palace Women</x:v>
      </x:c>
      <x:c r="AF135" s="45" t="n">
        <x:v>12.369469007925591</x:v>
      </x:c>
      <x:c r="AG135" t="str">
        <x:v>Dulwich Hamlet Women</x:v>
      </x:c>
      <x:c r="AH135" s="45" t="n">
        <x:v>15.272226550396843</x:v>
      </x:c>
      <x:c r="AI135" t="n">
        <x:v>45</x:v>
      </x:c>
      <x:c r="AJ135" t="str">
        <x:v>LOW</x:v>
      </x:c>
    </x:row>
    <x:row r="136">
      <x:c r="A136" s="12" t="str">
        <x:v>E01000723</x:v>
      </x:c>
      <x:c r="B136" s="12" t="str">
        <x:v>Bromley 029A</x:v>
      </x:c>
      <x:c r="C136" s="12" t="str">
        <x:v>Bromley</x:v>
      </x:c>
      <x:c r="D136" s="44" t="n">
        <x:v>51.38058675457167</x:v>
      </x:c>
      <x:c r="E136" s="44" t="n">
        <x:v>0.1214110772248891</x:v>
      </x:c>
      <x:c r="F136" s="33" t="n">
        <x:v>551</x:v>
      </x:c>
      <x:c r="G136" s="33" t="n">
        <x:v>118</x:v>
      </x:c>
      <x:c r="H136" s="26" t="n">
        <x:v>0.21415607985480944</x:v>
      </x:c>
      <x:c r="I136" s="12" t="n">
        <x:v>2</x:v>
      </x:c>
      <x:c r="J136" s="12" t="n">
        <x:v>39</x:v>
      </x:c>
      <x:c r="K136" s="12"/>
      <x:c r="L136" s="12"/>
      <x:c r="M136" s="12" t="str">
        <x:f>IF(K136="", "", MAX(0,IF(K136&lt;=20,100,IF(K136&lt;=30,85,IF(K136&lt;=40,70,IF(K136&lt;=50,55,IF(K136&lt;=60,40,20)))))-MIN(L136*5,20)))</x:f>
      </x:c>
      <x:c r="N136" s="12"/>
      <x:c r="O136" s="12"/>
      <x:c r="P136" s="12" t="str">
        <x:f>IF(OR(H136="",J136="",M136=""),"",ROUND(PERCENTRANK.INC($H$2:$H$941,H136)*35+J136*0.35+M136*0.30,0))</x:f>
      </x:c>
      <x:c r="Q136" s="12" t="str">
        <x:f>IF(P136="","",IF(P136&gt;=80,"ATTACK",IF(P136&gt;=65,"GROW",IF(P136&gt;=50,"PARTNER","WATCH"))))</x:f>
      </x:c>
      <x:c r="R136" s="12" t="str">
        <x:f>IF(Q136="","",IF(Q136="ATTACK","Grassroots + family acquisition",IF(Q136="GROW","Test local campaign",IF(Q136="PARTNER","Organisation-first partnership","Low priority / validate"))))</x:f>
      </x:c>
      <x:c r="S136" s="45" t="n">
        <x:v>7.288499321404158</x:v>
      </x:c>
      <x:c r="T136" t="str">
        <x:v>NEAR</x:v>
      </x:c>
      <x:c r="U136" s="32" t="n">
        <x:f>PERCENTRANK.INC($G$2:$G$941,G136)</x:f>
        <x:v>0.027</x:v>
      </x:c>
      <x:c r="V136" s="32" t="n">
        <x:f>PERCENTRANK.INC($H$2:$H$941,H136)</x:f>
        <x:v>0.09</x:v>
      </x:c>
      <x:c r="W136" t="n">
        <x:f>ROUND((U136*55+V136*45)*IF(S136&lt;=5,1,IF(S136&lt;=10,0.95,IF(S136&lt;=20,0.85,0.70))),0)</x:f>
        <x:v>5</x:v>
      </x:c>
      <x:c r="X136" t="n">
        <x:v>20</x:v>
      </x:c>
      <x:c r="Y136" t="str">
        <x:v>WATCH</x:v>
      </x:c>
      <x:c r="Z136" s="12" t="str">
        <x:v>Family + verified grassroots + straight-line geo only; transport not yet routed</x:v>
      </x:c>
      <x:c r="AA136" s="12"/>
      <x:c r="AB136" s="12"/>
      <x:c r="AC136" s="12"/>
      <x:c r="AD136" s="12"/>
      <x:c r="AE136" t="str">
        <x:v>Charlton Athletic Women</x:v>
      </x:c>
      <x:c r="AF136" s="45" t="n">
        <x:v>13.166996429668426</x:v>
      </x:c>
      <x:c r="AG136" t="str">
        <x:v>Dulwich Hamlet Women</x:v>
      </x:c>
      <x:c r="AH136" s="45" t="n">
        <x:v>16.835121940335746</x:v>
      </x:c>
      <x:c r="AI136" t="n">
        <x:v>45</x:v>
      </x:c>
      <x:c r="AJ136" t="str">
        <x:v>LOW</x:v>
      </x:c>
    </x:row>
    <x:row r="137">
      <x:c r="A137" s="12" t="str">
        <x:v>E01000726</x:v>
      </x:c>
      <x:c r="B137" s="12" t="str">
        <x:v>Bromley 029B</x:v>
      </x:c>
      <x:c r="C137" s="12" t="str">
        <x:v>Bromley</x:v>
      </x:c>
      <x:c r="D137" s="44" t="n">
        <x:v>51.383635931080676</x:v>
      </x:c>
      <x:c r="E137" s="44" t="n">
        <x:v>0.11570810650311762</x:v>
      </x:c>
      <x:c r="F137" s="33" t="n">
        <x:v>581</x:v>
      </x:c>
      <x:c r="G137" s="33" t="n">
        <x:v>140</x:v>
      </x:c>
      <x:c r="H137" s="26" t="n">
        <x:v>0.24096385542168675</x:v>
      </x:c>
      <x:c r="I137" s="12" t="n">
        <x:v>2</x:v>
      </x:c>
      <x:c r="J137" s="12" t="n">
        <x:v>39</x:v>
      </x:c>
      <x:c r="K137" s="12"/>
      <x:c r="L137" s="12"/>
      <x:c r="M137" s="12" t="str">
        <x:f>IF(K137="", "", MAX(0,IF(K137&lt;=20,100,IF(K137&lt;=30,85,IF(K137&lt;=40,70,IF(K137&lt;=50,55,IF(K137&lt;=60,40,20)))))-MIN(L137*5,20)))</x:f>
      </x:c>
      <x:c r="N137" s="12"/>
      <x:c r="O137" s="12"/>
      <x:c r="P137" s="12" t="str">
        <x:f>IF(OR(H137="",J137="",M137=""),"",ROUND(PERCENTRANK.INC($H$2:$H$941,H137)*35+J137*0.35+M137*0.30,0))</x:f>
      </x:c>
      <x:c r="Q137" s="12" t="str">
        <x:f>IF(P137="","",IF(P137&gt;=80,"ATTACK",IF(P137&gt;=65,"GROW",IF(P137&gt;=50,"PARTNER","WATCH"))))</x:f>
      </x:c>
      <x:c r="R137" s="12" t="str">
        <x:f>IF(Q137="","",IF(Q137="ATTACK","Grassroots + family acquisition",IF(Q137="GROW","Test local campaign",IF(Q137="PARTNER","Organisation-first partnership","Low priority / validate"))))</x:f>
      </x:c>
      <x:c r="S137" s="45" t="n">
        <x:v>6.849154348553996</x:v>
      </x:c>
      <x:c r="T137" t="str">
        <x:v>NEAR</x:v>
      </x:c>
      <x:c r="U137" s="32" t="n">
        <x:f>PERCENTRANK.INC($G$2:$G$941,G137)</x:f>
        <x:v>0.066</x:v>
      </x:c>
      <x:c r="V137" s="32" t="n">
        <x:f>PERCENTRANK.INC($H$2:$H$941,H137)</x:f>
        <x:v>0.158</x:v>
      </x:c>
      <x:c r="W137" t="n">
        <x:f>ROUND((U137*55+V137*45)*IF(S137&lt;=5,1,IF(S137&lt;=10,0.95,IF(S137&lt;=20,0.85,0.70))),0)</x:f>
        <x:v>10</x:v>
      </x:c>
      <x:c r="X137" t="n">
        <x:v>23</x:v>
      </x:c>
      <x:c r="Y137" t="str">
        <x:v>WATCH</x:v>
      </x:c>
      <x:c r="Z137" s="12" t="str">
        <x:v>Family + verified grassroots + straight-line geo only; transport not yet routed</x:v>
      </x:c>
      <x:c r="AA137" s="12"/>
      <x:c r="AB137" s="12"/>
      <x:c r="AC137" s="12"/>
      <x:c r="AD137" s="12"/>
      <x:c r="AE137" t="str">
        <x:v>Charlton Athletic Women</x:v>
      </x:c>
      <x:c r="AF137" s="45" t="n">
        <x:v>12.688074655554013</x:v>
      </x:c>
      <x:c r="AG137" t="str">
        <x:v>Dulwich Hamlet Women</x:v>
      </x:c>
      <x:c r="AH137" s="45" t="n">
        <x:v>16.319576912269365</x:v>
      </x:c>
      <x:c r="AI137" t="n">
        <x:v>45</x:v>
      </x:c>
      <x:c r="AJ137" t="str">
        <x:v>LOW</x:v>
      </x:c>
    </x:row>
    <x:row r="138">
      <x:c r="A138" s="12" t="str">
        <x:v>E01000787</x:v>
      </x:c>
      <x:c r="B138" s="12" t="str">
        <x:v>Bromley 029C</x:v>
      </x:c>
      <x:c r="C138" s="12" t="str">
        <x:v>Bromley</x:v>
      </x:c>
      <x:c r="D138" s="44" t="n">
        <x:v>51.37955464954455</x:v>
      </x:c>
      <x:c r="E138" s="44" t="n">
        <x:v>0.11445261363006645</x:v>
      </x:c>
      <x:c r="F138" s="33" t="n">
        <x:v>671</x:v>
      </x:c>
      <x:c r="G138" s="33" t="n">
        <x:v>159</x:v>
      </x:c>
      <x:c r="H138" s="26" t="n">
        <x:v>0.23695976154992549</x:v>
      </x:c>
      <x:c r="I138" s="12" t="n">
        <x:v>2</x:v>
      </x:c>
      <x:c r="J138" s="12" t="n">
        <x:v>39</x:v>
      </x:c>
      <x:c r="K138" s="12"/>
      <x:c r="L138" s="12"/>
      <x:c r="M138" s="12" t="str">
        <x:f>IF(K138="", "", MAX(0,IF(K138&lt;=20,100,IF(K138&lt;=30,85,IF(K138&lt;=40,70,IF(K138&lt;=50,55,IF(K138&lt;=60,40,20)))))-MIN(L138*5,20)))</x:f>
      </x:c>
      <x:c r="N138" s="12"/>
      <x:c r="O138" s="12"/>
      <x:c r="P138" s="12" t="str">
        <x:f>IF(OR(H138="",J138="",M138=""),"",ROUND(PERCENTRANK.INC($H$2:$H$941,H138)*35+J138*0.35+M138*0.30,0))</x:f>
      </x:c>
      <x:c r="Q138" s="12" t="str">
        <x:f>IF(P138="","",IF(P138&gt;=80,"ATTACK",IF(P138&gt;=65,"GROW",IF(P138&gt;=50,"PARTNER","WATCH"))))</x:f>
      </x:c>
      <x:c r="R138" s="12" t="str">
        <x:f>IF(Q138="","",IF(Q138="ATTACK","Grassroots + family acquisition",IF(Q138="GROW","Test local campaign",IF(Q138="PARTNER","Organisation-first partnership","Low priority / validate"))))</x:f>
      </x:c>
      <x:c r="S138" s="45" t="n">
        <x:v>6.832656477510699</x:v>
      </x:c>
      <x:c r="T138" t="str">
        <x:v>NEAR</x:v>
      </x:c>
      <x:c r="U138" s="32" t="n">
        <x:f>PERCENTRANK.INC($G$2:$G$941,G138)</x:f>
        <x:v>0.123</x:v>
      </x:c>
      <x:c r="V138" s="32" t="n">
        <x:f>PERCENTRANK.INC($H$2:$H$941,H138)</x:f>
        <x:v>0.146</x:v>
      </x:c>
      <x:c r="W138" t="n">
        <x:f>ROUND((U138*55+V138*45)*IF(S138&lt;=5,1,IF(S138&lt;=10,0.95,IF(S138&lt;=20,0.85,0.70))),0)</x:f>
        <x:v>13</x:v>
      </x:c>
      <x:c r="X138" t="n">
        <x:v>25</x:v>
      </x:c>
      <x:c r="Y138" t="str">
        <x:v>WATCH</x:v>
      </x:c>
      <x:c r="Z138" s="12" t="str">
        <x:v>Family + verified grassroots + straight-line geo only; transport not yet routed</x:v>
      </x:c>
      <x:c r="AA138" s="12"/>
      <x:c r="AB138" s="12"/>
      <x:c r="AC138" s="12"/>
      <x:c r="AD138" s="12"/>
      <x:c r="AE138" t="str">
        <x:v>Charlton Athletic Women</x:v>
      </x:c>
      <x:c r="AF138" s="45" t="n">
        <x:v>13.06196425556188</x:v>
      </x:c>
      <x:c r="AG138" t="str">
        <x:v>Dulwich Hamlet Women</x:v>
      </x:c>
      <x:c r="AH138" s="45" t="n">
        <x:v>16.49207580811832</x:v>
      </x:c>
      <x:c r="AI138" t="n">
        <x:v>45</x:v>
      </x:c>
      <x:c r="AJ138" t="str">
        <x:v>LOW</x:v>
      </x:c>
    </x:row>
    <x:row r="139">
      <x:c r="A139" s="12" t="str">
        <x:v>E01000788</x:v>
      </x:c>
      <x:c r="B139" s="12" t="str">
        <x:v>Bromley 029D</x:v>
      </x:c>
      <x:c r="C139" s="12" t="str">
        <x:v>Bromley</x:v>
      </x:c>
      <x:c r="D139" s="44" t="n">
        <x:v>51.375228161130586</x:v>
      </x:c>
      <x:c r="E139" s="44" t="n">
        <x:v>0.10445222515418193</x:v>
      </x:c>
      <x:c r="F139" s="33" t="n">
        <x:v>612</x:v>
      </x:c>
      <x:c r="G139" s="33" t="n">
        <x:v>206</x:v>
      </x:c>
      <x:c r="H139" s="26" t="n">
        <x:v>0.3366013071895425</x:v>
      </x:c>
      <x:c r="I139" s="12" t="n">
        <x:v>2</x:v>
      </x:c>
      <x:c r="J139" s="12" t="n">
        <x:v>46</x:v>
      </x:c>
      <x:c r="K139" s="12"/>
      <x:c r="L139" s="12"/>
      <x:c r="M139" s="12" t="str">
        <x:f>IF(K139="", "", MAX(0,IF(K139&lt;=20,100,IF(K139&lt;=30,85,IF(K139&lt;=40,70,IF(K139&lt;=50,55,IF(K139&lt;=60,40,20)))))-MIN(L139*5,20)))</x:f>
      </x:c>
      <x:c r="N139" s="12"/>
      <x:c r="O139" s="12"/>
      <x:c r="P139" s="12" t="str">
        <x:f>IF(OR(H139="",J139="",M139=""),"",ROUND(PERCENTRANK.INC($H$2:$H$941,H139)*35+J139*0.35+M139*0.30,0))</x:f>
      </x:c>
      <x:c r="Q139" s="12" t="str">
        <x:f>IF(P139="","",IF(P139&gt;=80,"ATTACK",IF(P139&gt;=65,"GROW",IF(P139&gt;=50,"PARTNER","WATCH"))))</x:f>
      </x:c>
      <x:c r="R139" s="12" t="str">
        <x:f>IF(Q139="","",IF(Q139="ATTACK","Grassroots + family acquisition",IF(Q139="GROW","Test local campaign",IF(Q139="PARTNER","Organisation-first partnership","Low priority / validate"))))</x:f>
      </x:c>
      <x:c r="S139" s="45" t="n">
        <x:v>6.269497006995517</x:v>
      </x:c>
      <x:c r="T139" t="str">
        <x:v>NEAR</x:v>
      </x:c>
      <x:c r="U139" s="32" t="n">
        <x:f>PERCENTRANK.INC($G$2:$G$941,G139)</x:f>
        <x:v>0.437</x:v>
      </x:c>
      <x:c r="V139" s="32" t="n">
        <x:f>PERCENTRANK.INC($H$2:$H$941,H139)</x:f>
        <x:v>0.608</x:v>
      </x:c>
      <x:c r="W139" t="n">
        <x:f>ROUND((U139*55+V139*45)*IF(S139&lt;=5,1,IF(S139&lt;=10,0.95,IF(S139&lt;=20,0.85,0.70))),0)</x:f>
        <x:v>49</x:v>
      </x:c>
      <x:c r="X139" t="n">
        <x:v>48</x:v>
      </x:c>
      <x:c r="Y139" t="str">
        <x:v>WATCH</x:v>
      </x:c>
      <x:c r="Z139" s="12" t="str">
        <x:v>Family + verified grassroots + straight-line geo only; transport not yet routed</x:v>
      </x:c>
      <x:c r="AA139" s="12"/>
      <x:c r="AB139" s="12"/>
      <x:c r="AC139" s="12"/>
      <x:c r="AD139" s="12"/>
      <x:c r="AE139" t="str">
        <x:v>Charlton Athletic Women</x:v>
      </x:c>
      <x:c r="AF139" s="45" t="n">
        <x:v>13.237605790222016</x:v>
      </x:c>
      <x:c r="AG139" t="str">
        <x:v>Dulwich Hamlet Women</x:v>
      </x:c>
      <x:c r="AH139" s="45" t="n">
        <x:v>16.198212630735174</x:v>
      </x:c>
      <x:c r="AI139" t="n">
        <x:v>45</x:v>
      </x:c>
      <x:c r="AJ139" t="str">
        <x:v>LOW</x:v>
      </x:c>
    </x:row>
    <x:row r="140">
      <x:c r="A140" s="12" t="str">
        <x:v>E01000791</x:v>
      </x:c>
      <x:c r="B140" s="12" t="str">
        <x:v>Bromley 029E</x:v>
      </x:c>
      <x:c r="C140" s="12" t="str">
        <x:v>Bromley</x:v>
      </x:c>
      <x:c r="D140" s="44" t="n">
        <x:v>51.37514010389708</x:v>
      </x:c>
      <x:c r="E140" s="44" t="n">
        <x:v>0.10943560798693261</x:v>
      </x:c>
      <x:c r="F140" s="33" t="n">
        <x:v>622</x:v>
      </x:c>
      <x:c r="G140" s="33" t="n">
        <x:v>162</x:v>
      </x:c>
      <x:c r="H140" s="26" t="n">
        <x:v>0.2604501607717042</x:v>
      </x:c>
      <x:c r="I140" s="12" t="n">
        <x:v>2</x:v>
      </x:c>
      <x:c r="J140" s="12" t="n">
        <x:v>39</x:v>
      </x:c>
      <x:c r="K140" s="12"/>
      <x:c r="L140" s="12"/>
      <x:c r="M140" s="12" t="str">
        <x:f>IF(K140="", "", MAX(0,IF(K140&lt;=20,100,IF(K140&lt;=30,85,IF(K140&lt;=40,70,IF(K140&lt;=50,55,IF(K140&lt;=60,40,20)))))-MIN(L140*5,20)))</x:f>
      </x:c>
      <x:c r="N140" s="12"/>
      <x:c r="O140" s="12"/>
      <x:c r="P140" s="12" t="str">
        <x:f>IF(OR(H140="",J140="",M140=""),"",ROUND(PERCENTRANK.INC($H$2:$H$941,H140)*35+J140*0.35+M140*0.30,0))</x:f>
      </x:c>
      <x:c r="Q140" s="12" t="str">
        <x:f>IF(P140="","",IF(P140&gt;=80,"ATTACK",IF(P140&gt;=65,"GROW",IF(P140&gt;=50,"PARTNER","WATCH"))))</x:f>
      </x:c>
      <x:c r="R140" s="12" t="str">
        <x:f>IF(Q140="","",IF(Q140="ATTACK","Grassroots + family acquisition",IF(Q140="GROW","Test local campaign",IF(Q140="PARTNER","Organisation-first partnership","Low priority / validate"))))</x:f>
      </x:c>
      <x:c r="S140" s="45" t="n">
        <x:v>6.60487440084314</x:v>
      </x:c>
      <x:c r="T140" t="str">
        <x:v>NEAR</x:v>
      </x:c>
      <x:c r="U140" s="32" t="n">
        <x:f>PERCENTRANK.INC($G$2:$G$941,G140)</x:f>
        <x:v>0.134</x:v>
      </x:c>
      <x:c r="V140" s="32" t="n">
        <x:f>PERCENTRANK.INC($H$2:$H$941,H140)</x:f>
        <x:v>0.22</x:v>
      </x:c>
      <x:c r="W140" t="n">
        <x:f>ROUND((U140*55+V140*45)*IF(S140&lt;=5,1,IF(S140&lt;=10,0.95,IF(S140&lt;=20,0.85,0.70))),0)</x:f>
        <x:v>16</x:v>
      </x:c>
      <x:c r="X140" t="n">
        <x:v>27</x:v>
      </x:c>
      <x:c r="Y140" t="str">
        <x:v>WATCH</x:v>
      </x:c>
      <x:c r="Z140" s="12" t="str">
        <x:v>Family + verified grassroots + straight-line geo only; transport not yet routed</x:v>
      </x:c>
      <x:c r="AA140" s="12"/>
      <x:c r="AB140" s="12"/>
      <x:c r="AC140" s="12"/>
      <x:c r="AD140" s="12"/>
      <x:c r="AE140" t="str">
        <x:v>Charlton Athletic Women</x:v>
      </x:c>
      <x:c r="AF140" s="45" t="n">
        <x:v>13.374135569619787</x:v>
      </x:c>
      <x:c r="AG140" t="str">
        <x:v>Dulwich Hamlet Women</x:v>
      </x:c>
      <x:c r="AH140" s="45" t="n">
        <x:v>16.483943223569558</x:v>
      </x:c>
      <x:c r="AI140" t="n">
        <x:v>45</x:v>
      </x:c>
      <x:c r="AJ140" t="str">
        <x:v>LOW</x:v>
      </x:c>
    </x:row>
    <x:row r="141">
      <x:c r="A141" s="12" t="str">
        <x:v>E01000832</x:v>
      </x:c>
      <x:c r="B141" s="12" t="str">
        <x:v>Bromley 030A</x:v>
      </x:c>
      <x:c r="C141" s="12" t="str">
        <x:v>Bromley</x:v>
      </x:c>
      <x:c r="D141" s="44" t="n">
        <x:v>51.38016770024149</x:v>
      </x:c>
      <x:c r="E141" s="44" t="n">
        <x:v>-0.010530038998127877</x:v>
      </x:c>
      <x:c r="F141" s="33" t="n">
        <x:v>585</x:v>
      </x:c>
      <x:c r="G141" s="33" t="n">
        <x:v>193</x:v>
      </x:c>
      <x:c r="H141" s="26" t="n">
        <x:v>0.3299145299145299</x:v>
      </x:c>
      <x:c r="I141" s="12" t="n">
        <x:v>3</x:v>
      </x:c>
      <x:c r="J141" s="12" t="n">
        <x:v>78</x:v>
      </x:c>
      <x:c r="K141" s="12"/>
      <x:c r="L141" s="12"/>
      <x:c r="M141" s="12" t="str">
        <x:f>IF(K141="", "", MAX(0,IF(K141&lt;=20,100,IF(K141&lt;=30,85,IF(K141&lt;=40,70,IF(K141&lt;=50,55,IF(K141&lt;=60,40,20)))))-MIN(L141*5,20)))</x:f>
      </x:c>
      <x:c r="N141" s="12"/>
      <x:c r="O141" s="12"/>
      <x:c r="P141" s="12" t="str">
        <x:f>IF(OR(H141="",J141="",M141=""),"",ROUND(PERCENTRANK.INC($H$2:$H$941,H141)*35+J141*0.35+M141*0.30,0))</x:f>
      </x:c>
      <x:c r="Q141" s="12" t="str">
        <x:f>IF(P141="","",IF(P141&gt;=80,"ATTACK",IF(P141&gt;=65,"GROW",IF(P141&gt;=50,"PARTNER","WATCH"))))</x:f>
      </x:c>
      <x:c r="R141" s="12" t="str">
        <x:f>IF(Q141="","",IF(Q141="ATTACK","Grassroots + family acquisition",IF(Q141="GROW","Test local campaign",IF(Q141="PARTNER","Organisation-first partnership","Low priority / validate"))))</x:f>
      </x:c>
      <x:c r="S141" s="45" t="n">
        <x:v>2.2993346161041543</x:v>
      </x:c>
      <x:c r="T141" t="str">
        <x:v>CORE</x:v>
      </x:c>
      <x:c r="U141" s="32" t="n">
        <x:f>PERCENTRANK.INC($G$2:$G$941,G141)</x:f>
        <x:v>0.333</x:v>
      </x:c>
      <x:c r="V141" s="32" t="n">
        <x:f>PERCENTRANK.INC($H$2:$H$941,H141)</x:f>
        <x:v>0.565</x:v>
      </x:c>
      <x:c r="W141" t="n">
        <x:f>ROUND((U141*55+V141*45)*IF(S141&lt;=5,1,IF(S141&lt;=10,0.95,IF(S141&lt;=20,0.85,0.70))),0)</x:f>
        <x:v>44</x:v>
      </x:c>
      <x:c r="X141" t="n">
        <x:v>59</x:v>
      </x:c>
      <x:c r="Y141" t="str">
        <x:v>PARTNER</x:v>
      </x:c>
      <x:c r="Z141" s="12" t="str">
        <x:v>Family + verified grassroots + straight-line geo only; transport not yet routed</x:v>
      </x:c>
      <x:c r="AA141" s="12"/>
      <x:c r="AB141" s="12"/>
      <x:c r="AC141" s="12"/>
      <x:c r="AD141" s="12"/>
      <x:c r="AE141" t="str">
        <x:v>Crystal Palace Women</x:v>
      </x:c>
      <x:c r="AF141" s="45" t="n">
        <x:v>5.555682006901301</x:v>
      </x:c>
      <x:c r="AG141" t="str">
        <x:v>Dulwich Hamlet Women</x:v>
      </x:c>
      <x:c r="AH141" s="45" t="n">
        <x:v>10.361819502199026</x:v>
      </x:c>
      <x:c r="AI141" t="n">
        <x:v>76</x:v>
      </x:c>
      <x:c r="AJ141" t="str">
        <x:v>HIGH</x:v>
      </x:c>
    </x:row>
    <x:row r="142">
      <x:c r="A142" s="12" t="str">
        <x:v>E01000835</x:v>
      </x:c>
      <x:c r="B142" s="12" t="str">
        <x:v>Bromley 030B</x:v>
      </x:c>
      <x:c r="C142" s="12" t="str">
        <x:v>Bromley</x:v>
      </x:c>
      <x:c r="D142" s="44" t="n">
        <x:v>51.37770302418995</x:v>
      </x:c>
      <x:c r="E142" s="44" t="n">
        <x:v>-0.018617699981863488</x:v>
      </x:c>
      <x:c r="F142" s="33" t="n">
        <x:v>698</x:v>
      </x:c>
      <x:c r="G142" s="33" t="n">
        <x:v>242</x:v>
      </x:c>
      <x:c r="H142" s="26" t="n">
        <x:v>0.3467048710601719</x:v>
      </x:c>
      <x:c r="I142" s="12" t="n">
        <x:v>4</x:v>
      </x:c>
      <x:c r="J142" s="12" t="n">
        <x:v>85</x:v>
      </x:c>
      <x:c r="K142" s="12"/>
      <x:c r="L142" s="12"/>
      <x:c r="M142" s="12" t="str">
        <x:f>IF(K142="", "", MAX(0,IF(K142&lt;=20,100,IF(K142&lt;=30,85,IF(K142&lt;=40,70,IF(K142&lt;=50,55,IF(K142&lt;=60,40,20)))))-MIN(L142*5,20)))</x:f>
      </x:c>
      <x:c r="N142" s="12"/>
      <x:c r="O142" s="12"/>
      <x:c r="P142" s="12" t="str">
        <x:f>IF(OR(H142="",J142="",M142=""),"",ROUND(PERCENTRANK.INC($H$2:$H$941,H142)*35+J142*0.35+M142*0.30,0))</x:f>
      </x:c>
      <x:c r="Q142" s="12" t="str">
        <x:f>IF(P142="","",IF(P142&gt;=80,"ATTACK",IF(P142&gt;=65,"GROW",IF(P142&gt;=50,"PARTNER","WATCH"))))</x:f>
      </x:c>
      <x:c r="R142" s="12" t="str">
        <x:f>IF(Q142="","",IF(Q142="ATTACK","Grassroots + family acquisition",IF(Q142="GROW","Test local campaign",IF(Q142="PARTNER","Organisation-first partnership","Low priority / validate"))))</x:f>
      </x:c>
      <x:c r="S142" s="45" t="n">
        <x:v>2.921697849725464</x:v>
      </x:c>
      <x:c r="T142" t="str">
        <x:v>CORE</x:v>
      </x:c>
      <x:c r="U142" s="32" t="n">
        <x:f>PERCENTRANK.INC($G$2:$G$941,G142)</x:f>
        <x:v>0.725</x:v>
      </x:c>
      <x:c r="V142" s="32" t="n">
        <x:f>PERCENTRANK.INC($H$2:$H$941,H142)</x:f>
        <x:v>0.665</x:v>
      </x:c>
      <x:c r="W142" t="n">
        <x:f>ROUND((U142*55+V142*45)*IF(S142&lt;=5,1,IF(S142&lt;=10,0.95,IF(S142&lt;=20,0.85,0.70))),0)</x:f>
        <x:v>70</x:v>
      </x:c>
      <x:c r="X142" t="n">
        <x:v>77</x:v>
      </x:c>
      <x:c r="Y142" t="str">
        <x:v>GROW</x:v>
      </x:c>
      <x:c r="Z142" s="12" t="str">
        <x:v>Family + verified grassroots + straight-line geo only; transport not yet routed</x:v>
      </x:c>
      <x:c r="AA142" s="12"/>
      <x:c r="AB142" s="12"/>
      <x:c r="AC142" s="12"/>
      <x:c r="AD142" s="12"/>
      <x:c r="AE142" t="str">
        <x:v>Crystal Palace Women</x:v>
      </x:c>
      <x:c r="AF142" s="45" t="n">
        <x:v>5.152596337849352</x:v>
      </x:c>
      <x:c r="AG142" t="str">
        <x:v>Dulwich Hamlet Women</x:v>
      </x:c>
      <x:c r="AH142" s="45" t="n">
        <x:v>10.34367708836851</x:v>
      </x:c>
      <x:c r="AI142" t="n">
        <x:v>76</x:v>
      </x:c>
      <x:c r="AJ142" t="str">
        <x:v>HIGH</x:v>
      </x:c>
    </x:row>
    <x:row r="143">
      <x:c r="A143" s="12" t="str">
        <x:v>E01000836</x:v>
      </x:c>
      <x:c r="B143" s="12" t="str">
        <x:v>Bromley 030C</x:v>
      </x:c>
      <x:c r="C143" s="12" t="str">
        <x:v>Bromley</x:v>
      </x:c>
      <x:c r="D143" s="44" t="n">
        <x:v>51.380375235068854</x:v>
      </x:c>
      <x:c r="E143" s="44" t="n">
        <x:v>-0.00524165525466038</x:v>
      </x:c>
      <x:c r="F143" s="33" t="n">
        <x:v>494</x:v>
      </x:c>
      <x:c r="G143" s="33" t="n">
        <x:v>198</x:v>
      </x:c>
      <x:c r="H143" s="26" t="n">
        <x:v>0.4008097165991903</x:v>
      </x:c>
      <x:c r="I143" s="12" t="n">
        <x:v>3</x:v>
      </x:c>
      <x:c r="J143" s="12" t="n">
        <x:v>86</x:v>
      </x:c>
      <x:c r="K143" s="12"/>
      <x:c r="L143" s="12"/>
      <x:c r="M143" s="12" t="str">
        <x:f>IF(K143="", "", MAX(0,IF(K143&lt;=20,100,IF(K143&lt;=30,85,IF(K143&lt;=40,70,IF(K143&lt;=50,55,IF(K143&lt;=60,40,20)))))-MIN(L143*5,20)))</x:f>
      </x:c>
      <x:c r="N143" s="12"/>
      <x:c r="O143" s="12"/>
      <x:c r="P143" s="12" t="str">
        <x:f>IF(OR(H143="",J143="",M143=""),"",ROUND(PERCENTRANK.INC($H$2:$H$941,H143)*35+J143*0.35+M143*0.30,0))</x:f>
      </x:c>
      <x:c r="Q143" s="12" t="str">
        <x:f>IF(P143="","",IF(P143&gt;=80,"ATTACK",IF(P143&gt;=65,"GROW",IF(P143&gt;=50,"PARTNER","WATCH"))))</x:f>
      </x:c>
      <x:c r="R143" s="12" t="str">
        <x:f>IF(Q143="","",IF(Q143="ATTACK","Grassroots + family acquisition",IF(Q143="GROW","Test local campaign",IF(Q143="PARTNER","Organisation-first partnership","Low priority / validate"))))</x:f>
      </x:c>
      <x:c r="S143" s="45" t="n">
        <x:v>1.9819880816750692</x:v>
      </x:c>
      <x:c r="T143" t="str">
        <x:v>CORE</x:v>
      </x:c>
      <x:c r="U143" s="32" t="n">
        <x:f>PERCENTRANK.INC($G$2:$G$941,G143)</x:f>
        <x:v>0.365</x:v>
      </x:c>
      <x:c r="V143" s="32" t="n">
        <x:f>PERCENTRANK.INC($H$2:$H$941,H143)</x:f>
        <x:v>0.907</x:v>
      </x:c>
      <x:c r="W143" t="n">
        <x:f>ROUND((U143*55+V143*45)*IF(S143&lt;=5,1,IF(S143&lt;=10,0.95,IF(S143&lt;=20,0.85,0.70))),0)</x:f>
        <x:v>61</x:v>
      </x:c>
      <x:c r="X143" t="n">
        <x:v>73</x:v>
      </x:c>
      <x:c r="Y143" t="str">
        <x:v>GROW</x:v>
      </x:c>
      <x:c r="Z143" s="12" t="str">
        <x:v>Family + verified grassroots + straight-line geo only; transport not yet routed</x:v>
      </x:c>
      <x:c r="AA143" s="12"/>
      <x:c r="AB143" s="12"/>
      <x:c r="AC143" s="12"/>
      <x:c r="AD143" s="12"/>
      <x:c r="AE143" t="str">
        <x:v>Crystal Palace Women</x:v>
      </x:c>
      <x:c r="AF143" s="45" t="n">
        <x:v>5.891325089777773</x:v>
      </x:c>
      <x:c r="AG143" t="str">
        <x:v>Dulwich Hamlet Women</x:v>
      </x:c>
      <x:c r="AH143" s="45" t="n">
        <x:v>10.527153802720564</x:v>
      </x:c>
      <x:c r="AI143" t="n">
        <x:v>76</x:v>
      </x:c>
      <x:c r="AJ143" t="str">
        <x:v>HIGH</x:v>
      </x:c>
    </x:row>
    <x:row r="144">
      <x:c r="A144" s="12" t="str">
        <x:v>E01000837</x:v>
      </x:c>
      <x:c r="B144" s="12" t="str">
        <x:v>Bromley 030D</x:v>
      </x:c>
      <x:c r="C144" s="12" t="str">
        <x:v>Bromley</x:v>
      </x:c>
      <x:c r="D144" s="44" t="n">
        <x:v>51.37913219087773</x:v>
      </x:c>
      <x:c r="E144" s="44" t="n">
        <x:v>-0.02339091724581485</x:v>
      </x:c>
      <x:c r="F144" s="33" t="n">
        <x:v>651</x:v>
      </x:c>
      <x:c r="G144" s="33" t="n">
        <x:v>211</x:v>
      </x:c>
      <x:c r="H144" s="26" t="n">
        <x:v>0.3241167434715822</x:v>
      </x:c>
      <x:c r="I144" s="12" t="n">
        <x:v>4</x:v>
      </x:c>
      <x:c r="J144" s="12" t="n">
        <x:v>85</x:v>
      </x:c>
      <x:c r="K144" s="12"/>
      <x:c r="L144" s="12"/>
      <x:c r="M144" s="12" t="str">
        <x:f>IF(K144="", "", MAX(0,IF(K144&lt;=20,100,IF(K144&lt;=30,85,IF(K144&lt;=40,70,IF(K144&lt;=50,55,IF(K144&lt;=60,40,20)))))-MIN(L144*5,20)))</x:f>
      </x:c>
      <x:c r="N144" s="12"/>
      <x:c r="O144" s="12"/>
      <x:c r="P144" s="12" t="str">
        <x:f>IF(OR(H144="",J144="",M144=""),"",ROUND(PERCENTRANK.INC($H$2:$H$941,H144)*35+J144*0.35+M144*0.30,0))</x:f>
      </x:c>
      <x:c r="Q144" s="12" t="str">
        <x:f>IF(P144="","",IF(P144&gt;=80,"ATTACK",IF(P144&gt;=65,"GROW",IF(P144&gt;=50,"PARTNER","WATCH"))))</x:f>
      </x:c>
      <x:c r="R144" s="12" t="str">
        <x:f>IF(Q144="","",IF(Q144="ATTACK","Grassroots + family acquisition",IF(Q144="GROW","Test local campaign",IF(Q144="PARTNER","Organisation-first partnership","Low priority / validate"))))</x:f>
      </x:c>
      <x:c r="S144" s="45" t="n">
        <x:v>3.1419415862189264</x:v>
      </x:c>
      <x:c r="T144" t="str">
        <x:v>CORE</x:v>
      </x:c>
      <x:c r="U144" s="32" t="n">
        <x:f>PERCENTRANK.INC($G$2:$G$941,G144)</x:f>
        <x:v>0.482</x:v>
      </x:c>
      <x:c r="V144" s="32" t="n">
        <x:f>PERCENTRANK.INC($H$2:$H$941,H144)</x:f>
        <x:v>0.536</x:v>
      </x:c>
      <x:c r="W144" t="n">
        <x:f>ROUND((U144*55+V144*45)*IF(S144&lt;=5,1,IF(S144&lt;=10,0.95,IF(S144&lt;=20,0.85,0.70))),0)</x:f>
        <x:v>51</x:v>
      </x:c>
      <x:c r="X144" t="n">
        <x:v>66</x:v>
      </x:c>
      <x:c r="Y144" t="str">
        <x:v>GROW</x:v>
      </x:c>
      <x:c r="Z144" s="12" t="str">
        <x:v>Family + verified grassroots + straight-line geo only; transport not yet routed</x:v>
      </x:c>
      <x:c r="AA144" s="12"/>
      <x:c r="AB144" s="12"/>
      <x:c r="AC144" s="12"/>
      <x:c r="AD144" s="12"/>
      <x:c r="AE144" t="str">
        <x:v>Crystal Palace Women</x:v>
      </x:c>
      <x:c r="AF144" s="45" t="n">
        <x:v>4.785201648920171</x:v>
      </x:c>
      <x:c r="AG144" t="str">
        <x:v>Dulwich Hamlet Women</x:v>
      </x:c>
      <x:c r="AH144" s="45" t="n">
        <x:v>10.058351331588817</x:v>
      </x:c>
      <x:c r="AI144" t="n">
        <x:v>76</x:v>
      </x:c>
      <x:c r="AJ144" t="str">
        <x:v>HIGH</x:v>
      </x:c>
    </x:row>
    <x:row r="145">
      <x:c r="A145" s="12" t="str">
        <x:v>E01000838</x:v>
      </x:c>
      <x:c r="B145" s="12" t="str">
        <x:v>Bromley 030E</x:v>
      </x:c>
      <x:c r="C145" s="12" t="str">
        <x:v>Bromley</x:v>
      </x:c>
      <x:c r="D145" s="44" t="n">
        <x:v>51.37462524729017</x:v>
      </x:c>
      <x:c r="E145" s="44" t="n">
        <x:v>-0.0029925343755880392</x:v>
      </x:c>
      <x:c r="F145" s="33" t="n">
        <x:v>539</x:v>
      </x:c>
      <x:c r="G145" s="33" t="n">
        <x:v>167</x:v>
      </x:c>
      <x:c r="H145" s="26" t="n">
        <x:v>0.3098330241187384</x:v>
      </x:c>
      <x:c r="I145" s="12" t="n">
        <x:v>2</x:v>
      </x:c>
      <x:c r="J145" s="12" t="n">
        <x:v>62</x:v>
      </x:c>
      <x:c r="K145" s="12"/>
      <x:c r="L145" s="12"/>
      <x:c r="M145" s="12" t="str">
        <x:f>IF(K145="", "", MAX(0,IF(K145&lt;=20,100,IF(K145&lt;=30,85,IF(K145&lt;=40,70,IF(K145&lt;=50,55,IF(K145&lt;=60,40,20)))))-MIN(L145*5,20)))</x:f>
      </x:c>
      <x:c r="N145" s="12"/>
      <x:c r="O145" s="12"/>
      <x:c r="P145" s="12" t="str">
        <x:f>IF(OR(H145="",J145="",M145=""),"",ROUND(PERCENTRANK.INC($H$2:$H$941,H145)*35+J145*0.35+M145*0.30,0))</x:f>
      </x:c>
      <x:c r="Q145" s="12" t="str">
        <x:f>IF(P145="","",IF(P145&gt;=80,"ATTACK",IF(P145&gt;=65,"GROW",IF(P145&gt;=50,"PARTNER","WATCH"))))</x:f>
      </x:c>
      <x:c r="R145" s="12" t="str">
        <x:f>IF(Q145="","",IF(Q145="ATTACK","Grassroots + family acquisition",IF(Q145="GROW","Test local campaign",IF(Q145="PARTNER","Organisation-first partnership","Low priority / validate"))))</x:f>
      </x:c>
      <x:c r="S145" s="45" t="n">
        <x:v>2.3179691494561</x:v>
      </x:c>
      <x:c r="T145" t="str">
        <x:v>CORE</x:v>
      </x:c>
      <x:c r="U145" s="32" t="n">
        <x:f>PERCENTRANK.INC($G$2:$G$941,G145)</x:f>
        <x:v>0.156</x:v>
      </x:c>
      <x:c r="V145" s="32" t="n">
        <x:f>PERCENTRANK.INC($H$2:$H$941,H145)</x:f>
        <x:v>0.446</x:v>
      </x:c>
      <x:c r="W145" t="n">
        <x:f>ROUND((U145*55+V145*45)*IF(S145&lt;=5,1,IF(S145&lt;=10,0.95,IF(S145&lt;=20,0.85,0.70))),0)</x:f>
        <x:v>29</x:v>
      </x:c>
      <x:c r="X145" t="n">
        <x:v>44</x:v>
      </x:c>
      <x:c r="Y145" t="str">
        <x:v>WATCH</x:v>
      </x:c>
      <x:c r="Z145" s="12" t="str">
        <x:v>Family + verified grassroots + straight-line geo only; transport not yet routed</x:v>
      </x:c>
      <x:c r="AA145" s="12"/>
      <x:c r="AB145" s="12"/>
      <x:c r="AC145" s="12"/>
      <x:c r="AD145" s="12"/>
      <x:c r="AE145" t="str">
        <x:v>Crystal Palace Women</x:v>
      </x:c>
      <x:c r="AF145" s="45" t="n">
        <x:v>6.278651986692771</x:v>
      </x:c>
      <x:c r="AG145" t="str">
        <x:v>Dulwich Hamlet Women</x:v>
      </x:c>
      <x:c r="AH145" s="45" t="n">
        <x:v>11.156635687860142</x:v>
      </x:c>
      <x:c r="AI145" t="n">
        <x:v>65</x:v>
      </x:c>
      <x:c r="AJ145" t="str">
        <x:v>MEDIUM</x:v>
      </x:c>
    </x:row>
    <x:row r="146">
      <x:c r="A146" s="12" t="str">
        <x:v>E01000839</x:v>
      </x:c>
      <x:c r="B146" s="12" t="str">
        <x:v>Bromley 030F</x:v>
      </x:c>
      <x:c r="C146" s="12" t="str">
        <x:v>Bromley</x:v>
      </x:c>
      <x:c r="D146" s="44" t="n">
        <x:v>51.37313464848632</x:v>
      </x:c>
      <x:c r="E146" s="44" t="n">
        <x:v>-0.021342337149117627</x:v>
      </x:c>
      <x:c r="F146" s="33" t="n">
        <x:v>538</x:v>
      </x:c>
      <x:c r="G146" s="33" t="n">
        <x:v>145</x:v>
      </x:c>
      <x:c r="H146" s="26" t="n">
        <x:v>0.2695167286245353</x:v>
      </x:c>
      <x:c r="I146" s="12" t="n">
        <x:v>4</x:v>
      </x:c>
      <x:c r="J146" s="12" t="n">
        <x:v>85</x:v>
      </x:c>
      <x:c r="K146" s="12"/>
      <x:c r="L146" s="12"/>
      <x:c r="M146" s="12" t="str">
        <x:f>IF(K146="", "", MAX(0,IF(K146&lt;=20,100,IF(K146&lt;=30,85,IF(K146&lt;=40,70,IF(K146&lt;=50,55,IF(K146&lt;=60,40,20)))))-MIN(L146*5,20)))</x:f>
      </x:c>
      <x:c r="N146" s="12"/>
      <x:c r="O146" s="12"/>
      <x:c r="P146" s="12" t="str">
        <x:f>IF(OR(H146="",J146="",M146=""),"",ROUND(PERCENTRANK.INC($H$2:$H$941,H146)*35+J146*0.35+M146*0.30,0))</x:f>
      </x:c>
      <x:c r="Q146" s="12" t="str">
        <x:f>IF(P146="","",IF(P146&gt;=80,"ATTACK",IF(P146&gt;=65,"GROW",IF(P146&gt;=50,"PARTNER","WATCH"))))</x:f>
      </x:c>
      <x:c r="R146" s="12" t="str">
        <x:f>IF(Q146="","",IF(Q146="ATTACK","Grassroots + family acquisition",IF(Q146="GROW","Test local campaign",IF(Q146="PARTNER","Organisation-first partnership","Low priority / validate"))))</x:f>
      </x:c>
      <x:c r="S146" s="45" t="n">
        <x:v>3.359246223863111</x:v>
      </x:c>
      <x:c r="T146" t="str">
        <x:v>CORE</x:v>
      </x:c>
      <x:c r="U146" s="32" t="n">
        <x:f>PERCENTRANK.INC($G$2:$G$941,G146)</x:f>
        <x:v>0.077</x:v>
      </x:c>
      <x:c r="V146" s="32" t="n">
        <x:f>PERCENTRANK.INC($H$2:$H$941,H146)</x:f>
        <x:v>0.259</x:v>
      </x:c>
      <x:c r="W146" t="n">
        <x:f>ROUND((U146*55+V146*45)*IF(S146&lt;=5,1,IF(S146&lt;=10,0.95,IF(S146&lt;=20,0.85,0.70))),0)</x:f>
        <x:v>16</x:v>
      </x:c>
      <x:c r="X146" t="n">
        <x:v>47</x:v>
      </x:c>
      <x:c r="Y146" t="str">
        <x:v>WATCH</x:v>
      </x:c>
      <x:c r="Z146" s="12" t="str">
        <x:v>Family + verified grassroots + straight-line geo only; transport not yet routed</x:v>
      </x:c>
      <x:c r="AA146" s="12"/>
      <x:c r="AB146" s="12"/>
      <x:c r="AC146" s="12"/>
      <x:c r="AD146" s="12"/>
      <x:c r="AE146" t="str">
        <x:v>Crystal Palace Women</x:v>
      </x:c>
      <x:c r="AF146" s="45" t="n">
        <x:v>5.236780172627217</x:v>
      </x:c>
      <x:c r="AG146" t="str">
        <x:v>Dulwich Hamlet Women</x:v>
      </x:c>
      <x:c r="AH146" s="45" t="n">
        <x:v>10.72477691598413</x:v>
      </x:c>
      <x:c r="AI146" t="n">
        <x:v>76</x:v>
      </x:c>
      <x:c r="AJ146" t="str">
        <x:v>HIGH</x:v>
      </x:c>
    </x:row>
    <x:row r="147">
      <x:c r="A147" s="12" t="str">
        <x:v>E01000840</x:v>
      </x:c>
      <x:c r="B147" s="12" t="str">
        <x:v>Bromley 030G</x:v>
      </x:c>
      <x:c r="C147" s="12" t="str">
        <x:v>Bromley</x:v>
      </x:c>
      <x:c r="D147" s="44" t="n">
        <x:v>51.37046916711526</x:v>
      </x:c>
      <x:c r="E147" s="44" t="n">
        <x:v>-0.011353358817535792</x:v>
      </x:c>
      <x:c r="F147" s="33" t="n">
        <x:v>685</x:v>
      </x:c>
      <x:c r="G147" s="33" t="n">
        <x:v>125</x:v>
      </x:c>
      <x:c r="H147" s="26" t="n">
        <x:v>0.18248175182481752</x:v>
      </x:c>
      <x:c r="I147" s="12" t="n">
        <x:v>2</x:v>
      </x:c>
      <x:c r="J147" s="12" t="n">
        <x:v>63</x:v>
      </x:c>
      <x:c r="K147" s="12"/>
      <x:c r="L147" s="12"/>
      <x:c r="M147" s="12" t="str">
        <x:f>IF(K147="", "", MAX(0,IF(K147&lt;=20,100,IF(K147&lt;=30,85,IF(K147&lt;=40,70,IF(K147&lt;=50,55,IF(K147&lt;=60,40,20)))))-MIN(L147*5,20)))</x:f>
      </x:c>
      <x:c r="N147" s="12"/>
      <x:c r="O147" s="12"/>
      <x:c r="P147" s="12" t="str">
        <x:f>IF(OR(H147="",J147="",M147=""),"",ROUND(PERCENTRANK.INC($H$2:$H$941,H147)*35+J147*0.35+M147*0.30,0))</x:f>
      </x:c>
      <x:c r="Q147" s="12" t="str">
        <x:f>IF(P147="","",IF(P147&gt;=80,"ATTACK",IF(P147&gt;=65,"GROW",IF(P147&gt;=50,"PARTNER","WATCH"))))</x:f>
      </x:c>
      <x:c r="R147" s="12" t="str">
        <x:f>IF(Q147="","",IF(Q147="ATTACK","Grassroots + family acquisition",IF(Q147="GROW","Test local campaign",IF(Q147="PARTNER","Organisation-first partnership","Low priority / validate"))))</x:f>
      </x:c>
      <x:c r="S147" s="45" t="n">
        <x:v>3.0450122365020955</x:v>
      </x:c>
      <x:c r="T147" t="str">
        <x:v>CORE</x:v>
      </x:c>
      <x:c r="U147" s="32" t="n">
        <x:f>PERCENTRANK.INC($G$2:$G$941,G147)</x:f>
        <x:v>0.04</x:v>
      </x:c>
      <x:c r="V147" s="32" t="n">
        <x:f>PERCENTRANK.INC($H$2:$H$941,H147)</x:f>
        <x:v>0.04</x:v>
      </x:c>
      <x:c r="W147" t="n">
        <x:f>ROUND((U147*55+V147*45)*IF(S147&lt;=5,1,IF(S147&lt;=10,0.95,IF(S147&lt;=20,0.85,0.70))),0)</x:f>
        <x:v>4</x:v>
      </x:c>
      <x:c r="X147" t="n">
        <x:v>31</x:v>
      </x:c>
      <x:c r="Y147" t="str">
        <x:v>WATCH</x:v>
      </x:c>
      <x:c r="Z147" s="12" t="str">
        <x:v>Family + verified grassroots + straight-line geo only; transport not yet routed</x:v>
      </x:c>
      <x:c r="AA147" s="12"/>
      <x:c r="AB147" s="12"/>
      <x:c r="AC147" s="12"/>
      <x:c r="AD147" s="12"/>
      <x:c r="AE147" t="str">
        <x:v>Crystal Palace Women</x:v>
      </x:c>
      <x:c r="AF147" s="45" t="n">
        <x:v>5.982452520184481</x:v>
      </x:c>
      <x:c r="AG147" t="str">
        <x:v>Dulwich Hamlet Women</x:v>
      </x:c>
      <x:c r="AH147" s="45" t="n">
        <x:v>11.288062019125187</x:v>
      </x:c>
      <x:c r="AI147" t="n">
        <x:v>76</x:v>
      </x:c>
      <x:c r="AJ147" t="str">
        <x:v>HIGH</x:v>
      </x:c>
    </x:row>
    <x:row r="148">
      <x:c r="A148" s="12" t="str">
        <x:v>E01000841</x:v>
      </x:c>
      <x:c r="B148" s="12" t="str">
        <x:v>Bromley 030H</x:v>
      </x:c>
      <x:c r="C148" s="12" t="str">
        <x:v>Bromley</x:v>
      </x:c>
      <x:c r="D148" s="44" t="n">
        <x:v>51.37425431977781</x:v>
      </x:c>
      <x:c r="E148" s="44" t="n">
        <x:v>-0.013617496224088895</x:v>
      </x:c>
      <x:c r="F148" s="33" t="n">
        <x:v>663</x:v>
      </x:c>
      <x:c r="G148" s="33" t="n">
        <x:v>208</x:v>
      </x:c>
      <x:c r="H148" s="26" t="n">
        <x:v>0.3137254901960784</x:v>
      </x:c>
      <x:c r="I148" s="12" t="n">
        <x:v>3</x:v>
      </x:c>
      <x:c r="J148" s="12" t="n">
        <x:v>78</x:v>
      </x:c>
      <x:c r="K148" s="12"/>
      <x:c r="L148" s="12"/>
      <x:c r="M148" s="12" t="str">
        <x:f>IF(K148="", "", MAX(0,IF(K148&lt;=20,100,IF(K148&lt;=30,85,IF(K148&lt;=40,70,IF(K148&lt;=50,55,IF(K148&lt;=60,40,20)))))-MIN(L148*5,20)))</x:f>
      </x:c>
      <x:c r="N148" s="12"/>
      <x:c r="O148" s="12"/>
      <x:c r="P148" s="12" t="str">
        <x:f>IF(OR(H148="",J148="",M148=""),"",ROUND(PERCENTRANK.INC($H$2:$H$941,H148)*35+J148*0.35+M148*0.30,0))</x:f>
      </x:c>
      <x:c r="Q148" s="12" t="str">
        <x:f>IF(P148="","",IF(P148&gt;=80,"ATTACK",IF(P148&gt;=65,"GROW",IF(P148&gt;=50,"PARTNER","WATCH"))))</x:f>
      </x:c>
      <x:c r="R148" s="12" t="str">
        <x:f>IF(Q148="","",IF(Q148="ATTACK","Grassroots + family acquisition",IF(Q148="GROW","Test local campaign",IF(Q148="PARTNER","Organisation-first partnership","Low priority / validate"))))</x:f>
      </x:c>
      <x:c r="S148" s="45" t="n">
        <x:v>2.861331267717219</x:v>
      </x:c>
      <x:c r="T148" t="str">
        <x:v>CORE</x:v>
      </x:c>
      <x:c r="U148" s="32" t="n">
        <x:f>PERCENTRANK.INC($G$2:$G$941,G148)</x:f>
        <x:v>0.448</x:v>
      </x:c>
      <x:c r="V148" s="32" t="n">
        <x:f>PERCENTRANK.INC($H$2:$H$941,H148)</x:f>
        <x:v>0.47</x:v>
      </x:c>
      <x:c r="W148" t="n">
        <x:f>ROUND((U148*55+V148*45)*IF(S148&lt;=5,1,IF(S148&lt;=10,0.95,IF(S148&lt;=20,0.85,0.70))),0)</x:f>
        <x:v>46</x:v>
      </x:c>
      <x:c r="X148" t="n">
        <x:v>61</x:v>
      </x:c>
      <x:c r="Y148" t="str">
        <x:v>PARTNER</x:v>
      </x:c>
      <x:c r="Z148" s="12" t="str">
        <x:v>Family + verified grassroots + straight-line geo only; transport not yet routed</x:v>
      </x:c>
      <x:c r="AA148" s="12"/>
      <x:c r="AB148" s="12"/>
      <x:c r="AC148" s="12"/>
      <x:c r="AD148" s="12"/>
      <x:c r="AE148" t="str">
        <x:v>Crystal Palace Women</x:v>
      </x:c>
      <x:c r="AF148" s="45" t="n">
        <x:v>5.637116710663662</x:v>
      </x:c>
      <x:c r="AG148" t="str">
        <x:v>Dulwich Hamlet Women</x:v>
      </x:c>
      <x:c r="AH148" s="45" t="n">
        <x:v>10.84134496123393</x:v>
      </x:c>
      <x:c r="AI148" t="n">
        <x:v>76</x:v>
      </x:c>
      <x:c r="AJ148" t="str">
        <x:v>HIGH</x:v>
      </x:c>
    </x:row>
    <x:row r="149">
      <x:c r="A149" s="12" t="str">
        <x:v>E01000753</x:v>
      </x:c>
      <x:c r="B149" s="12" t="str">
        <x:v>Bromley 031A</x:v>
      </x:c>
      <x:c r="C149" s="12" t="str">
        <x:v>Bromley</x:v>
      </x:c>
      <x:c r="D149" s="44" t="n">
        <x:v>51.37254147359448</x:v>
      </x:c>
      <x:c r="E149" s="44" t="n">
        <x:v>0.06882059028184459</x:v>
      </x:c>
      <x:c r="F149" s="33" t="n">
        <x:v>754</x:v>
      </x:c>
      <x:c r="G149" s="33" t="n">
        <x:v>235</x:v>
      </x:c>
      <x:c r="H149" s="26" t="n">
        <x:v>0.3116710875331565</x:v>
      </x:c>
      <x:c r="I149" s="12" t="n">
        <x:v>3</x:v>
      </x:c>
      <x:c r="J149" s="12" t="n">
        <x:v>55</x:v>
      </x:c>
      <x:c r="K149" s="12"/>
      <x:c r="L149" s="12"/>
      <x:c r="M149" s="12" t="str">
        <x:f>IF(K149="", "", MAX(0,IF(K149&lt;=20,100,IF(K149&lt;=30,85,IF(K149&lt;=40,70,IF(K149&lt;=50,55,IF(K149&lt;=60,40,20)))))-MIN(L149*5,20)))</x:f>
      </x:c>
      <x:c r="N149" s="12"/>
      <x:c r="O149" s="12"/>
      <x:c r="P149" s="12" t="str">
        <x:f>IF(OR(H149="",J149="",M149=""),"",ROUND(PERCENTRANK.INC($H$2:$H$941,H149)*35+J149*0.35+M149*0.30,0))</x:f>
      </x:c>
      <x:c r="Q149" s="12" t="str">
        <x:f>IF(P149="","",IF(P149&gt;=80,"ATTACK",IF(P149&gt;=65,"GROW",IF(P149&gt;=50,"PARTNER","WATCH"))))</x:f>
      </x:c>
      <x:c r="R149" s="12" t="str">
        <x:f>IF(Q149="","",IF(Q149="ATTACK","Grassroots + family acquisition",IF(Q149="GROW","Test local campaign",IF(Q149="PARTNER","Organisation-first partnership","Low priority / validate"))))</x:f>
      </x:c>
      <x:c r="S149" s="45" t="n">
        <x:v>4.097216672828432</x:v>
      </x:c>
      <x:c r="T149" t="str">
        <x:v>CORE</x:v>
      </x:c>
      <x:c r="U149" s="32" t="n">
        <x:f>PERCENTRANK.INC($G$2:$G$941,G149)</x:f>
        <x:v>0.667</x:v>
      </x:c>
      <x:c r="V149" s="32" t="n">
        <x:f>PERCENTRANK.INC($H$2:$H$941,H149)</x:f>
        <x:v>0.46</x:v>
      </x:c>
      <x:c r="W149" t="n">
        <x:f>ROUND((U149*55+V149*45)*IF(S149&lt;=5,1,IF(S149&lt;=10,0.95,IF(S149&lt;=20,0.85,0.70))),0)</x:f>
        <x:v>57</x:v>
      </x:c>
      <x:c r="X149" t="n">
        <x:v>57</x:v>
      </x:c>
      <x:c r="Y149" t="str">
        <x:v>PARTNER</x:v>
      </x:c>
      <x:c r="Z149" s="12" t="str">
        <x:v>Family + verified grassroots + straight-line geo only; transport not yet routed</x:v>
      </x:c>
      <x:c r="AA149" s="12"/>
      <x:c r="AB149" s="12"/>
      <x:c r="AC149" s="12"/>
      <x:c r="AD149" s="12"/>
      <x:c r="AE149" t="str">
        <x:v>Crystal Palace Women</x:v>
      </x:c>
      <x:c r="AF149" s="45" t="n">
        <x:v>11.061371634727488</x:v>
      </x:c>
      <x:c r="AG149" t="str">
        <x:v>Dulwich Hamlet Women</x:v>
      </x:c>
      <x:c r="AH149" s="45" t="n">
        <x:v>14.482080925720025</x:v>
      </x:c>
      <x:c r="AI149" t="n">
        <x:v>50</x:v>
      </x:c>
      <x:c r="AJ149" t="str">
        <x:v>MEDIUM</x:v>
      </x:c>
    </x:row>
    <x:row r="150">
      <x:c r="A150" s="12" t="str">
        <x:v>E01000754</x:v>
      </x:c>
      <x:c r="B150" s="12" t="str">
        <x:v>Bromley 031B</x:v>
      </x:c>
      <x:c r="C150" s="12" t="str">
        <x:v>Bromley</x:v>
      </x:c>
      <x:c r="D150" s="44" t="n">
        <x:v>51.37681344913433</x:v>
      </x:c>
      <x:c r="E150" s="44" t="n">
        <x:v>0.08252807197345999</x:v>
      </x:c>
      <x:c r="F150" s="33" t="n">
        <x:v>736</x:v>
      </x:c>
      <x:c r="G150" s="33" t="n">
        <x:v>246</x:v>
      </x:c>
      <x:c r="H150" s="26" t="n">
        <x:v>0.3342391304347826</x:v>
      </x:c>
      <x:c r="I150" s="12" t="n">
        <x:v>3</x:v>
      </x:c>
      <x:c r="J150" s="12" t="n">
        <x:v>55</x:v>
      </x:c>
      <x:c r="K150" s="12"/>
      <x:c r="L150" s="12"/>
      <x:c r="M150" s="12" t="str">
        <x:f>IF(K150="", "", MAX(0,IF(K150&lt;=20,100,IF(K150&lt;=30,85,IF(K150&lt;=40,70,IF(K150&lt;=50,55,IF(K150&lt;=60,40,20)))))-MIN(L150*5,20)))</x:f>
      </x:c>
      <x:c r="N150" s="12"/>
      <x:c r="O150" s="12"/>
      <x:c r="P150" s="12" t="str">
        <x:f>IF(OR(H150="",J150="",M150=""),"",ROUND(PERCENTRANK.INC($H$2:$H$941,H150)*35+J150*0.35+M150*0.30,0))</x:f>
      </x:c>
      <x:c r="Q150" s="12" t="str">
        <x:f>IF(P150="","",IF(P150&gt;=80,"ATTACK",IF(P150&gt;=65,"GROW",IF(P150&gt;=50,"PARTNER","WATCH"))))</x:f>
      </x:c>
      <x:c r="R150" s="12" t="str">
        <x:f>IF(Q150="","",IF(Q150="ATTACK","Grassroots + family acquisition",IF(Q150="GROW","Test local campaign",IF(Q150="PARTNER","Organisation-first partnership","Low priority / validate"))))</x:f>
      </x:c>
      <x:c r="S150" s="45" t="n">
        <x:v>4.766161517124976</x:v>
      </x:c>
      <x:c r="T150" t="str">
        <x:v>CORE</x:v>
      </x:c>
      <x:c r="U150" s="32" t="n">
        <x:f>PERCENTRANK.INC($G$2:$G$941,G150)</x:f>
        <x:v>0.749</x:v>
      </x:c>
      <x:c r="V150" s="32" t="n">
        <x:f>PERCENTRANK.INC($H$2:$H$941,H150)</x:f>
        <x:v>0.596</x:v>
      </x:c>
      <x:c r="W150" t="n">
        <x:f>ROUND((U150*55+V150*45)*IF(S150&lt;=5,1,IF(S150&lt;=10,0.95,IF(S150&lt;=20,0.85,0.70))),0)</x:f>
        <x:v>68</x:v>
      </x:c>
      <x:c r="X150" t="n">
        <x:v>62</x:v>
      </x:c>
      <x:c r="Y150" t="str">
        <x:v>PARTNER</x:v>
      </x:c>
      <x:c r="Z150" s="12" t="str">
        <x:v>Family + verified grassroots + straight-line geo only; transport not yet routed</x:v>
      </x:c>
      <x:c r="AA150" s="12"/>
      <x:c r="AB150" s="12"/>
      <x:c r="AC150" s="12"/>
      <x:c r="AD150" s="12"/>
      <x:c r="AE150" t="str">
        <x:v>Crystal Palace Women</x:v>
      </x:c>
      <x:c r="AF150" s="45" t="n">
        <x:v>11.87770263450786</x:v>
      </x:c>
      <x:c r="AG150" t="str">
        <x:v>Dulwich Hamlet Women</x:v>
      </x:c>
      <x:c r="AH150" s="45" t="n">
        <x:v>14.886693728752919</x:v>
      </x:c>
      <x:c r="AI150" t="n">
        <x:v>50</x:v>
      </x:c>
      <x:c r="AJ150" t="str">
        <x:v>MEDIUM</x:v>
      </x:c>
    </x:row>
    <x:row r="151">
      <x:c r="A151" s="12" t="str">
        <x:v>E01000755</x:v>
      </x:c>
      <x:c r="B151" s="12" t="str">
        <x:v>Bromley 031C</x:v>
      </x:c>
      <x:c r="C151" s="12" t="str">
        <x:v>Bromley</x:v>
      </x:c>
      <x:c r="D151" s="44" t="n">
        <x:v>51.375756203816245</x:v>
      </x:c>
      <x:c r="E151" s="44" t="n">
        <x:v>0.07710524831251402</x:v>
      </x:c>
      <x:c r="F151" s="33" t="n">
        <x:v>636</x:v>
      </x:c>
      <x:c r="G151" s="33" t="n">
        <x:v>218</x:v>
      </x:c>
      <x:c r="H151" s="26" t="n">
        <x:v>0.34276729559748426</x:v>
      </x:c>
      <x:c r="I151" s="12" t="n">
        <x:v>3</x:v>
      </x:c>
      <x:c r="J151" s="12" t="n">
        <x:v>55</x:v>
      </x:c>
      <x:c r="K151" s="12"/>
      <x:c r="L151" s="12"/>
      <x:c r="M151" s="12" t="str">
        <x:f>IF(K151="", "", MAX(0,IF(K151&lt;=20,100,IF(K151&lt;=30,85,IF(K151&lt;=40,70,IF(K151&lt;=50,55,IF(K151&lt;=60,40,20)))))-MIN(L151*5,20)))</x:f>
      </x:c>
      <x:c r="N151" s="12"/>
      <x:c r="O151" s="12"/>
      <x:c r="P151" s="12" t="str">
        <x:f>IF(OR(H151="",J151="",M151=""),"",ROUND(PERCENTRANK.INC($H$2:$H$941,H151)*35+J151*0.35+M151*0.30,0))</x:f>
      </x:c>
      <x:c r="Q151" s="12" t="str">
        <x:f>IF(P151="","",IF(P151&gt;=80,"ATTACK",IF(P151&gt;=65,"GROW",IF(P151&gt;=50,"PARTNER","WATCH"))))</x:f>
      </x:c>
      <x:c r="R151" s="12" t="str">
        <x:f>IF(Q151="","",IF(Q151="ATTACK","Grassroots + family acquisition",IF(Q151="GROW","Test local campaign",IF(Q151="PARTNER","Organisation-first partnership","Low priority / validate"))))</x:f>
      </x:c>
      <x:c r="S151" s="45" t="n">
        <x:v>4.456125419786653</x:v>
      </x:c>
      <x:c r="T151" t="str">
        <x:v>CORE</x:v>
      </x:c>
      <x:c r="U151" s="32" t="n">
        <x:f>PERCENTRANK.INC($G$2:$G$941,G151)</x:f>
        <x:v>0.538</x:v>
      </x:c>
      <x:c r="V151" s="32" t="n">
        <x:f>PERCENTRANK.INC($H$2:$H$941,H151)</x:f>
        <x:v>0.633</x:v>
      </x:c>
      <x:c r="W151" t="n">
        <x:f>ROUND((U151*55+V151*45)*IF(S151&lt;=5,1,IF(S151&lt;=10,0.95,IF(S151&lt;=20,0.85,0.70))),0)</x:f>
        <x:v>58</x:v>
      </x:c>
      <x:c r="X151" t="n">
        <x:v>57</x:v>
      </x:c>
      <x:c r="Y151" t="str">
        <x:v>PARTNER</x:v>
      </x:c>
      <x:c r="Z151" s="12" t="str">
        <x:v>Family + verified grassroots + straight-line geo only; transport not yet routed</x:v>
      </x:c>
      <x:c r="AA151" s="12"/>
      <x:c r="AB151" s="12"/>
      <x:c r="AC151" s="12"/>
      <x:c r="AD151" s="12"/>
      <x:c r="AE151" t="str">
        <x:v>Crystal Palace Women</x:v>
      </x:c>
      <x:c r="AF151" s="45" t="n">
        <x:v>11.534413483642304</x:v>
      </x:c>
      <x:c r="AG151" t="str">
        <x:v>Dulwich Hamlet Women</x:v>
      </x:c>
      <x:c r="AH151" s="45" t="n">
        <x:v>14.673019735747118</x:v>
      </x:c>
      <x:c r="AI151" t="n">
        <x:v>50</x:v>
      </x:c>
      <x:c r="AJ151" t="str">
        <x:v>MEDIUM</x:v>
      </x:c>
    </x:row>
    <x:row r="152">
      <x:c r="A152" s="12" t="str">
        <x:v>E01000757</x:v>
      </x:c>
      <x:c r="B152" s="12" t="str">
        <x:v>Bromley 031D</x:v>
      </x:c>
      <x:c r="C152" s="12" t="str">
        <x:v>Bromley</x:v>
      </x:c>
      <x:c r="D152" s="44" t="n">
        <x:v>51.369957188572904</x:v>
      </x:c>
      <x:c r="E152" s="44" t="n">
        <x:v>0.0758994659085694</x:v>
      </x:c>
      <x:c r="F152" s="33" t="n">
        <x:v>603</x:v>
      </x:c>
      <x:c r="G152" s="33" t="n">
        <x:v>183</x:v>
      </x:c>
      <x:c r="H152" s="26" t="n">
        <x:v>0.3034825870646766</x:v>
      </x:c>
      <x:c r="I152" s="12" t="n">
        <x:v>3</x:v>
      </x:c>
      <x:c r="J152" s="12" t="n">
        <x:v>55</x:v>
      </x:c>
      <x:c r="K152" s="12"/>
      <x:c r="L152" s="12"/>
      <x:c r="M152" s="12" t="str">
        <x:f>IF(K152="", "", MAX(0,IF(K152&lt;=20,100,IF(K152&lt;=30,85,IF(K152&lt;=40,70,IF(K152&lt;=50,55,IF(K152&lt;=60,40,20)))))-MIN(L152*5,20)))</x:f>
      </x:c>
      <x:c r="N152" s="12"/>
      <x:c r="O152" s="12"/>
      <x:c r="P152" s="12" t="str">
        <x:f>IF(OR(H152="",J152="",M152=""),"",ROUND(PERCENTRANK.INC($H$2:$H$941,H152)*35+J152*0.35+M152*0.30,0))</x:f>
      </x:c>
      <x:c r="Q152" s="12" t="str">
        <x:f>IF(P152="","",IF(P152&gt;=80,"ATTACK",IF(P152&gt;=65,"GROW",IF(P152&gt;=50,"PARTNER","WATCH"))))</x:f>
      </x:c>
      <x:c r="R152" s="12" t="str">
        <x:f>IF(Q152="","",IF(Q152="ATTACK","Grassroots + family acquisition",IF(Q152="GROW","Test local campaign",IF(Q152="PARTNER","Organisation-first partnership","Low priority / validate"))))</x:f>
      </x:c>
      <x:c r="S152" s="45" t="n">
        <x:v>4.666453603501436</x:v>
      </x:c>
      <x:c r="T152" t="str">
        <x:v>CORE</x:v>
      </x:c>
      <x:c r="U152" s="32" t="n">
        <x:f>PERCENTRANK.INC($G$2:$G$941,G152)</x:f>
        <x:v>0.248</x:v>
      </x:c>
      <x:c r="V152" s="32" t="n">
        <x:f>PERCENTRANK.INC($H$2:$H$941,H152)</x:f>
        <x:v>0.415</x:v>
      </x:c>
      <x:c r="W152" t="n">
        <x:f>ROUND((U152*55+V152*45)*IF(S152&lt;=5,1,IF(S152&lt;=10,0.95,IF(S152&lt;=20,0.85,0.70))),0)</x:f>
        <x:v>32</x:v>
      </x:c>
      <x:c r="X152" t="n">
        <x:v>43</x:v>
      </x:c>
      <x:c r="Y152" t="str">
        <x:v>WATCH</x:v>
      </x:c>
      <x:c r="Z152" s="12" t="str">
        <x:v>Family + verified grassroots + straight-line geo only; transport not yet routed</x:v>
      </x:c>
      <x:c r="AA152" s="12"/>
      <x:c r="AB152" s="12"/>
      <x:c r="AC152" s="12"/>
      <x:c r="AD152" s="12"/>
      <x:c r="AE152" t="str">
        <x:v>Crystal Palace Women</x:v>
      </x:c>
      <x:c r="AF152" s="45" t="n">
        <x:v>11.611507966502128</x:v>
      </x:c>
      <x:c r="AG152" t="str">
        <x:v>Dulwich Hamlet Women</x:v>
      </x:c>
      <x:c r="AH152" s="45" t="n">
        <x:v>15.037882366806658</x:v>
      </x:c>
      <x:c r="AI152" t="n">
        <x:v>45</x:v>
      </x:c>
      <x:c r="AJ152" t="str">
        <x:v>LOW</x:v>
      </x:c>
    </x:row>
    <x:row r="153">
      <x:c r="A153" s="12" t="str">
        <x:v>E01000758</x:v>
      </x:c>
      <x:c r="B153" s="12" t="str">
        <x:v>Bromley 031E</x:v>
      </x:c>
      <x:c r="C153" s="12" t="str">
        <x:v>Bromley</x:v>
      </x:c>
      <x:c r="D153" s="44" t="n">
        <x:v>51.36944682322413</x:v>
      </x:c>
      <x:c r="E153" s="44" t="n">
        <x:v>0.08379025328321284</x:v>
      </x:c>
      <x:c r="F153" s="33" t="n">
        <x:v>552</x:v>
      </x:c>
      <x:c r="G153" s="33" t="n">
        <x:v>196</x:v>
      </x:c>
      <x:c r="H153" s="26" t="n">
        <x:v>0.35507246376811596</x:v>
      </x:c>
      <x:c r="I153" s="12" t="n">
        <x:v>3</x:v>
      </x:c>
      <x:c r="J153" s="12" t="n">
        <x:v>55</x:v>
      </x:c>
      <x:c r="K153" s="12"/>
      <x:c r="L153" s="12"/>
      <x:c r="M153" s="12" t="str">
        <x:f>IF(K153="", "", MAX(0,IF(K153&lt;=20,100,IF(K153&lt;=30,85,IF(K153&lt;=40,70,IF(K153&lt;=50,55,IF(K153&lt;=60,40,20)))))-MIN(L153*5,20)))</x:f>
      </x:c>
      <x:c r="N153" s="12"/>
      <x:c r="O153" s="12"/>
      <x:c r="P153" s="12" t="str">
        <x:f>IF(OR(H153="",J153="",M153=""),"",ROUND(PERCENTRANK.INC($H$2:$H$941,H153)*35+J153*0.35+M153*0.30,0))</x:f>
      </x:c>
      <x:c r="Q153" s="12" t="str">
        <x:f>IF(P153="","",IF(P153&gt;=80,"ATTACK",IF(P153&gt;=65,"GROW",IF(P153&gt;=50,"PARTNER","WATCH"))))</x:f>
      </x:c>
      <x:c r="R153" s="12" t="str">
        <x:f>IF(Q153="","",IF(Q153="ATTACK","Grassroots + family acquisition",IF(Q153="GROW","Test local campaign",IF(Q153="PARTNER","Organisation-first partnership","Low priority / validate"))))</x:f>
      </x:c>
      <x:c r="S153" s="45" t="n">
        <x:v>5.173754650093986</x:v>
      </x:c>
      <x:c r="T153" t="str">
        <x:v>NEAR</x:v>
      </x:c>
      <x:c r="U153" s="32" t="n">
        <x:f>PERCENTRANK.INC($G$2:$G$941,G153)</x:f>
        <x:v>0.351</x:v>
      </x:c>
      <x:c r="V153" s="32" t="n">
        <x:f>PERCENTRANK.INC($H$2:$H$941,H153)</x:f>
        <x:v>0.714</x:v>
      </x:c>
      <x:c r="W153" t="n">
        <x:f>ROUND((U153*55+V153*45)*IF(S153&lt;=5,1,IF(S153&lt;=10,0.95,IF(S153&lt;=20,0.85,0.70))),0)</x:f>
        <x:v>49</x:v>
      </x:c>
      <x:c r="X153" t="n">
        <x:v>52</x:v>
      </x:c>
      <x:c r="Y153" t="str">
        <x:v>PARTNER</x:v>
      </x:c>
      <x:c r="Z153" s="12" t="str">
        <x:v>Family + verified grassroots + straight-line geo only; transport not yet routed</x:v>
      </x:c>
      <x:c r="AA153" s="12"/>
      <x:c r="AB153" s="12"/>
      <x:c r="AC153" s="12"/>
      <x:c r="AD153" s="12"/>
      <x:c r="AE153" t="str">
        <x:v>Crystal Palace Women</x:v>
      </x:c>
      <x:c r="AF153" s="45" t="n">
        <x:v>12.154391660862876</x:v>
      </x:c>
      <x:c r="AG153" t="str">
        <x:v>Dulwich Hamlet Women</x:v>
      </x:c>
      <x:c r="AH153" s="45" t="n">
        <x:v>15.483201381916244</x:v>
      </x:c>
      <x:c r="AI153" t="n">
        <x:v>45</x:v>
      </x:c>
      <x:c r="AJ153" t="str">
        <x:v>LOW</x:v>
      </x:c>
    </x:row>
    <x:row r="154">
      <x:c r="A154" s="12" t="str">
        <x:v>E01000786</x:v>
      </x:c>
      <x:c r="B154" s="12" t="str">
        <x:v>Bromley 032A</x:v>
      </x:c>
      <x:c r="C154" s="12" t="str">
        <x:v>Bromley</x:v>
      </x:c>
      <x:c r="D154" s="44" t="n">
        <x:v>51.36902138567119</x:v>
      </x:c>
      <x:c r="E154" s="44" t="n">
        <x:v>0.11870966391099898</x:v>
      </x:c>
      <x:c r="F154" s="33" t="n">
        <x:v>635</x:v>
      </x:c>
      <x:c r="G154" s="33" t="n">
        <x:v>139</x:v>
      </x:c>
      <x:c r="H154" s="26" t="n">
        <x:v>0.2188976377952756</x:v>
      </x:c>
      <x:c r="I154" s="12" t="n">
        <x:v>2</x:v>
      </x:c>
      <x:c r="J154" s="12" t="n">
        <x:v>39</x:v>
      </x:c>
      <x:c r="K154" s="12"/>
      <x:c r="L154" s="12"/>
      <x:c r="M154" s="12" t="str">
        <x:f>IF(K154="", "", MAX(0,IF(K154&lt;=20,100,IF(K154&lt;=30,85,IF(K154&lt;=40,70,IF(K154&lt;=50,55,IF(K154&lt;=60,40,20)))))-MIN(L154*5,20)))</x:f>
      </x:c>
      <x:c r="N154" s="12"/>
      <x:c r="O154" s="12"/>
      <x:c r="P154" s="12" t="str">
        <x:f>IF(OR(H154="",J154="",M154=""),"",ROUND(PERCENTRANK.INC($H$2:$H$941,H154)*35+J154*0.35+M154*0.30,0))</x:f>
      </x:c>
      <x:c r="Q154" s="12" t="str">
        <x:f>IF(P154="","",IF(P154&gt;=80,"ATTACK",IF(P154&gt;=65,"GROW",IF(P154&gt;=50,"PARTNER","WATCH"))))</x:f>
      </x:c>
      <x:c r="R154" s="12" t="str">
        <x:f>IF(Q154="","",IF(Q154="ATTACK","Grassroots + family acquisition",IF(Q154="GROW","Test local campaign",IF(Q154="PARTNER","Organisation-first partnership","Low priority / validate"))))</x:f>
      </x:c>
      <x:c r="S154" s="45" t="n">
        <x:v>7.42288011545134</x:v>
      </x:c>
      <x:c r="T154" t="str">
        <x:v>NEAR</x:v>
      </x:c>
      <x:c r="U154" s="32" t="n">
        <x:f>PERCENTRANK.INC($G$2:$G$941,G154)</x:f>
        <x:v>0.064</x:v>
      </x:c>
      <x:c r="V154" s="32" t="n">
        <x:f>PERCENTRANK.INC($H$2:$H$941,H154)</x:f>
        <x:v>0.1</x:v>
      </x:c>
      <x:c r="W154" t="n">
        <x:f>ROUND((U154*55+V154*45)*IF(S154&lt;=5,1,IF(S154&lt;=10,0.95,IF(S154&lt;=20,0.85,0.70))),0)</x:f>
        <x:v>8</x:v>
      </x:c>
      <x:c r="X154" t="n">
        <x:v>22</x:v>
      </x:c>
      <x:c r="Y154" t="str">
        <x:v>WATCH</x:v>
      </x:c>
      <x:c r="Z154" s="12" t="str">
        <x:v>Family + verified grassroots + straight-line geo only; transport not yet routed</x:v>
      </x:c>
      <x:c r="AA154" s="12"/>
      <x:c r="AB154" s="12"/>
      <x:c r="AC154" s="12"/>
      <x:c r="AD154" s="12"/>
      <x:c r="AE154" t="str">
        <x:v>Charlton Athletic Women</x:v>
      </x:c>
      <x:c r="AF154" s="45" t="n">
        <x:v>14.251860960971058</x:v>
      </x:c>
      <x:c r="AG154" t="str">
        <x:v>Dulwich Hamlet Women</x:v>
      </x:c>
      <x:c r="AH154" s="45" t="n">
        <x:v>17.40442705985575</x:v>
      </x:c>
      <x:c r="AI154" t="n">
        <x:v>45</x:v>
      </x:c>
      <x:c r="AJ154" t="str">
        <x:v>LOW</x:v>
      </x:c>
    </x:row>
    <x:row r="155">
      <x:c r="A155" s="12" t="str">
        <x:v>E01000789</x:v>
      </x:c>
      <x:c r="B155" s="12" t="str">
        <x:v>Bromley 032B</x:v>
      </x:c>
      <x:c r="C155" s="12" t="str">
        <x:v>Bromley</x:v>
      </x:c>
      <x:c r="D155" s="44" t="n">
        <x:v>51.37568412602809</x:v>
      </x:c>
      <x:c r="E155" s="44" t="n">
        <x:v>0.12073075386138842</x:v>
      </x:c>
      <x:c r="F155" s="33" t="n">
        <x:v>661</x:v>
      </x:c>
      <x:c r="G155" s="33" t="n">
        <x:v>321</x:v>
      </x:c>
      <x:c r="H155" s="26" t="n">
        <x:v>0.4856278366111952</x:v>
      </x:c>
      <x:c r="I155" s="12" t="n">
        <x:v>2</x:v>
      </x:c>
      <x:c r="J155" s="12" t="n">
        <x:v>39</x:v>
      </x:c>
      <x:c r="K155" s="12"/>
      <x:c r="L155" s="12"/>
      <x:c r="M155" s="12" t="str">
        <x:f>IF(K155="", "", MAX(0,IF(K155&lt;=20,100,IF(K155&lt;=30,85,IF(K155&lt;=40,70,IF(K155&lt;=50,55,IF(K155&lt;=60,40,20)))))-MIN(L155*5,20)))</x:f>
      </x:c>
      <x:c r="N155" s="12"/>
      <x:c r="O155" s="12"/>
      <x:c r="P155" s="12" t="str">
        <x:f>IF(OR(H155="",J155="",M155=""),"",ROUND(PERCENTRANK.INC($H$2:$H$941,H155)*35+J155*0.35+M155*0.30,0))</x:f>
      </x:c>
      <x:c r="Q155" s="12" t="str">
        <x:f>IF(P155="","",IF(P155&gt;=80,"ATTACK",IF(P155&gt;=65,"GROW",IF(P155&gt;=50,"PARTNER","WATCH"))))</x:f>
      </x:c>
      <x:c r="R155" s="12" t="str">
        <x:f>IF(Q155="","",IF(Q155="ATTACK","Grassroots + family acquisition",IF(Q155="GROW","Test local campaign",IF(Q155="PARTNER","Organisation-first partnership","Low priority / validate"))))</x:f>
      </x:c>
      <x:c r="S155" s="45" t="n">
        <x:v>7.349024233042347</x:v>
      </x:c>
      <x:c r="T155" t="str">
        <x:v>NEAR</x:v>
      </x:c>
      <x:c r="U155" s="32" t="n">
        <x:f>PERCENTRANK.INC($G$2:$G$941,G155)</x:f>
        <x:v>0.965</x:v>
      </x:c>
      <x:c r="V155" s="32" t="n">
        <x:f>PERCENTRANK.INC($H$2:$H$941,H155)</x:f>
        <x:v>0.992</x:v>
      </x:c>
      <x:c r="W155" t="n">
        <x:f>ROUND((U155*55+V155*45)*IF(S155&lt;=5,1,IF(S155&lt;=10,0.95,IF(S155&lt;=20,0.85,0.70))),0)</x:f>
        <x:v>93</x:v>
      </x:c>
      <x:c r="X155" t="n">
        <x:v>69</x:v>
      </x:c>
      <x:c r="Y155" t="str">
        <x:v>GROW</x:v>
      </x:c>
      <x:c r="Z155" s="12" t="str">
        <x:v>Family + verified grassroots + straight-line geo only; transport not yet routed</x:v>
      </x:c>
      <x:c r="AA155" s="12"/>
      <x:c r="AB155" s="12"/>
      <x:c r="AC155" s="12"/>
      <x:c r="AD155" s="12"/>
      <x:c r="AE155" t="str">
        <x:v>Charlton Athletic Women</x:v>
      </x:c>
      <x:c r="AF155" s="45" t="n">
        <x:v>13.6361188725173</x:v>
      </x:c>
      <x:c r="AG155" t="str">
        <x:v>Dulwich Hamlet Women</x:v>
      </x:c>
      <x:c r="AH155" s="45" t="n">
        <x:v>17.09346016829855</x:v>
      </x:c>
      <x:c r="AI155" t="n">
        <x:v>45</x:v>
      </x:c>
      <x:c r="AJ155" t="str">
        <x:v>LOW</x:v>
      </x:c>
    </x:row>
    <x:row r="156">
      <x:c r="A156" s="12" t="str">
        <x:v>E01000792</x:v>
      </x:c>
      <x:c r="B156" s="12" t="str">
        <x:v>Bromley 032C</x:v>
      </x:c>
      <x:c r="C156" s="12" t="str">
        <x:v>Bromley</x:v>
      </x:c>
      <x:c r="D156" s="44" t="n">
        <x:v>51.37388094841366</x:v>
      </x:c>
      <x:c r="E156" s="44" t="n">
        <x:v>0.11830126466563666</x:v>
      </x:c>
      <x:c r="F156" s="33" t="n">
        <x:v>573</x:v>
      </x:c>
      <x:c r="G156" s="33" t="n">
        <x:v>214</x:v>
      </x:c>
      <x:c r="H156" s="26" t="n">
        <x:v>0.37347294938917974</x:v>
      </x:c>
      <x:c r="I156" s="12" t="n">
        <x:v>2</x:v>
      </x:c>
      <x:c r="J156" s="12" t="n">
        <x:v>39</x:v>
      </x:c>
      <x:c r="K156" s="12"/>
      <x:c r="L156" s="12"/>
      <x:c r="M156" s="12" t="str">
        <x:f>IF(K156="", "", MAX(0,IF(K156&lt;=20,100,IF(K156&lt;=30,85,IF(K156&lt;=40,70,IF(K156&lt;=50,55,IF(K156&lt;=60,40,20)))))-MIN(L156*5,20)))</x:f>
      </x:c>
      <x:c r="N156" s="12"/>
      <x:c r="O156" s="12"/>
      <x:c r="P156" s="12" t="str">
        <x:f>IF(OR(H156="",J156="",M156=""),"",ROUND(PERCENTRANK.INC($H$2:$H$941,H156)*35+J156*0.35+M156*0.30,0))</x:f>
      </x:c>
      <x:c r="Q156" s="12" t="str">
        <x:f>IF(P156="","",IF(P156&gt;=80,"ATTACK",IF(P156&gt;=65,"GROW",IF(P156&gt;=50,"PARTNER","WATCH"))))</x:f>
      </x:c>
      <x:c r="R156" s="12" t="str">
        <x:f>IF(Q156="","",IF(Q156="ATTACK","Grassroots + family acquisition",IF(Q156="GROW","Test local campaign",IF(Q156="PARTNER","Organisation-first partnership","Low priority / validate"))))</x:f>
      </x:c>
      <x:c r="S156" s="45" t="n">
        <x:v>7.2353399323948455</x:v>
      </x:c>
      <x:c r="T156" t="str">
        <x:v>NEAR</x:v>
      </x:c>
      <x:c r="U156" s="32" t="n">
        <x:f>PERCENTRANK.INC($G$2:$G$941,G156)</x:f>
        <x:v>0.502</x:v>
      </x:c>
      <x:c r="V156" s="32" t="n">
        <x:f>PERCENTRANK.INC($H$2:$H$941,H156)</x:f>
        <x:v>0.811</x:v>
      </x:c>
      <x:c r="W156" t="n">
        <x:f>ROUND((U156*55+V156*45)*IF(S156&lt;=5,1,IF(S156&lt;=10,0.95,IF(S156&lt;=20,0.85,0.70))),0)</x:f>
        <x:v>61</x:v>
      </x:c>
      <x:c r="X156" t="n">
        <x:v>51</x:v>
      </x:c>
      <x:c r="Y156" t="str">
        <x:v>PARTNER</x:v>
      </x:c>
      <x:c r="Z156" s="12" t="str">
        <x:v>Family + verified grassroots + straight-line geo only; transport not yet routed</x:v>
      </x:c>
      <x:c r="AA156" s="12"/>
      <x:c r="AB156" s="12"/>
      <x:c r="AC156" s="12"/>
      <x:c r="AD156" s="12"/>
      <x:c r="AE156" t="str">
        <x:v>Charlton Athletic Women</x:v>
      </x:c>
      <x:c r="AF156" s="45" t="n">
        <x:v>13.746828276369328</x:v>
      </x:c>
      <x:c r="AG156" t="str">
        <x:v>Dulwich Hamlet Women</x:v>
      </x:c>
      <x:c r="AH156" s="45" t="n">
        <x:v>17.067459706145826</x:v>
      </x:c>
      <x:c r="AI156" t="n">
        <x:v>45</x:v>
      </x:c>
      <x:c r="AJ156" t="str">
        <x:v>LOW</x:v>
      </x:c>
    </x:row>
    <x:row r="157">
      <x:c r="A157" s="12" t="str">
        <x:v>E01000793</x:v>
      </x:c>
      <x:c r="B157" s="12" t="str">
        <x:v>Bromley 032D</x:v>
      </x:c>
      <x:c r="C157" s="12" t="str">
        <x:v>Bromley</x:v>
      </x:c>
      <x:c r="D157" s="44" t="n">
        <x:v>51.369625035170216</x:v>
      </x:c>
      <x:c r="E157" s="44" t="n">
        <x:v>0.10516309578142835</x:v>
      </x:c>
      <x:c r="F157" s="33" t="n">
        <x:v>627</x:v>
      </x:c>
      <x:c r="G157" s="33" t="n">
        <x:v>187</x:v>
      </x:c>
      <x:c r="H157" s="26" t="n">
        <x:v>0.2982456140350877</x:v>
      </x:c>
      <x:c r="I157" s="12" t="n">
        <x:v>2</x:v>
      </x:c>
      <x:c r="J157" s="12" t="n">
        <x:v>39</x:v>
      </x:c>
      <x:c r="K157" s="12"/>
      <x:c r="L157" s="12"/>
      <x:c r="M157" s="12" t="str">
        <x:f>IF(K157="", "", MAX(0,IF(K157&lt;=20,100,IF(K157&lt;=30,85,IF(K157&lt;=40,70,IF(K157&lt;=50,55,IF(K157&lt;=60,40,20)))))-MIN(L157*5,20)))</x:f>
      </x:c>
      <x:c r="N157" s="12"/>
      <x:c r="O157" s="12"/>
      <x:c r="P157" s="12" t="str">
        <x:f>IF(OR(H157="",J157="",M157=""),"",ROUND(PERCENTRANK.INC($H$2:$H$941,H157)*35+J157*0.35+M157*0.30,0))</x:f>
      </x:c>
      <x:c r="Q157" s="12" t="str">
        <x:f>IF(P157="","",IF(P157&gt;=80,"ATTACK",IF(P157&gt;=65,"GROW",IF(P157&gt;=50,"PARTNER","WATCH"))))</x:f>
      </x:c>
      <x:c r="R157" s="12" t="str">
        <x:f>IF(Q157="","",IF(Q157="ATTACK","Grassroots + family acquisition",IF(Q157="GROW","Test local campaign",IF(Q157="PARTNER","Organisation-first partnership","Low priority / validate"))))</x:f>
      </x:c>
      <x:c r="S157" s="45" t="n">
        <x:v>6.517572667097669</x:v>
      </x:c>
      <x:c r="T157" t="str">
        <x:v>NEAR</x:v>
      </x:c>
      <x:c r="U157" s="32" t="n">
        <x:f>PERCENTRANK.INC($G$2:$G$941,G157)</x:f>
        <x:v>0.29</x:v>
      </x:c>
      <x:c r="V157" s="32" t="n">
        <x:f>PERCENTRANK.INC($H$2:$H$941,H157)</x:f>
        <x:v>0.382</x:v>
      </x:c>
      <x:c r="W157" t="n">
        <x:f>ROUND((U157*55+V157*45)*IF(S157&lt;=5,1,IF(S157&lt;=10,0.95,IF(S157&lt;=20,0.85,0.70))),0)</x:f>
        <x:v>31</x:v>
      </x:c>
      <x:c r="X157" t="n">
        <x:v>35</x:v>
      </x:c>
      <x:c r="Y157" t="str">
        <x:v>WATCH</x:v>
      </x:c>
      <x:c r="Z157" s="12" t="str">
        <x:v>Family + verified grassroots + straight-line geo only; transport not yet routed</x:v>
      </x:c>
      <x:c r="AA157" s="12"/>
      <x:c r="AB157" s="12"/>
      <x:c r="AC157" s="12"/>
      <x:c r="AD157" s="12"/>
      <x:c r="AE157" t="str">
        <x:v>Crystal Palace Women</x:v>
      </x:c>
      <x:c r="AF157" s="45" t="n">
        <x:v>13.586012524002053</x:v>
      </x:c>
      <x:c r="AG157" t="str">
        <x:v>Dulwich Hamlet Women</x:v>
      </x:c>
      <x:c r="AH157" s="45" t="n">
        <x:v>16.613570545860497</x:v>
      </x:c>
      <x:c r="AI157" t="n">
        <x:v>45</x:v>
      </x:c>
      <x:c r="AJ157" t="str">
        <x:v>LOW</x:v>
      </x:c>
    </x:row>
    <x:row r="158">
      <x:c r="A158" s="12" t="str">
        <x:v>E01000795</x:v>
      </x:c>
      <x:c r="B158" s="12" t="str">
        <x:v>Bromley 032E</x:v>
      </x:c>
      <x:c r="C158" s="12" t="str">
        <x:v>Bromley</x:v>
      </x:c>
      <x:c r="D158" s="44" t="n">
        <x:v>51.36251412803331</x:v>
      </x:c>
      <x:c r="E158" s="44" t="n">
        <x:v>0.10884761804386664</x:v>
      </x:c>
      <x:c r="F158" s="33" t="n">
        <x:v>536</x:v>
      </x:c>
      <x:c r="G158" s="33" t="n">
        <x:v>185</x:v>
      </x:c>
      <x:c r="H158" s="26" t="n">
        <x:v>0.3451492537313433</x:v>
      </x:c>
      <x:c r="I158" s="12" t="n">
        <x:v>1</x:v>
      </x:c>
      <x:c r="J158" s="12" t="n">
        <x:v>31</x:v>
      </x:c>
      <x:c r="K158" s="12"/>
      <x:c r="L158" s="12"/>
      <x:c r="M158" s="12" t="str">
        <x:f>IF(K158="", "", MAX(0,IF(K158&lt;=20,100,IF(K158&lt;=30,85,IF(K158&lt;=40,70,IF(K158&lt;=50,55,IF(K158&lt;=60,40,20)))))-MIN(L158*5,20)))</x:f>
      </x:c>
      <x:c r="N158" s="12"/>
      <x:c r="O158" s="12"/>
      <x:c r="P158" s="12" t="str">
        <x:f>IF(OR(H158="",J158="",M158=""),"",ROUND(PERCENTRANK.INC($H$2:$H$941,H158)*35+J158*0.35+M158*0.30,0))</x:f>
      </x:c>
      <x:c r="Q158" s="12" t="str">
        <x:f>IF(P158="","",IF(P158&gt;=80,"ATTACK",IF(P158&gt;=65,"GROW",IF(P158&gt;=50,"PARTNER","WATCH"))))</x:f>
      </x:c>
      <x:c r="R158" s="12" t="str">
        <x:f>IF(Q158="","",IF(Q158="ATTACK","Grassroots + family acquisition",IF(Q158="GROW","Test local campaign",IF(Q158="PARTNER","Organisation-first partnership","Low priority / validate"))))</x:f>
      </x:c>
      <x:c r="S158" s="45" t="n">
        <x:v>7.073575682911908</x:v>
      </x:c>
      <x:c r="T158" t="str">
        <x:v>NEAR</x:v>
      </x:c>
      <x:c r="U158" s="32" t="n">
        <x:f>PERCENTRANK.INC($G$2:$G$941,G158)</x:f>
        <x:v>0.266</x:v>
      </x:c>
      <x:c r="V158" s="32" t="n">
        <x:f>PERCENTRANK.INC($H$2:$H$941,H158)</x:f>
        <x:v>0.654</x:v>
      </x:c>
      <x:c r="W158" t="n">
        <x:f>ROUND((U158*55+V158*45)*IF(S158&lt;=5,1,IF(S158&lt;=10,0.95,IF(S158&lt;=20,0.85,0.70))),0)</x:f>
        <x:v>42</x:v>
      </x:c>
      <x:c r="X158" t="n">
        <x:v>37</x:v>
      </x:c>
      <x:c r="Y158" t="str">
        <x:v>WATCH</x:v>
      </x:c>
      <x:c r="Z158" s="12" t="str">
        <x:v>Family + verified grassroots + straight-line geo only; transport not yet routed</x:v>
      </x:c>
      <x:c r="AA158" s="12"/>
      <x:c r="AB158" s="12"/>
      <x:c r="AC158" s="12"/>
      <x:c r="AD158" s="12"/>
      <x:c r="AE158" t="str">
        <x:v>Crystal Palace Women</x:v>
      </x:c>
      <x:c r="AF158" s="45" t="n">
        <x:v>14.038916913132269</x:v>
      </x:c>
      <x:c r="AG158" t="str">
        <x:v>Dulwich Hamlet Women</x:v>
      </x:c>
      <x:c r="AH158" s="45" t="n">
        <x:v>17.307689482023843</x:v>
      </x:c>
      <x:c r="AI158" t="n">
        <x:v>45</x:v>
      </x:c>
      <x:c r="AJ158" t="str">
        <x:v>LOW</x:v>
      </x:c>
    </x:row>
    <x:row r="159">
      <x:c r="A159" s="12" t="str">
        <x:v>E01000665</x:v>
      </x:c>
      <x:c r="B159" s="12" t="str">
        <x:v>Bromley 033A</x:v>
      </x:c>
      <x:c r="C159" s="12" t="str">
        <x:v>Bromley</x:v>
      </x:c>
      <x:c r="D159" s="44" t="n">
        <x:v>51.37555859684895</x:v>
      </x:c>
      <x:c r="E159" s="44" t="n">
        <x:v>0.04511953450051788</x:v>
      </x:c>
      <x:c r="F159" s="33" t="n">
        <x:v>741</x:v>
      </x:c>
      <x:c r="G159" s="33" t="n">
        <x:v>256</x:v>
      </x:c>
      <x:c r="H159" s="26" t="n">
        <x:v>0.34547908232118757</x:v>
      </x:c>
      <x:c r="I159" s="12" t="n">
        <x:v>3</x:v>
      </x:c>
      <x:c r="J159" s="12" t="n">
        <x:v>63</x:v>
      </x:c>
      <x:c r="K159" s="12"/>
      <x:c r="L159" s="12"/>
      <x:c r="M159" s="12" t="str">
        <x:f>IF(K159="", "", MAX(0,IF(K159&lt;=20,100,IF(K159&lt;=30,85,IF(K159&lt;=40,70,IF(K159&lt;=50,55,IF(K159&lt;=60,40,20)))))-MIN(L159*5,20)))</x:f>
      </x:c>
      <x:c r="N159" s="12"/>
      <x:c r="O159" s="12"/>
      <x:c r="P159" s="12" t="str">
        <x:f>IF(OR(H159="",J159="",M159=""),"",ROUND(PERCENTRANK.INC($H$2:$H$941,H159)*35+J159*0.35+M159*0.30,0))</x:f>
      </x:c>
      <x:c r="Q159" s="12" t="str">
        <x:f>IF(P159="","",IF(P159&gt;=80,"ATTACK",IF(P159&gt;=65,"GROW",IF(P159&gt;=50,"PARTNER","WATCH"))))</x:f>
      </x:c>
      <x:c r="R159" s="12" t="str">
        <x:f>IF(Q159="","",IF(Q159="ATTACK","Grassroots + family acquisition",IF(Q159="GROW","Test local campaign",IF(Q159="PARTNER","Organisation-first partnership","Low priority / validate"))))</x:f>
      </x:c>
      <x:c r="S159" s="45" t="n">
        <x:v>2.5612924257402785</x:v>
      </x:c>
      <x:c r="T159" t="str">
        <x:v>CORE</x:v>
      </x:c>
      <x:c r="U159" s="32" t="n">
        <x:f>PERCENTRANK.INC($G$2:$G$941,G159)</x:f>
        <x:v>0.81</x:v>
      </x:c>
      <x:c r="V159" s="32" t="n">
        <x:f>PERCENTRANK.INC($H$2:$H$941,H159)</x:f>
        <x:v>0.658</x:v>
      </x:c>
      <x:c r="W159" t="n">
        <x:f>ROUND((U159*55+V159*45)*IF(S159&lt;=5,1,IF(S159&lt;=10,0.95,IF(S159&lt;=20,0.85,0.70))),0)</x:f>
        <x:v>74</x:v>
      </x:c>
      <x:c r="X159" t="n">
        <x:v>69</x:v>
      </x:c>
      <x:c r="Y159" t="str">
        <x:v>GROW</x:v>
      </x:c>
      <x:c r="Z159" s="12" t="str">
        <x:v>Family + verified grassroots + straight-line geo only; transport not yet routed</x:v>
      </x:c>
      <x:c r="AA159" s="12"/>
      <x:c r="AB159" s="12"/>
      <x:c r="AC159" s="12"/>
      <x:c r="AD159" s="12"/>
      <x:c r="AE159" t="str">
        <x:v>Crystal Palace Women</x:v>
      </x:c>
      <x:c r="AF159" s="45" t="n">
        <x:v>9.386115083204325</x:v>
      </x:c>
      <x:c r="AG159" t="str">
        <x:v>Dulwich Hamlet Women</x:v>
      </x:c>
      <x:c r="AH159" s="45" t="n">
        <x:v>13.079909207857742</x:v>
      </x:c>
      <x:c r="AI159" t="n">
        <x:v>65</x:v>
      </x:c>
      <x:c r="AJ159" t="str">
        <x:v>MEDIUM</x:v>
      </x:c>
    </x:row>
    <x:row r="160">
      <x:c r="A160" s="12" t="str">
        <x:v>E01000666</x:v>
      </x:c>
      <x:c r="B160" s="12" t="str">
        <x:v>Bromley 033B</x:v>
      </x:c>
      <x:c r="C160" s="12" t="str">
        <x:v>Bromley</x:v>
      </x:c>
      <x:c r="D160" s="44" t="n">
        <x:v>51.362428206462816</x:v>
      </x:c>
      <x:c r="E160" s="44" t="n">
        <x:v>0.032342536651872686</x:v>
      </x:c>
      <x:c r="F160" s="33" t="n">
        <x:v>800</x:v>
      </x:c>
      <x:c r="G160" s="33" t="n">
        <x:v>182</x:v>
      </x:c>
      <x:c r="H160" s="26" t="n">
        <x:v>0.2275</x:v>
      </x:c>
      <x:c r="I160" s="12" t="n">
        <x:v>2</x:v>
      </x:c>
      <x:c r="J160" s="12" t="n">
        <x:v>48</x:v>
      </x:c>
      <x:c r="K160" s="12"/>
      <x:c r="L160" s="12"/>
      <x:c r="M160" s="12" t="str">
        <x:f>IF(K160="", "", MAX(0,IF(K160&lt;=20,100,IF(K160&lt;=30,85,IF(K160&lt;=40,70,IF(K160&lt;=50,55,IF(K160&lt;=60,40,20)))))-MIN(L160*5,20)))</x:f>
      </x:c>
      <x:c r="N160" s="12"/>
      <x:c r="O160" s="12"/>
      <x:c r="P160" s="12" t="str">
        <x:f>IF(OR(H160="",J160="",M160=""),"",ROUND(PERCENTRANK.INC($H$2:$H$941,H160)*35+J160*0.35+M160*0.30,0))</x:f>
      </x:c>
      <x:c r="Q160" s="12" t="str">
        <x:f>IF(P160="","",IF(P160&gt;=80,"ATTACK",IF(P160&gt;=65,"GROW",IF(P160&gt;=50,"PARTNER","WATCH"))))</x:f>
      </x:c>
      <x:c r="R160" s="12" t="str">
        <x:f>IF(Q160="","",IF(Q160="ATTACK","Grassroots + family acquisition",IF(Q160="GROW","Test local campaign",IF(Q160="PARTNER","Organisation-first partnership","Low priority / validate"))))</x:f>
      </x:c>
      <x:c r="S160" s="45" t="n">
        <x:v>3.333731227627576</x:v>
      </x:c>
      <x:c r="T160" t="str">
        <x:v>CORE</x:v>
      </x:c>
      <x:c r="U160" s="32" t="n">
        <x:f>PERCENTRANK.INC($G$2:$G$941,G160)</x:f>
        <x:v>0.238</x:v>
      </x:c>
      <x:c r="V160" s="32" t="n">
        <x:f>PERCENTRANK.INC($H$2:$H$941,H160)</x:f>
        <x:v>0.126</x:v>
      </x:c>
      <x:c r="W160" t="n">
        <x:f>ROUND((U160*55+V160*45)*IF(S160&lt;=5,1,IF(S160&lt;=10,0.95,IF(S160&lt;=20,0.85,0.70))),0)</x:f>
        <x:v>19</x:v>
      </x:c>
      <x:c r="X160" t="n">
        <x:v>32</x:v>
      </x:c>
      <x:c r="Y160" t="str">
        <x:v>WATCH</x:v>
      </x:c>
      <x:c r="Z160" s="12" t="str">
        <x:v>Family + verified grassroots + straight-line geo only; transport not yet routed</x:v>
      </x:c>
      <x:c r="AA160" s="12"/>
      <x:c r="AB160" s="12"/>
      <x:c r="AC160" s="12"/>
      <x:c r="AD160" s="12"/>
      <x:c r="AE160" t="str">
        <x:v>Crystal Palace Women</x:v>
      </x:c>
      <x:c r="AF160" s="45" t="n">
        <x:v>9.07656393298567</x:v>
      </x:c>
      <x:c r="AG160" t="str">
        <x:v>Dulwich Hamlet Women</x:v>
      </x:c>
      <x:c r="AH160" s="45" t="n">
        <x:v>13.638261887821212</x:v>
      </x:c>
      <x:c r="AI160" t="n">
        <x:v>65</x:v>
      </x:c>
      <x:c r="AJ160" t="str">
        <x:v>MEDIUM</x:v>
      </x:c>
    </x:row>
    <x:row r="161">
      <x:c r="A161" s="12" t="str">
        <x:v>E01000667</x:v>
      </x:c>
      <x:c r="B161" s="12" t="str">
        <x:v>Bromley 033C</x:v>
      </x:c>
      <x:c r="C161" s="12" t="str">
        <x:v>Bromley</x:v>
      </x:c>
      <x:c r="D161" s="44" t="n">
        <x:v>51.36818229227716</x:v>
      </x:c>
      <x:c r="E161" s="44" t="n">
        <x:v>0.04489112592560068</x:v>
      </x:c>
      <x:c r="F161" s="33" t="n">
        <x:v>628</x:v>
      </x:c>
      <x:c r="G161" s="33" t="n">
        <x:v>188</x:v>
      </x:c>
      <x:c r="H161" s="26" t="n">
        <x:v>0.29936305732484075</x:v>
      </x:c>
      <x:c r="I161" s="12" t="n">
        <x:v>2</x:v>
      </x:c>
      <x:c r="J161" s="12" t="n">
        <x:v>55</x:v>
      </x:c>
      <x:c r="K161" s="12"/>
      <x:c r="L161" s="12"/>
      <x:c r="M161" s="12" t="str">
        <x:f>IF(K161="", "", MAX(0,IF(K161&lt;=20,100,IF(K161&lt;=30,85,IF(K161&lt;=40,70,IF(K161&lt;=50,55,IF(K161&lt;=60,40,20)))))-MIN(L161*5,20)))</x:f>
      </x:c>
      <x:c r="N161" s="12"/>
      <x:c r="O161" s="12"/>
      <x:c r="P161" s="12" t="str">
        <x:f>IF(OR(H161="",J161="",M161=""),"",ROUND(PERCENTRANK.INC($H$2:$H$941,H161)*35+J161*0.35+M161*0.30,0))</x:f>
      </x:c>
      <x:c r="Q161" s="12" t="str">
        <x:f>IF(P161="","",IF(P161&gt;=80,"ATTACK",IF(P161&gt;=65,"GROW",IF(P161&gt;=50,"PARTNER","WATCH"))))</x:f>
      </x:c>
      <x:c r="R161" s="12" t="str">
        <x:f>IF(Q161="","",IF(Q161="ATTACK","Grassroots + family acquisition",IF(Q161="GROW","Test local campaign",IF(Q161="PARTNER","Organisation-first partnership","Low priority / validate"))))</x:f>
      </x:c>
      <x:c r="S161" s="45" t="n">
        <x:v>3.1602492368633257</x:v>
      </x:c>
      <x:c r="T161" t="str">
        <x:v>CORE</x:v>
      </x:c>
      <x:c r="U161" s="32" t="n">
        <x:f>PERCENTRANK.INC($G$2:$G$941,G161)</x:f>
        <x:v>0.303</x:v>
      </x:c>
      <x:c r="V161" s="32" t="n">
        <x:f>PERCENTRANK.INC($H$2:$H$941,H161)</x:f>
        <x:v>0.388</x:v>
      </x:c>
      <x:c r="W161" t="n">
        <x:f>ROUND((U161*55+V161*45)*IF(S161&lt;=5,1,IF(S161&lt;=10,0.95,IF(S161&lt;=20,0.85,0.70))),0)</x:f>
        <x:v>34</x:v>
      </x:c>
      <x:c r="X161" t="n">
        <x:v>44</x:v>
      </x:c>
      <x:c r="Y161" t="str">
        <x:v>WATCH</x:v>
      </x:c>
      <x:c r="Z161" s="12" t="str">
        <x:v>Family + verified grassroots + straight-line geo only; transport not yet routed</x:v>
      </x:c>
      <x:c r="AA161" s="12"/>
      <x:c r="AB161" s="12"/>
      <x:c r="AC161" s="12"/>
      <x:c r="AD161" s="12"/>
      <x:c r="AE161" t="str">
        <x:v>Crystal Palace Women</x:v>
      </x:c>
      <x:c r="AF161" s="45" t="n">
        <x:v>9.625136178059138</x:v>
      </x:c>
      <x:c r="AG161" t="str">
        <x:v>Dulwich Hamlet Women</x:v>
      </x:c>
      <x:c r="AH161" s="45" t="n">
        <x:v>13.679536824551642</x:v>
      </x:c>
      <x:c r="AI161" t="n">
        <x:v>65</x:v>
      </x:c>
      <x:c r="AJ161" t="str">
        <x:v>MEDIUM</x:v>
      </x:c>
    </x:row>
    <x:row r="162">
      <x:c r="A162" s="12" t="str">
        <x:v>E01000756</x:v>
      </x:c>
      <x:c r="B162" s="12" t="str">
        <x:v>Bromley 033D</x:v>
      </x:c>
      <x:c r="C162" s="12" t="str">
        <x:v>Bromley</x:v>
      </x:c>
      <x:c r="D162" s="44" t="n">
        <x:v>51.370322446138545</x:v>
      </x:c>
      <x:c r="E162" s="44" t="n">
        <x:v>0.060334482800304935</x:v>
      </x:c>
      <x:c r="F162" s="33" t="n">
        <x:v>649</x:v>
      </x:c>
      <x:c r="G162" s="33" t="n">
        <x:v>211</x:v>
      </x:c>
      <x:c r="H162" s="26" t="n">
        <x:v>0.325115562403698</x:v>
      </x:c>
      <x:c r="I162" s="12" t="n">
        <x:v>3</x:v>
      </x:c>
      <x:c r="J162" s="12" t="n">
        <x:v>63</x:v>
      </x:c>
      <x:c r="K162" s="12"/>
      <x:c r="L162" s="12"/>
      <x:c r="M162" s="12" t="str">
        <x:f>IF(K162="", "", MAX(0,IF(K162&lt;=20,100,IF(K162&lt;=30,85,IF(K162&lt;=40,70,IF(K162&lt;=50,55,IF(K162&lt;=60,40,20)))))-MIN(L162*5,20)))</x:f>
      </x:c>
      <x:c r="N162" s="12"/>
      <x:c r="O162" s="12"/>
      <x:c r="P162" s="12" t="str">
        <x:f>IF(OR(H162="",J162="",M162=""),"",ROUND(PERCENTRANK.INC($H$2:$H$941,H162)*35+J162*0.35+M162*0.30,0))</x:f>
      </x:c>
      <x:c r="Q162" s="12" t="str">
        <x:f>IF(P162="","",IF(P162&gt;=80,"ATTACK",IF(P162&gt;=65,"GROW",IF(P162&gt;=50,"PARTNER","WATCH"))))</x:f>
      </x:c>
      <x:c r="R162" s="12" t="str">
        <x:f>IF(Q162="","",IF(Q162="ATTACK","Grassroots + family acquisition",IF(Q162="GROW","Test local campaign",IF(Q162="PARTNER","Organisation-first partnership","Low priority / validate"))))</x:f>
      </x:c>
      <x:c r="S162" s="45" t="n">
        <x:v>3.7455770008391474</x:v>
      </x:c>
      <x:c r="T162" t="str">
        <x:v>CORE</x:v>
      </x:c>
      <x:c r="U162" s="32" t="n">
        <x:f>PERCENTRANK.INC($G$2:$G$941,G162)</x:f>
        <x:v>0.482</x:v>
      </x:c>
      <x:c r="V162" s="32" t="n">
        <x:f>PERCENTRANK.INC($H$2:$H$941,H162)</x:f>
        <x:v>0.542</x:v>
      </x:c>
      <x:c r="W162" t="n">
        <x:f>ROUND((U162*55+V162*45)*IF(S162&lt;=5,1,IF(S162&lt;=10,0.95,IF(S162&lt;=20,0.85,0.70))),0)</x:f>
        <x:v>51</x:v>
      </x:c>
      <x:c r="X162" t="n">
        <x:v>57</x:v>
      </x:c>
      <x:c r="Y162" t="str">
        <x:v>PARTNER</x:v>
      </x:c>
      <x:c r="Z162" s="12" t="str">
        <x:v>Family + verified grassroots + straight-line geo only; transport not yet routed</x:v>
      </x:c>
      <x:c r="AA162" s="12"/>
      <x:c r="AB162" s="12"/>
      <x:c r="AC162" s="12"/>
      <x:c r="AD162" s="12"/>
      <x:c r="AE162" t="str">
        <x:v>Crystal Palace Women</x:v>
      </x:c>
      <x:c r="AF162" s="45" t="n">
        <x:v>10.563840295030749</x:v>
      </x:c>
      <x:c r="AG162" t="str">
        <x:v>Dulwich Hamlet Women</x:v>
      </x:c>
      <x:c r="AH162" s="45" t="n">
        <x:v>14.231758828585411</x:v>
      </x:c>
      <x:c r="AI162" t="n">
        <x:v>50</x:v>
      </x:c>
      <x:c r="AJ162" t="str">
        <x:v>MEDIUM</x:v>
      </x:c>
    </x:row>
    <x:row r="163">
      <x:c r="A163" s="12" t="str">
        <x:v>E01000759</x:v>
      </x:c>
      <x:c r="B163" s="12" t="str">
        <x:v>Bromley 034A</x:v>
      </x:c>
      <x:c r="C163" s="12" t="str">
        <x:v>Bromley</x:v>
      </x:c>
      <x:c r="D163" s="44" t="n">
        <x:v>51.365412637394805</x:v>
      </x:c>
      <x:c r="E163" s="44" t="n">
        <x:v>0.010638085907627078</x:v>
      </x:c>
      <x:c r="F163" s="33" t="n">
        <x:v>576</x:v>
      </x:c>
      <x:c r="G163" s="33" t="n">
        <x:v>209</x:v>
      </x:c>
      <x:c r="H163" s="26" t="n">
        <x:v>0.3628472222222222</x:v>
      </x:c>
      <x:c r="I163" s="12" t="n">
        <x:v>2</x:v>
      </x:c>
      <x:c r="J163" s="12" t="n">
        <x:v>47</x:v>
      </x:c>
      <x:c r="K163" s="12"/>
      <x:c r="L163" s="12"/>
      <x:c r="M163" s="12" t="str">
        <x:f>IF(K163="", "", MAX(0,IF(K163&lt;=20,100,IF(K163&lt;=30,85,IF(K163&lt;=40,70,IF(K163&lt;=50,55,IF(K163&lt;=60,40,20)))))-MIN(L163*5,20)))</x:f>
      </x:c>
      <x:c r="N163" s="12"/>
      <x:c r="O163" s="12"/>
      <x:c r="P163" s="12" t="str">
        <x:f>IF(OR(H163="",J163="",M163=""),"",ROUND(PERCENTRANK.INC($H$2:$H$941,H163)*35+J163*0.35+M163*0.30,0))</x:f>
      </x:c>
      <x:c r="Q163" s="12" t="str">
        <x:f>IF(P163="","",IF(P163&gt;=80,"ATTACK",IF(P163&gt;=65,"GROW",IF(P163&gt;=50,"PARTNER","WATCH"))))</x:f>
      </x:c>
      <x:c r="R163" s="12" t="str">
        <x:f>IF(Q163="","",IF(Q163="ATTACK","Grassroots + family acquisition",IF(Q163="GROW","Test local campaign",IF(Q163="PARTNER","Organisation-first partnership","Low priority / validate"))))</x:f>
      </x:c>
      <x:c r="S163" s="45" t="n">
        <x:v>2.885462173013446</x:v>
      </x:c>
      <x:c r="T163" t="str">
        <x:v>CORE</x:v>
      </x:c>
      <x:c r="U163" s="32" t="n">
        <x:f>PERCENTRANK.INC($G$2:$G$941,G163)</x:f>
        <x:v>0.461</x:v>
      </x:c>
      <x:c r="V163" s="32" t="n">
        <x:f>PERCENTRANK.INC($H$2:$H$941,H163)</x:f>
        <x:v>0.758</x:v>
      </x:c>
      <x:c r="W163" t="n">
        <x:f>ROUND((U163*55+V163*45)*IF(S163&lt;=5,1,IF(S163&lt;=10,0.95,IF(S163&lt;=20,0.85,0.70))),0)</x:f>
        <x:v>59</x:v>
      </x:c>
      <x:c r="X163" t="n">
        <x:v>54</x:v>
      </x:c>
      <x:c r="Y163" t="str">
        <x:v>PARTNER</x:v>
      </x:c>
      <x:c r="Z163" s="12" t="str">
        <x:v>Family + verified grassroots + straight-line geo only; transport not yet routed</x:v>
      </x:c>
      <x:c r="AA163" s="12"/>
      <x:c r="AB163" s="12"/>
      <x:c r="AC163" s="12"/>
      <x:c r="AD163" s="12"/>
      <x:c r="AE163" t="str">
        <x:v>Crystal Palace Women</x:v>
      </x:c>
      <x:c r="AF163" s="45" t="n">
        <x:v>7.5860661961343405</x:v>
      </x:c>
      <x:c r="AG163" t="str">
        <x:v>Dulwich Hamlet Women</x:v>
      </x:c>
      <x:c r="AH163" s="45" t="n">
        <x:v>12.521551588972967</x:v>
      </x:c>
      <x:c r="AI163" t="n">
        <x:v>65</x:v>
      </x:c>
      <x:c r="AJ163" t="str">
        <x:v>MEDIUM</x:v>
      </x:c>
    </x:row>
    <x:row r="164">
      <x:c r="A164" s="12" t="str">
        <x:v>E01000760</x:v>
      </x:c>
      <x:c r="B164" s="12" t="str">
        <x:v>Bromley 034B</x:v>
      </x:c>
      <x:c r="C164" s="12" t="str">
        <x:v>Bromley</x:v>
      </x:c>
      <x:c r="D164" s="44" t="n">
        <x:v>51.36781421645041</x:v>
      </x:c>
      <x:c r="E164" s="44" t="n">
        <x:v>-0.000034141468344086444</x:v>
      </x:c>
      <x:c r="F164" s="33" t="n">
        <x:v>585</x:v>
      </x:c>
      <x:c r="G164" s="33" t="n">
        <x:v>201</x:v>
      </x:c>
      <x:c r="H164" s="26" t="n">
        <x:v>0.3435897435897436</x:v>
      </x:c>
      <x:c r="I164" s="12" t="n">
        <x:v>2</x:v>
      </x:c>
      <x:c r="J164" s="12" t="n">
        <x:v>55</x:v>
      </x:c>
      <x:c r="K164" s="12"/>
      <x:c r="L164" s="12"/>
      <x:c r="M164" s="12" t="str">
        <x:f>IF(K164="", "", MAX(0,IF(K164&lt;=20,100,IF(K164&lt;=30,85,IF(K164&lt;=40,70,IF(K164&lt;=50,55,IF(K164&lt;=60,40,20)))))-MIN(L164*5,20)))</x:f>
      </x:c>
      <x:c r="N164" s="12"/>
      <x:c r="O164" s="12"/>
      <x:c r="P164" s="12" t="str">
        <x:f>IF(OR(H164="",J164="",M164=""),"",ROUND(PERCENTRANK.INC($H$2:$H$941,H164)*35+J164*0.35+M164*0.30,0))</x:f>
      </x:c>
      <x:c r="Q164" s="12" t="str">
        <x:f>IF(P164="","",IF(P164&gt;=80,"ATTACK",IF(P164&gt;=65,"GROW",IF(P164&gt;=50,"PARTNER","WATCH"))))</x:f>
      </x:c>
      <x:c r="R164" s="12" t="str">
        <x:f>IF(Q164="","",IF(Q164="ATTACK","Grassroots + family acquisition",IF(Q164="GROW","Test local campaign",IF(Q164="PARTNER","Organisation-first partnership","Low priority / validate"))))</x:f>
      </x:c>
      <x:c r="S164" s="45" t="n">
        <x:v>2.855568387032639</x:v>
      </x:c>
      <x:c r="T164" t="str">
        <x:v>CORE</x:v>
      </x:c>
      <x:c r="U164" s="32" t="n">
        <x:f>PERCENTRANK.INC($G$2:$G$941,G164)</x:f>
        <x:v>0.396</x:v>
      </x:c>
      <x:c r="V164" s="32" t="n">
        <x:f>PERCENTRANK.INC($H$2:$H$941,H164)</x:f>
        <x:v>0.642</x:v>
      </x:c>
      <x:c r="W164" t="n">
        <x:f>ROUND((U164*55+V164*45)*IF(S164&lt;=5,1,IF(S164&lt;=10,0.95,IF(S164&lt;=20,0.85,0.70))),0)</x:f>
        <x:v>51</x:v>
      </x:c>
      <x:c r="X164" t="n">
        <x:v>53</x:v>
      </x:c>
      <x:c r="Y164" t="str">
        <x:v>PARTNER</x:v>
      </x:c>
      <x:c r="Z164" s="12" t="str">
        <x:v>Family + verified grassroots + straight-line geo only; transport not yet routed</x:v>
      </x:c>
      <x:c r="AA164" s="12"/>
      <x:c r="AB164" s="12"/>
      <x:c r="AC164" s="12"/>
      <x:c r="AD164" s="12"/>
      <x:c r="AE164" t="str">
        <x:v>Crystal Palace Women</x:v>
      </x:c>
      <x:c r="AF164" s="45" t="n">
        <x:v>6.809353917236972</x:v>
      </x:c>
      <x:c r="AG164" t="str">
        <x:v>Dulwich Hamlet Women</x:v>
      </x:c>
      <x:c r="AH164" s="45" t="n">
        <x:v>11.916262942683762</x:v>
      </x:c>
      <x:c r="AI164" t="n">
        <x:v>65</x:v>
      </x:c>
      <x:c r="AJ164" t="str">
        <x:v>MEDIUM</x:v>
      </x:c>
    </x:row>
    <x:row r="165">
      <x:c r="A165" s="12" t="str">
        <x:v>E01000761</x:v>
      </x:c>
      <x:c r="B165" s="12" t="str">
        <x:v>Bromley 034C</x:v>
      </x:c>
      <x:c r="C165" s="12" t="str">
        <x:v>Bromley</x:v>
      </x:c>
      <x:c r="D165" s="44" t="n">
        <x:v>51.36590453918478</x:v>
      </x:c>
      <x:c r="E165" s="44" t="n">
        <x:v>0.004101196155703776</x:v>
      </x:c>
      <x:c r="F165" s="33" t="n">
        <x:v>568</x:v>
      </x:c>
      <x:c r="G165" s="33" t="n">
        <x:v>205</x:v>
      </x:c>
      <x:c r="H165" s="26" t="n">
        <x:v>0.3609154929577465</x:v>
      </x:c>
      <x:c r="I165" s="12" t="n">
        <x:v>2</x:v>
      </x:c>
      <x:c r="J165" s="12" t="n">
        <x:v>55</x:v>
      </x:c>
      <x:c r="K165" s="12"/>
      <x:c r="L165" s="12"/>
      <x:c r="M165" s="12" t="str">
        <x:f>IF(K165="", "", MAX(0,IF(K165&lt;=20,100,IF(K165&lt;=30,85,IF(K165&lt;=40,70,IF(K165&lt;=50,55,IF(K165&lt;=60,40,20)))))-MIN(L165*5,20)))</x:f>
      </x:c>
      <x:c r="N165" s="12"/>
      <x:c r="O165" s="12"/>
      <x:c r="P165" s="12" t="str">
        <x:f>IF(OR(H165="",J165="",M165=""),"",ROUND(PERCENTRANK.INC($H$2:$H$941,H165)*35+J165*0.35+M165*0.30,0))</x:f>
      </x:c>
      <x:c r="Q165" s="12" t="str">
        <x:f>IF(P165="","",IF(P165&gt;=80,"ATTACK",IF(P165&gt;=65,"GROW",IF(P165&gt;=50,"PARTNER","WATCH"))))</x:f>
      </x:c>
      <x:c r="R165" s="12" t="str">
        <x:f>IF(Q165="","",IF(Q165="ATTACK","Grassroots + family acquisition",IF(Q165="GROW","Test local campaign",IF(Q165="PARTNER","Organisation-first partnership","Low priority / validate"))))</x:f>
      </x:c>
      <x:c r="S165" s="45" t="n">
        <x:v>2.9443225354522125</x:v>
      </x:c>
      <x:c r="T165" t="str">
        <x:v>CORE</x:v>
      </x:c>
      <x:c r="U165" s="32" t="n">
        <x:f>PERCENTRANK.INC($G$2:$G$941,G165)</x:f>
        <x:v>0.432</x:v>
      </x:c>
      <x:c r="V165" s="32" t="n">
        <x:f>PERCENTRANK.INC($H$2:$H$941,H165)</x:f>
        <x:v>0.738</x:v>
      </x:c>
      <x:c r="W165" t="n">
        <x:f>ROUND((U165*55+V165*45)*IF(S165&lt;=5,1,IF(S165&lt;=10,0.95,IF(S165&lt;=20,0.85,0.70))),0)</x:f>
        <x:v>57</x:v>
      </x:c>
      <x:c r="X165" t="n">
        <x:v>56</x:v>
      </x:c>
      <x:c r="Y165" t="str">
        <x:v>PARTNER</x:v>
      </x:c>
      <x:c r="Z165" s="12" t="str">
        <x:v>Family + verified grassroots + straight-line geo only; transport not yet routed</x:v>
      </x:c>
      <x:c r="AA165" s="12"/>
      <x:c r="AB165" s="12"/>
      <x:c r="AC165" s="12"/>
      <x:c r="AD165" s="12"/>
      <x:c r="AE165" t="str">
        <x:v>Crystal Palace Women</x:v>
      </x:c>
      <x:c r="AF165" s="45" t="n">
        <x:v>7.164176362524456</x:v>
      </x:c>
      <x:c r="AG165" t="str">
        <x:v>Dulwich Hamlet Women</x:v>
      </x:c>
      <x:c r="AH165" s="45" t="n">
        <x:v>12.242592236885109</x:v>
      </x:c>
      <x:c r="AI165" t="n">
        <x:v>65</x:v>
      </x:c>
      <x:c r="AJ165" t="str">
        <x:v>MEDIUM</x:v>
      </x:c>
    </x:row>
    <x:row r="166">
      <x:c r="A166" s="12" t="str">
        <x:v>E01000765</x:v>
      </x:c>
      <x:c r="B166" s="12" t="str">
        <x:v>Bromley 034D</x:v>
      </x:c>
      <x:c r="C166" s="12" t="str">
        <x:v>Bromley</x:v>
      </x:c>
      <x:c r="D166" s="44" t="n">
        <x:v>51.37655617271091</x:v>
      </x:c>
      <x:c r="E166" s="44" t="n">
        <x:v>0.018218371767480215</x:v>
      </x:c>
      <x:c r="F166" s="33" t="n">
        <x:v>700</x:v>
      </x:c>
      <x:c r="G166" s="33" t="n">
        <x:v>236</x:v>
      </x:c>
      <x:c r="H166" s="26" t="n">
        <x:v>0.33714285714285713</x:v>
      </x:c>
      <x:c r="I166" s="12" t="n">
        <x:v>2</x:v>
      </x:c>
      <x:c r="J166" s="12" t="n">
        <x:v>78</x:v>
      </x:c>
      <x:c r="K166" s="12"/>
      <x:c r="L166" s="12"/>
      <x:c r="M166" s="12" t="str">
        <x:f>IF(K166="", "", MAX(0,IF(K166&lt;=20,100,IF(K166&lt;=30,85,IF(K166&lt;=40,70,IF(K166&lt;=50,55,IF(K166&lt;=60,40,20)))))-MIN(L166*5,20)))</x:f>
      </x:c>
      <x:c r="N166" s="12"/>
      <x:c r="O166" s="12"/>
      <x:c r="P166" s="12" t="str">
        <x:f>IF(OR(H166="",J166="",M166=""),"",ROUND(PERCENTRANK.INC($H$2:$H$941,H166)*35+J166*0.35+M166*0.30,0))</x:f>
      </x:c>
      <x:c r="Q166" s="12" t="str">
        <x:f>IF(P166="","",IF(P166&gt;=80,"ATTACK",IF(P166&gt;=65,"GROW",IF(P166&gt;=50,"PARTNER","WATCH"))))</x:f>
      </x:c>
      <x:c r="R166" s="12" t="str">
        <x:f>IF(Q166="","",IF(Q166="ATTACK","Grassroots + family acquisition",IF(Q166="GROW","Test local campaign",IF(Q166="PARTNER","Organisation-first partnership","Low priority / validate"))))</x:f>
      </x:c>
      <x:c r="S166" s="45" t="n">
        <x:v>1.6046912727159948</x:v>
      </x:c>
      <x:c r="T166" t="str">
        <x:v>CORE</x:v>
      </x:c>
      <x:c r="U166" s="32" t="n">
        <x:f>PERCENTRANK.INC($G$2:$G$941,G166)</x:f>
        <x:v>0.679</x:v>
      </x:c>
      <x:c r="V166" s="32" t="n">
        <x:f>PERCENTRANK.INC($H$2:$H$941,H166)</x:f>
        <x:v>0.611</x:v>
      </x:c>
      <x:c r="W166" t="n">
        <x:f>ROUND((U166*55+V166*45)*IF(S166&lt;=5,1,IF(S166&lt;=10,0.95,IF(S166&lt;=20,0.85,0.70))),0)</x:f>
        <x:v>65</x:v>
      </x:c>
      <x:c r="X166" t="n">
        <x:v>71</x:v>
      </x:c>
      <x:c r="Y166" t="str">
        <x:v>GROW</x:v>
      </x:c>
      <x:c r="Z166" s="12" t="str">
        <x:v>Family + verified grassroots + straight-line geo only; transport not yet routed</x:v>
      </x:c>
      <x:c r="AA166" s="12"/>
      <x:c r="AB166" s="12"/>
      <x:c r="AC166" s="12"/>
      <x:c r="AD166" s="12"/>
      <x:c r="AE166" t="str">
        <x:v>Crystal Palace Women</x:v>
      </x:c>
      <x:c r="AF166" s="45" t="n">
        <x:v>7.568699554421045</x:v>
      </x:c>
      <x:c r="AG166" t="str">
        <x:v>Dulwich Hamlet Women</x:v>
      </x:c>
      <x:c r="AH166" s="45" t="n">
        <x:v>11.792345198011594</x:v>
      </x:c>
      <x:c r="AI166" t="n">
        <x:v>65</x:v>
      </x:c>
      <x:c r="AJ166" t="str">
        <x:v>MEDIUM</x:v>
      </x:c>
    </x:row>
    <x:row r="167">
      <x:c r="A167" s="12" t="str">
        <x:v>E01000768</x:v>
      </x:c>
      <x:c r="B167" s="12" t="str">
        <x:v>Bromley 034E</x:v>
      </x:c>
      <x:c r="C167" s="12" t="str">
        <x:v>Bromley</x:v>
      </x:c>
      <x:c r="D167" s="44" t="n">
        <x:v>51.374323829976674</x:v>
      </x:c>
      <x:c r="E167" s="44" t="n">
        <x:v>0.006727236743533066</x:v>
      </x:c>
      <x:c r="F167" s="33" t="n">
        <x:v>607</x:v>
      </x:c>
      <x:c r="G167" s="33" t="n">
        <x:v>189</x:v>
      </x:c>
      <x:c r="H167" s="26" t="n">
        <x:v>0.3113673805601318</x:v>
      </x:c>
      <x:c r="I167" s="12" t="n">
        <x:v>2</x:v>
      </x:c>
      <x:c r="J167" s="12" t="n">
        <x:v>70</x:v>
      </x:c>
      <x:c r="K167" s="12"/>
      <x:c r="L167" s="12"/>
      <x:c r="M167" s="12" t="str">
        <x:f>IF(K167="", "", MAX(0,IF(K167&lt;=20,100,IF(K167&lt;=30,85,IF(K167&lt;=40,70,IF(K167&lt;=50,55,IF(K167&lt;=60,40,20)))))-MIN(L167*5,20)))</x:f>
      </x:c>
      <x:c r="N167" s="12"/>
      <x:c r="O167" s="12"/>
      <x:c r="P167" s="12" t="str">
        <x:f>IF(OR(H167="",J167="",M167=""),"",ROUND(PERCENTRANK.INC($H$2:$H$941,H167)*35+J167*0.35+M167*0.30,0))</x:f>
      </x:c>
      <x:c r="Q167" s="12" t="str">
        <x:f>IF(P167="","",IF(P167&gt;=80,"ATTACK",IF(P167&gt;=65,"GROW",IF(P167&gt;=50,"PARTNER","WATCH"))))</x:f>
      </x:c>
      <x:c r="R167" s="12" t="str">
        <x:f>IF(Q167="","",IF(Q167="ATTACK","Grassroots + family acquisition",IF(Q167="GROW","Test local campaign",IF(Q167="PARTNER","Organisation-first partnership","Low priority / validate"))))</x:f>
      </x:c>
      <x:c r="S167" s="45" t="n">
        <x:v>2.0031962969777197</x:v>
      </x:c>
      <x:c r="T167" t="str">
        <x:v>CORE</x:v>
      </x:c>
      <x:c r="U167" s="32" t="n">
        <x:f>PERCENTRANK.INC($G$2:$G$941,G167)</x:f>
        <x:v>0.31</x:v>
      </x:c>
      <x:c r="V167" s="32" t="n">
        <x:f>PERCENTRANK.INC($H$2:$H$941,H167)</x:f>
        <x:v>0.458</x:v>
      </x:c>
      <x:c r="W167" t="n">
        <x:f>ROUND((U167*55+V167*45)*IF(S167&lt;=5,1,IF(S167&lt;=10,0.95,IF(S167&lt;=20,0.85,0.70))),0)</x:f>
        <x:v>38</x:v>
      </x:c>
      <x:c r="X167" t="n">
        <x:v>52</x:v>
      </x:c>
      <x:c r="Y167" t="str">
        <x:v>PARTNER</x:v>
      </x:c>
      <x:c r="Z167" s="12" t="str">
        <x:v>Family + verified grassroots + straight-line geo only; transport not yet routed</x:v>
      </x:c>
      <x:c r="AA167" s="12"/>
      <x:c r="AB167" s="12"/>
      <x:c r="AC167" s="12"/>
      <x:c r="AD167" s="12"/>
      <x:c r="AE167" t="str">
        <x:v>Crystal Palace Women</x:v>
      </x:c>
      <x:c r="AF167" s="45" t="n">
        <x:v>6.909757575310629</x:v>
      </x:c>
      <x:c r="AG167" t="str">
        <x:v>Dulwich Hamlet Women</x:v>
      </x:c>
      <x:c r="AH167" s="45" t="n">
        <x:v>11.538763844694113</x:v>
      </x:c>
      <x:c r="AI167" t="n">
        <x:v>65</x:v>
      </x:c>
      <x:c r="AJ167" t="str">
        <x:v>MEDIUM</x:v>
      </x:c>
    </x:row>
    <x:row r="168">
      <x:c r="A168" s="12" t="str">
        <x:v>E01000681</x:v>
      </x:c>
      <x:c r="B168" s="12" t="str">
        <x:v>Bromley 035A</x:v>
      </x:c>
      <x:c r="C168" s="12" t="str">
        <x:v>Bromley</x:v>
      </x:c>
      <x:c r="D168" s="44" t="n">
        <x:v>51.36743247652273</x:v>
      </x:c>
      <x:c r="E168" s="44" t="n">
        <x:v>0.08801889717005039</x:v>
      </x:c>
      <x:c r="F168" s="33" t="n">
        <x:v>648</x:v>
      </x:c>
      <x:c r="G168" s="33" t="n">
        <x:v>249</x:v>
      </x:c>
      <x:c r="H168" s="26" t="n">
        <x:v>0.38425925925925924</x:v>
      </x:c>
      <x:c r="I168" s="12" t="n">
        <x:v>3</x:v>
      </x:c>
      <x:c r="J168" s="12" t="n">
        <x:v>55</x:v>
      </x:c>
      <x:c r="K168" s="12"/>
      <x:c r="L168" s="12"/>
      <x:c r="M168" s="12" t="str">
        <x:f>IF(K168="", "", MAX(0,IF(K168&lt;=20,100,IF(K168&lt;=30,85,IF(K168&lt;=40,70,IF(K168&lt;=50,55,IF(K168&lt;=60,40,20)))))-MIN(L168*5,20)))</x:f>
      </x:c>
      <x:c r="N168" s="12"/>
      <x:c r="O168" s="12"/>
      <x:c r="P168" s="12" t="str">
        <x:f>IF(OR(H168="",J168="",M168=""),"",ROUND(PERCENTRANK.INC($H$2:$H$941,H168)*35+J168*0.35+M168*0.30,0))</x:f>
      </x:c>
      <x:c r="Q168" s="12" t="str">
        <x:f>IF(P168="","",IF(P168&gt;=80,"ATTACK",IF(P168&gt;=65,"GROW",IF(P168&gt;=50,"PARTNER","WATCH"))))</x:f>
      </x:c>
      <x:c r="R168" s="12" t="str">
        <x:f>IF(Q168="","",IF(Q168="ATTACK","Grassroots + family acquisition",IF(Q168="GROW","Test local campaign",IF(Q168="PARTNER","Organisation-first partnership","Low priority / validate"))))</x:f>
      </x:c>
      <x:c r="S168" s="45" t="n">
        <x:v>5.53802741449074</x:v>
      </x:c>
      <x:c r="T168" t="str">
        <x:v>NEAR</x:v>
      </x:c>
      <x:c r="U168" s="32" t="n">
        <x:f>PERCENTRANK.INC($G$2:$G$941,G168)</x:f>
        <x:v>0.766</x:v>
      </x:c>
      <x:c r="V168" s="32" t="n">
        <x:f>PERCENTRANK.INC($H$2:$H$941,H168)</x:f>
        <x:v>0.857</x:v>
      </x:c>
      <x:c r="W168" t="n">
        <x:f>ROUND((U168*55+V168*45)*IF(S168&lt;=5,1,IF(S168&lt;=10,0.95,IF(S168&lt;=20,0.85,0.70))),0)</x:f>
        <x:v>77</x:v>
      </x:c>
      <x:c r="X168" t="n">
        <x:v>67</x:v>
      </x:c>
      <x:c r="Y168" t="str">
        <x:v>GROW</x:v>
      </x:c>
      <x:c r="Z168" s="12" t="str">
        <x:v>Family + verified grassroots + straight-line geo only; transport not yet routed</x:v>
      </x:c>
      <x:c r="AA168" s="12"/>
      <x:c r="AB168" s="12"/>
      <x:c r="AC168" s="12"/>
      <x:c r="AD168" s="12"/>
      <x:c r="AE168" t="str">
        <x:v>Crystal Palace Women</x:v>
      </x:c>
      <x:c r="AF168" s="45" t="n">
        <x:v>12.497558984833342</x:v>
      </x:c>
      <x:c r="AG168" t="str">
        <x:v>Dulwich Hamlet Women</x:v>
      </x:c>
      <x:c r="AH168" s="45" t="n">
        <x:v>15.851565978265043</x:v>
      </x:c>
      <x:c r="AI168" t="n">
        <x:v>45</x:v>
      </x:c>
      <x:c r="AJ168" t="str">
        <x:v>LOW</x:v>
      </x:c>
    </x:row>
    <x:row r="169">
      <x:c r="A169" s="12" t="str">
        <x:v>E01000682</x:v>
      </x:c>
      <x:c r="B169" s="12" t="str">
        <x:v>Bromley 035B</x:v>
      </x:c>
      <x:c r="C169" s="12" t="str">
        <x:v>Bromley</x:v>
      </x:c>
      <x:c r="D169" s="44" t="n">
        <x:v>51.36170059640176</x:v>
      </x:c>
      <x:c r="E169" s="44" t="n">
        <x:v>0.08457713009147379</x:v>
      </x:c>
      <x:c r="F169" s="33" t="n">
        <x:v>639</x:v>
      </x:c>
      <x:c r="G169" s="33" t="n">
        <x:v>217</x:v>
      </x:c>
      <x:c r="H169" s="26" t="n">
        <x:v>0.3395931142410016</x:v>
      </x:c>
      <x:c r="I169" s="12" t="n">
        <x:v>2</x:v>
      </x:c>
      <x:c r="J169" s="12" t="n">
        <x:v>39</x:v>
      </x:c>
      <x:c r="K169" s="12"/>
      <x:c r="L169" s="12"/>
      <x:c r="M169" s="12" t="str">
        <x:f>IF(K169="", "", MAX(0,IF(K169&lt;=20,100,IF(K169&lt;=30,85,IF(K169&lt;=40,70,IF(K169&lt;=50,55,IF(K169&lt;=60,40,20)))))-MIN(L169*5,20)))</x:f>
      </x:c>
      <x:c r="N169" s="12"/>
      <x:c r="O169" s="12"/>
      <x:c r="P169" s="12" t="str">
        <x:f>IF(OR(H169="",J169="",M169=""),"",ROUND(PERCENTRANK.INC($H$2:$H$941,H169)*35+J169*0.35+M169*0.30,0))</x:f>
      </x:c>
      <x:c r="Q169" s="12" t="str">
        <x:f>IF(P169="","",IF(P169&gt;=80,"ATTACK",IF(P169&gt;=65,"GROW",IF(P169&gt;=50,"PARTNER","WATCH"))))</x:f>
      </x:c>
      <x:c r="R169" s="12" t="str">
        <x:f>IF(Q169="","",IF(Q169="ATTACK","Grassroots + family acquisition",IF(Q169="GROW","Test local campaign",IF(Q169="PARTNER","Organisation-first partnership","Low priority / validate"))))</x:f>
      </x:c>
      <x:c r="S169" s="45" t="n">
        <x:v>5.66945445153583</x:v>
      </x:c>
      <x:c r="T169" t="str">
        <x:v>NEAR</x:v>
      </x:c>
      <x:c r="U169" s="32" t="n">
        <x:f>PERCENTRANK.INC($G$2:$G$941,G169)</x:f>
        <x:v>0.531</x:v>
      </x:c>
      <x:c r="V169" s="32" t="n">
        <x:f>PERCENTRANK.INC($H$2:$H$941,H169)</x:f>
        <x:v>0.615</x:v>
      </x:c>
      <x:c r="W169" t="n">
        <x:f>ROUND((U169*55+V169*45)*IF(S169&lt;=5,1,IF(S169&lt;=10,0.95,IF(S169&lt;=20,0.85,0.70))),0)</x:f>
        <x:v>54</x:v>
      </x:c>
      <x:c r="X169" t="n">
        <x:v>47</x:v>
      </x:c>
      <x:c r="Y169" t="str">
        <x:v>WATCH</x:v>
      </x:c>
      <x:c r="Z169" s="12" t="str">
        <x:v>Family + verified grassroots + straight-line geo only; transport not yet routed</x:v>
      </x:c>
      <x:c r="AA169" s="12"/>
      <x:c r="AB169" s="12"/>
      <x:c r="AC169" s="12"/>
      <x:c r="AD169" s="12"/>
      <x:c r="AE169" t="str">
        <x:v>Crystal Palace Women</x:v>
      </x:c>
      <x:c r="AF169" s="45" t="n">
        <x:v>12.461987071056857</x:v>
      </x:c>
      <x:c r="AG169" t="str">
        <x:v>Dulwich Hamlet Women</x:v>
      </x:c>
      <x:c r="AH169" s="45" t="n">
        <x:v>16.104844174054314</x:v>
      </x:c>
      <x:c r="AI169" t="n">
        <x:v>45</x:v>
      </x:c>
      <x:c r="AJ169" t="str">
        <x:v>LOW</x:v>
      </x:c>
    </x:row>
    <x:row r="170">
      <x:c r="A170" s="12" t="str">
        <x:v>E01000683</x:v>
      </x:c>
      <x:c r="B170" s="12" t="str">
        <x:v>Bromley 035C</x:v>
      </x:c>
      <x:c r="C170" s="12" t="str">
        <x:v>Bromley</x:v>
      </x:c>
      <x:c r="D170" s="44" t="n">
        <x:v>51.36433725856638</x:v>
      </x:c>
      <x:c r="E170" s="44" t="n">
        <x:v>0.08964413690884646</x:v>
      </x:c>
      <x:c r="F170" s="33" t="n">
        <x:v>706</x:v>
      </x:c>
      <x:c r="G170" s="33" t="n">
        <x:v>241</x:v>
      </x:c>
      <x:c r="H170" s="26" t="n">
        <x:v>0.3413597733711048</x:v>
      </x:c>
      <x:c r="I170" s="12" t="n">
        <x:v>2</x:v>
      </x:c>
      <x:c r="J170" s="12" t="n">
        <x:v>39</x:v>
      </x:c>
      <x:c r="K170" s="12"/>
      <x:c r="L170" s="12"/>
      <x:c r="M170" s="12" t="str">
        <x:f>IF(K170="", "", MAX(0,IF(K170&lt;=20,100,IF(K170&lt;=30,85,IF(K170&lt;=40,70,IF(K170&lt;=50,55,IF(K170&lt;=60,40,20)))))-MIN(L170*5,20)))</x:f>
      </x:c>
      <x:c r="N170" s="12"/>
      <x:c r="O170" s="12"/>
      <x:c r="P170" s="12" t="str">
        <x:f>IF(OR(H170="",J170="",M170=""),"",ROUND(PERCENTRANK.INC($H$2:$H$941,H170)*35+J170*0.35+M170*0.30,0))</x:f>
      </x:c>
      <x:c r="Q170" s="12" t="str">
        <x:f>IF(P170="","",IF(P170&gt;=80,"ATTACK",IF(P170&gt;=65,"GROW",IF(P170&gt;=50,"PARTNER","WATCH"))))</x:f>
      </x:c>
      <x:c r="R170" s="12" t="str">
        <x:f>IF(Q170="","",IF(Q170="ATTACK","Grassroots + family acquisition",IF(Q170="GROW","Test local campaign",IF(Q170="PARTNER","Organisation-first partnership","Low priority / validate"))))</x:f>
      </x:c>
      <x:c r="S170" s="45" t="n">
        <x:v>5.80569573250125</x:v>
      </x:c>
      <x:c r="T170" t="str">
        <x:v>NEAR</x:v>
      </x:c>
      <x:c r="U170" s="32" t="n">
        <x:f>PERCENTRANK.INC($G$2:$G$941,G170)</x:f>
        <x:v>0.714</x:v>
      </x:c>
      <x:c r="V170" s="32" t="n">
        <x:f>PERCENTRANK.INC($H$2:$H$941,H170)</x:f>
        <x:v>0.624</x:v>
      </x:c>
      <x:c r="W170" t="n">
        <x:f>ROUND((U170*55+V170*45)*IF(S170&lt;=5,1,IF(S170&lt;=10,0.95,IF(S170&lt;=20,0.85,0.70))),0)</x:f>
        <x:v>64</x:v>
      </x:c>
      <x:c r="X170" t="n">
        <x:v>53</x:v>
      </x:c>
      <x:c r="Y170" t="str">
        <x:v>PARTNER</x:v>
      </x:c>
      <x:c r="Z170" s="12" t="str">
        <x:v>Family + verified grassroots + straight-line geo only; transport not yet routed</x:v>
      </x:c>
      <x:c r="AA170" s="12"/>
      <x:c r="AB170" s="12"/>
      <x:c r="AC170" s="12"/>
      <x:c r="AD170" s="12"/>
      <x:c r="AE170" t="str">
        <x:v>Crystal Palace Women</x:v>
      </x:c>
      <x:c r="AF170" s="45" t="n">
        <x:v>12.704412803421475</x:v>
      </x:c>
      <x:c r="AG170" t="str">
        <x:v>Dulwich Hamlet Women</x:v>
      </x:c>
      <x:c r="AH170" s="45" t="n">
        <x:v>16.16441167723133</x:v>
      </x:c>
      <x:c r="AI170" t="n">
        <x:v>45</x:v>
      </x:c>
      <x:c r="AJ170" t="str">
        <x:v>LOW</x:v>
      </x:c>
    </x:row>
    <x:row r="171">
      <x:c r="A171" s="12" t="str">
        <x:v>E01000684</x:v>
      </x:c>
      <x:c r="B171" s="12" t="str">
        <x:v>Bromley 035D</x:v>
      </x:c>
      <x:c r="C171" s="12" t="str">
        <x:v>Bromley</x:v>
      </x:c>
      <x:c r="D171" s="44" t="n">
        <x:v>51.360168072595556</x:v>
      </x:c>
      <x:c r="E171" s="44" t="n">
        <x:v>0.09795702918647188</x:v>
      </x:c>
      <x:c r="F171" s="33" t="n">
        <x:v>746</x:v>
      </x:c>
      <x:c r="G171" s="33" t="n">
        <x:v>315</x:v>
      </x:c>
      <x:c r="H171" s="26" t="n">
        <x:v>0.4222520107238606</x:v>
      </x:c>
      <x:c r="I171" s="12" t="n">
        <x:v>1</x:v>
      </x:c>
      <x:c r="J171" s="12" t="n">
        <x:v>31</x:v>
      </x:c>
      <x:c r="K171" s="12"/>
      <x:c r="L171" s="12"/>
      <x:c r="M171" s="12" t="str">
        <x:f>IF(K171="", "", MAX(0,IF(K171&lt;=20,100,IF(K171&lt;=30,85,IF(K171&lt;=40,70,IF(K171&lt;=50,55,IF(K171&lt;=60,40,20)))))-MIN(L171*5,20)))</x:f>
      </x:c>
      <x:c r="N171" s="12"/>
      <x:c r="O171" s="12"/>
      <x:c r="P171" s="12" t="str">
        <x:f>IF(OR(H171="",J171="",M171=""),"",ROUND(PERCENTRANK.INC($H$2:$H$941,H171)*35+J171*0.35+M171*0.30,0))</x:f>
      </x:c>
      <x:c r="Q171" s="12" t="str">
        <x:f>IF(P171="","",IF(P171&gt;=80,"ATTACK",IF(P171&gt;=65,"GROW",IF(P171&gt;=50,"PARTNER","WATCH"))))</x:f>
      </x:c>
      <x:c r="R171" s="12" t="str">
        <x:f>IF(Q171="","",IF(Q171="ATTACK","Grassroots + family acquisition",IF(Q171="GROW","Test local campaign",IF(Q171="PARTNER","Organisation-first partnership","Low priority / validate"))))</x:f>
      </x:c>
      <x:c r="S171" s="45" t="n">
        <x:v>6.539509693141202</x:v>
      </x:c>
      <x:c r="T171" t="str">
        <x:v>NEAR</x:v>
      </x:c>
      <x:c r="U171" s="32" t="n">
        <x:f>PERCENTRANK.INC($G$2:$G$941,G171)</x:f>
        <x:v>0.959</x:v>
      </x:c>
      <x:c r="V171" s="32" t="n">
        <x:f>PERCENTRANK.INC($H$2:$H$941,H171)</x:f>
        <x:v>0.948</x:v>
      </x:c>
      <x:c r="W171" t="n">
        <x:f>ROUND((U171*55+V171*45)*IF(S171&lt;=5,1,IF(S171&lt;=10,0.95,IF(S171&lt;=20,0.85,0.70))),0)</x:f>
        <x:v>91</x:v>
      </x:c>
      <x:c r="X171" t="n">
        <x:v>64</x:v>
      </x:c>
      <x:c r="Y171" t="str">
        <x:v>PARTNER</x:v>
      </x:c>
      <x:c r="Z171" s="12" t="str">
        <x:v>Family + verified grassroots + straight-line geo only; transport not yet routed</x:v>
      </x:c>
      <x:c r="AA171" s="12"/>
      <x:c r="AB171" s="12"/>
      <x:c r="AC171" s="12"/>
      <x:c r="AD171" s="12"/>
      <x:c r="AE171" t="str">
        <x:v>Crystal Palace Women</x:v>
      </x:c>
      <x:c r="AF171" s="45" t="n">
        <x:v>13.396307119767087</x:v>
      </x:c>
      <x:c r="AG171" t="str">
        <x:v>Dulwich Hamlet Women</x:v>
      </x:c>
      <x:c r="AH171" s="45" t="n">
        <x:v>16.903637449642744</x:v>
      </x:c>
      <x:c r="AI171" t="n">
        <x:v>45</x:v>
      </x:c>
      <x:c r="AJ171" t="str">
        <x:v>LOW</x:v>
      </x:c>
    </x:row>
    <x:row r="172">
      <x:c r="A172" s="12" t="str">
        <x:v>E01000794</x:v>
      </x:c>
      <x:c r="B172" s="12" t="str">
        <x:v>Bromley 035E</x:v>
      </x:c>
      <x:c r="C172" s="12" t="str">
        <x:v>Bromley</x:v>
      </x:c>
      <x:c r="D172" s="44" t="n">
        <x:v>51.365350720871234</x:v>
      </x:c>
      <x:c r="E172" s="44" t="n">
        <x:v>0.10013963839639334</x:v>
      </x:c>
      <x:c r="F172" s="33" t="n">
        <x:v>605</x:v>
      </x:c>
      <x:c r="G172" s="33" t="n">
        <x:v>182</x:v>
      </x:c>
      <x:c r="H172" s="26" t="n">
        <x:v>0.30082644628099175</x:v>
      </x:c>
      <x:c r="I172" s="12" t="n">
        <x:v>2</x:v>
      </x:c>
      <x:c r="J172" s="12" t="n">
        <x:v>39</x:v>
      </x:c>
      <x:c r="K172" s="12"/>
      <x:c r="L172" s="12"/>
      <x:c r="M172" s="12" t="str">
        <x:f>IF(K172="", "", MAX(0,IF(K172&lt;=20,100,IF(K172&lt;=30,85,IF(K172&lt;=40,70,IF(K172&lt;=50,55,IF(K172&lt;=60,40,20)))))-MIN(L172*5,20)))</x:f>
      </x:c>
      <x:c r="N172" s="12"/>
      <x:c r="O172" s="12"/>
      <x:c r="P172" s="12" t="str">
        <x:f>IF(OR(H172="",J172="",M172=""),"",ROUND(PERCENTRANK.INC($H$2:$H$941,H172)*35+J172*0.35+M172*0.30,0))</x:f>
      </x:c>
      <x:c r="Q172" s="12" t="str">
        <x:f>IF(P172="","",IF(P172&gt;=80,"ATTACK",IF(P172&gt;=65,"GROW",IF(P172&gt;=50,"PARTNER","WATCH"))))</x:f>
      </x:c>
      <x:c r="R172" s="12" t="str">
        <x:f>IF(Q172="","",IF(Q172="ATTACK","Grassroots + family acquisition",IF(Q172="GROW","Test local campaign",IF(Q172="PARTNER","Organisation-first partnership","Low priority / validate"))))</x:f>
      </x:c>
      <x:c r="S172" s="45" t="n">
        <x:v>6.391773679955233</x:v>
      </x:c>
      <x:c r="T172" t="str">
        <x:v>NEAR</x:v>
      </x:c>
      <x:c r="U172" s="32" t="n">
        <x:f>PERCENTRANK.INC($G$2:$G$941,G172)</x:f>
        <x:v>0.238</x:v>
      </x:c>
      <x:c r="V172" s="32" t="n">
        <x:f>PERCENTRANK.INC($H$2:$H$941,H172)</x:f>
        <x:v>0.398</x:v>
      </x:c>
      <x:c r="W172" t="n">
        <x:f>ROUND((U172*55+V172*45)*IF(S172&lt;=5,1,IF(S172&lt;=10,0.95,IF(S172&lt;=20,0.85,0.70))),0)</x:f>
        <x:v>29</x:v>
      </x:c>
      <x:c r="X172" t="n">
        <x:v>34</x:v>
      </x:c>
      <x:c r="Y172" t="str">
        <x:v>WATCH</x:v>
      </x:c>
      <x:c r="Z172" s="12" t="str">
        <x:v>Family + verified grassroots + straight-line geo only; transport not yet routed</x:v>
      </x:c>
      <x:c r="AA172" s="12"/>
      <x:c r="AB172" s="12"/>
      <x:c r="AC172" s="12"/>
      <x:c r="AD172" s="12"/>
      <x:c r="AE172" t="str">
        <x:v>Crystal Palace Women</x:v>
      </x:c>
      <x:c r="AF172" s="45" t="n">
        <x:v>13.370231860919501</x:v>
      </x:c>
      <x:c r="AG172" t="str">
        <x:v>Dulwich Hamlet Women</x:v>
      </x:c>
      <x:c r="AH172" s="45" t="n">
        <x:v>16.64109825180606</x:v>
      </x:c>
      <x:c r="AI172" t="n">
        <x:v>45</x:v>
      </x:c>
      <x:c r="AJ172" t="str">
        <x:v>LOW</x:v>
      </x:c>
    </x:row>
    <x:row r="173">
      <x:c r="A173" s="12" t="str">
        <x:v>E01000749</x:v>
      </x:c>
      <x:c r="B173" s="12" t="str">
        <x:v>Bromley 036A</x:v>
      </x:c>
      <x:c r="C173" s="12" t="str">
        <x:v>Bromley</x:v>
      </x:c>
      <x:c r="D173" s="44" t="n">
        <x:v>51.34688509358649</x:v>
      </x:c>
      <x:c r="E173" s="44" t="n">
        <x:v>0.08037656346206773</x:v>
      </x:c>
      <x:c r="F173" s="33" t="n">
        <x:v>637</x:v>
      </x:c>
      <x:c r="G173" s="33" t="n">
        <x:v>184</x:v>
      </x:c>
      <x:c r="H173" s="26" t="n">
        <x:v>0.28885400313971743</x:v>
      </x:c>
      <x:c r="I173" s="12" t="n">
        <x:v>1</x:v>
      </x:c>
      <x:c r="J173" s="12" t="n">
        <x:v>31</x:v>
      </x:c>
      <x:c r="K173" s="12"/>
      <x:c r="L173" s="12"/>
      <x:c r="M173" s="12" t="str">
        <x:f>IF(K173="", "", MAX(0,IF(K173&lt;=20,100,IF(K173&lt;=30,85,IF(K173&lt;=40,70,IF(K173&lt;=50,55,IF(K173&lt;=60,40,20)))))-MIN(L173*5,20)))</x:f>
      </x:c>
      <x:c r="N173" s="12"/>
      <x:c r="O173" s="12"/>
      <x:c r="P173" s="12" t="str">
        <x:f>IF(OR(H173="",J173="",M173=""),"",ROUND(PERCENTRANK.INC($H$2:$H$941,H173)*35+J173*0.35+M173*0.30,0))</x:f>
      </x:c>
      <x:c r="Q173" s="12" t="str">
        <x:f>IF(P173="","",IF(P173&gt;=80,"ATTACK",IF(P173&gt;=65,"GROW",IF(P173&gt;=50,"PARTNER","WATCH"))))</x:f>
      </x:c>
      <x:c r="R173" s="12" t="str">
        <x:f>IF(Q173="","",IF(Q173="ATTACK","Grassroots + family acquisition",IF(Q173="GROW","Test local campaign",IF(Q173="PARTNER","Organisation-first partnership","Low priority / validate"))))</x:f>
      </x:c>
      <x:c r="S173" s="45" t="n">
        <x:v>6.555152611793092</x:v>
      </x:c>
      <x:c r="T173" t="str">
        <x:v>NEAR</x:v>
      </x:c>
      <x:c r="U173" s="32" t="n">
        <x:f>PERCENTRANK.INC($G$2:$G$941,G173)</x:f>
        <x:v>0.256</x:v>
      </x:c>
      <x:c r="V173" s="32" t="n">
        <x:f>PERCENTRANK.INC($H$2:$H$941,H173)</x:f>
        <x:v>0.336</x:v>
      </x:c>
      <x:c r="W173" t="n">
        <x:f>ROUND((U173*55+V173*45)*IF(S173&lt;=5,1,IF(S173&lt;=10,0.95,IF(S173&lt;=20,0.85,0.70))),0)</x:f>
        <x:v>28</x:v>
      </x:c>
      <x:c r="X173" t="n">
        <x:v>29</x:v>
      </x:c>
      <x:c r="Y173" t="str">
        <x:v>WATCH</x:v>
      </x:c>
      <x:c r="Z173" s="12" t="str">
        <x:v>Family + verified grassroots + straight-line geo only; transport not yet routed</x:v>
      </x:c>
      <x:c r="AA173" s="12"/>
      <x:c r="AB173" s="12"/>
      <x:c r="AC173" s="12"/>
      <x:c r="AD173" s="12"/>
      <x:c r="AE173" t="str">
        <x:v>Crystal Palace Women</x:v>
      </x:c>
      <x:c r="AF173" s="45" t="n">
        <x:v>12.83261933031661</x:v>
      </x:c>
      <x:c r="AG173" t="str">
        <x:v>Dulwich Hamlet Women</x:v>
      </x:c>
      <x:c r="AH173" s="45" t="n">
        <x:v>17.08487120764531</x:v>
      </x:c>
      <x:c r="AI173" t="n">
        <x:v>45</x:v>
      </x:c>
      <x:c r="AJ173" t="str">
        <x:v>LOW</x:v>
      </x:c>
    </x:row>
    <x:row r="174">
      <x:c r="A174" s="12" t="str">
        <x:v>E01000750</x:v>
      </x:c>
      <x:c r="B174" s="12" t="str">
        <x:v>Bromley 036B</x:v>
      </x:c>
      <x:c r="C174" s="12" t="str">
        <x:v>Bromley</x:v>
      </x:c>
      <x:c r="D174" s="44" t="n">
        <x:v>51.36275110131709</x:v>
      </x:c>
      <x:c r="E174" s="44" t="n">
        <x:v>0.06921824104289873</x:v>
      </x:c>
      <x:c r="F174" s="33" t="n">
        <x:v>651</x:v>
      </x:c>
      <x:c r="G174" s="33" t="n">
        <x:v>176</x:v>
      </x:c>
      <x:c r="H174" s="26" t="n">
        <x:v>0.27035330261136714</x:v>
      </x:c>
      <x:c r="I174" s="12" t="n">
        <x:v>2</x:v>
      </x:c>
      <x:c r="J174" s="12" t="n">
        <x:v>47</x:v>
      </x:c>
      <x:c r="K174" s="12"/>
      <x:c r="L174" s="12"/>
      <x:c r="M174" s="12" t="str">
        <x:f>IF(K174="", "", MAX(0,IF(K174&lt;=20,100,IF(K174&lt;=30,85,IF(K174&lt;=40,70,IF(K174&lt;=50,55,IF(K174&lt;=60,40,20)))))-MIN(L174*5,20)))</x:f>
      </x:c>
      <x:c r="N174" s="12"/>
      <x:c r="O174" s="12"/>
      <x:c r="P174" s="12" t="str">
        <x:f>IF(OR(H174="",J174="",M174=""),"",ROUND(PERCENTRANK.INC($H$2:$H$941,H174)*35+J174*0.35+M174*0.30,0))</x:f>
      </x:c>
      <x:c r="Q174" s="12" t="str">
        <x:f>IF(P174="","",IF(P174&gt;=80,"ATTACK",IF(P174&gt;=65,"GROW",IF(P174&gt;=50,"PARTNER","WATCH"))))</x:f>
      </x:c>
      <x:c r="R174" s="12" t="str">
        <x:f>IF(Q174="","",IF(Q174="ATTACK","Grassroots + family acquisition",IF(Q174="GROW","Test local campaign",IF(Q174="PARTNER","Organisation-first partnership","Low priority / validate"))))</x:f>
      </x:c>
      <x:c r="S174" s="45" t="n">
        <x:v>4.757792360342392</x:v>
      </x:c>
      <x:c r="T174" t="str">
        <x:v>CORE</x:v>
      </x:c>
      <x:c r="U174" s="32" t="n">
        <x:f>PERCENTRANK.INC($G$2:$G$941,G174)</x:f>
        <x:v>0.197</x:v>
      </x:c>
      <x:c r="V174" s="32" t="n">
        <x:f>PERCENTRANK.INC($H$2:$H$941,H174)</x:f>
        <x:v>0.261</x:v>
      </x:c>
      <x:c r="W174" t="n">
        <x:f>ROUND((U174*55+V174*45)*IF(S174&lt;=5,1,IF(S174&lt;=10,0.95,IF(S174&lt;=20,0.85,0.70))),0)</x:f>
        <x:v>23</x:v>
      </x:c>
      <x:c r="X174" t="n">
        <x:v>34</x:v>
      </x:c>
      <x:c r="Y174" t="str">
        <x:v>WATCH</x:v>
      </x:c>
      <x:c r="Z174" s="12" t="str">
        <x:v>Family + verified grassroots + straight-line geo only; transport not yet routed</x:v>
      </x:c>
      <x:c r="AA174" s="12"/>
      <x:c r="AB174" s="12"/>
      <x:c r="AC174" s="12"/>
      <x:c r="AD174" s="12"/>
      <x:c r="AE174" t="str">
        <x:v>Crystal Palace Women</x:v>
      </x:c>
      <x:c r="AF174" s="45" t="n">
        <x:v>11.418644610944112</x:v>
      </x:c>
      <x:c r="AG174" t="str">
        <x:v>Dulwich Hamlet Women</x:v>
      </x:c>
      <x:c r="AH174" s="45" t="n">
        <x:v>15.264948873083199</x:v>
      </x:c>
      <x:c r="AI174" t="n">
        <x:v>45</x:v>
      </x:c>
      <x:c r="AJ174" t="str">
        <x:v>LOW</x:v>
      </x:c>
    </x:row>
    <x:row r="175">
      <x:c r="A175" s="12" t="str">
        <x:v>E01000751</x:v>
      </x:c>
      <x:c r="B175" s="12" t="str">
        <x:v>Bromley 036C</x:v>
      </x:c>
      <x:c r="C175" s="12" t="str">
        <x:v>Bromley</x:v>
      </x:c>
      <x:c r="D175" s="44" t="n">
        <x:v>51.36365226890289</x:v>
      </x:c>
      <x:c r="E175" s="44" t="n">
        <x:v>0.06182407265632458</x:v>
      </x:c>
      <x:c r="F175" s="33" t="n">
        <x:v>888</x:v>
      </x:c>
      <x:c r="G175" s="33" t="n">
        <x:v>330</x:v>
      </x:c>
      <x:c r="H175" s="26" t="n">
        <x:v>0.3716216216216216</x:v>
      </x:c>
      <x:c r="I175" s="12" t="n">
        <x:v>2</x:v>
      </x:c>
      <x:c r="J175" s="12" t="n">
        <x:v>47</x:v>
      </x:c>
      <x:c r="K175" s="12"/>
      <x:c r="L175" s="12"/>
      <x:c r="M175" s="12" t="str">
        <x:f>IF(K175="", "", MAX(0,IF(K175&lt;=20,100,IF(K175&lt;=30,85,IF(K175&lt;=40,70,IF(K175&lt;=50,55,IF(K175&lt;=60,40,20)))))-MIN(L175*5,20)))</x:f>
      </x:c>
      <x:c r="N175" s="12"/>
      <x:c r="O175" s="12"/>
      <x:c r="P175" s="12" t="str">
        <x:f>IF(OR(H175="",J175="",M175=""),"",ROUND(PERCENTRANK.INC($H$2:$H$941,H175)*35+J175*0.35+M175*0.30,0))</x:f>
      </x:c>
      <x:c r="Q175" s="12" t="str">
        <x:f>IF(P175="","",IF(P175&gt;=80,"ATTACK",IF(P175&gt;=65,"GROW",IF(P175&gt;=50,"PARTNER","WATCH"))))</x:f>
      </x:c>
      <x:c r="R175" s="12" t="str">
        <x:f>IF(Q175="","",IF(Q175="ATTACK","Grassroots + family acquisition",IF(Q175="GROW","Test local campaign",IF(Q175="PARTNER","Organisation-first partnership","Low priority / validate"))))</x:f>
      </x:c>
      <x:c r="S175" s="45" t="n">
        <x:v>4.314065397805025</x:v>
      </x:c>
      <x:c r="T175" t="str">
        <x:v>CORE</x:v>
      </x:c>
      <x:c r="U175" s="32" t="n">
        <x:f>PERCENTRANK.INC($G$2:$G$941,G175)</x:f>
        <x:v>0.975</x:v>
      </x:c>
      <x:c r="V175" s="32" t="n">
        <x:f>PERCENTRANK.INC($H$2:$H$941,H175)</x:f>
        <x:v>0.799</x:v>
      </x:c>
      <x:c r="W175" t="n">
        <x:f>ROUND((U175*55+V175*45)*IF(S175&lt;=5,1,IF(S175&lt;=10,0.95,IF(S175&lt;=20,0.85,0.70))),0)</x:f>
        <x:v>90</x:v>
      </x:c>
      <x:c r="X175" t="n">
        <x:v>70</x:v>
      </x:c>
      <x:c r="Y175" t="str">
        <x:v>GROW</x:v>
      </x:c>
      <x:c r="Z175" s="12" t="str">
        <x:v>Family + verified grassroots + straight-line geo only; transport not yet routed</x:v>
      </x:c>
      <x:c r="AA175" s="12"/>
      <x:c r="AB175" s="12"/>
      <x:c r="AC175" s="12"/>
      <x:c r="AD175" s="12"/>
      <x:c r="AE175" t="str">
        <x:v>Crystal Palace Women</x:v>
      </x:c>
      <x:c r="AF175" s="45" t="n">
        <x:v>10.902725150950488</x:v>
      </x:c>
      <x:c r="AG175" t="str">
        <x:v>Dulwich Hamlet Women</x:v>
      </x:c>
      <x:c r="AH175" s="45" t="n">
        <x:v>14.838997920501836</x:v>
      </x:c>
      <x:c r="AI175" t="n">
        <x:v>50</x:v>
      </x:c>
      <x:c r="AJ175" t="str">
        <x:v>MEDIUM</x:v>
      </x:c>
    </x:row>
    <x:row r="176">
      <x:c r="A176" s="12" t="str">
        <x:v>E01000752</x:v>
      </x:c>
      <x:c r="B176" s="12" t="str">
        <x:v>Bromley 036D</x:v>
      </x:c>
      <x:c r="C176" s="12" t="str">
        <x:v>Bromley</x:v>
      </x:c>
      <x:c r="D176" s="44" t="n">
        <x:v>51.36072782793186</x:v>
      </x:c>
      <x:c r="E176" s="44" t="n">
        <x:v>0.07474111388422382</x:v>
      </x:c>
      <x:c r="F176" s="33" t="n">
        <x:v>788</x:v>
      </x:c>
      <x:c r="G176" s="33" t="n">
        <x:v>206</x:v>
      </x:c>
      <x:c r="H176" s="26" t="n">
        <x:v>0.2614213197969543</x:v>
      </x:c>
      <x:c r="I176" s="12" t="n">
        <x:v>2</x:v>
      </x:c>
      <x:c r="J176" s="12" t="n">
        <x:v>39</x:v>
      </x:c>
      <x:c r="K176" s="12"/>
      <x:c r="L176" s="12"/>
      <x:c r="M176" s="12" t="str">
        <x:f>IF(K176="", "", MAX(0,IF(K176&lt;=20,100,IF(K176&lt;=30,85,IF(K176&lt;=40,70,IF(K176&lt;=50,55,IF(K176&lt;=60,40,20)))))-MIN(L176*5,20)))</x:f>
      </x:c>
      <x:c r="N176" s="12"/>
      <x:c r="O176" s="12"/>
      <x:c r="P176" s="12" t="str">
        <x:f>IF(OR(H176="",J176="",M176=""),"",ROUND(PERCENTRANK.INC($H$2:$H$941,H176)*35+J176*0.35+M176*0.30,0))</x:f>
      </x:c>
      <x:c r="Q176" s="12" t="str">
        <x:f>IF(P176="","",IF(P176&gt;=80,"ATTACK",IF(P176&gt;=65,"GROW",IF(P176&gt;=50,"PARTNER","WATCH"))))</x:f>
      </x:c>
      <x:c r="R176" s="12" t="str">
        <x:f>IF(Q176="","",IF(Q176="ATTACK","Grassroots + family acquisition",IF(Q176="GROW","Test local campaign",IF(Q176="PARTNER","Organisation-first partnership","Low priority / validate"))))</x:f>
      </x:c>
      <x:c r="S176" s="45" t="n">
        <x:v>5.195021542549407</x:v>
      </x:c>
      <x:c r="T176" t="str">
        <x:v>NEAR</x:v>
      </x:c>
      <x:c r="U176" s="32" t="n">
        <x:f>PERCENTRANK.INC($G$2:$G$941,G176)</x:f>
        <x:v>0.437</x:v>
      </x:c>
      <x:c r="V176" s="32" t="n">
        <x:f>PERCENTRANK.INC($H$2:$H$941,H176)</x:f>
        <x:v>0.225</x:v>
      </x:c>
      <x:c r="W176" t="n">
        <x:f>ROUND((U176*55+V176*45)*IF(S176&lt;=5,1,IF(S176&lt;=10,0.95,IF(S176&lt;=20,0.85,0.70))),0)</x:f>
        <x:v>32</x:v>
      </x:c>
      <x:c r="X176" t="n">
        <x:v>36</x:v>
      </x:c>
      <x:c r="Y176" t="str">
        <x:v>WATCH</x:v>
      </x:c>
      <x:c r="Z176" s="12" t="str">
        <x:v>Family + verified grassroots + straight-line geo only; transport not yet routed</x:v>
      </x:c>
      <x:c r="AA176" s="12"/>
      <x:c r="AB176" s="12"/>
      <x:c r="AC176" s="12"/>
      <x:c r="AD176" s="12"/>
      <x:c r="AE176" t="str">
        <x:v>Crystal Palace Women</x:v>
      </x:c>
      <x:c r="AF176" s="45" t="n">
        <x:v>11.856597570882744</x:v>
      </x:c>
      <x:c r="AG176" t="str">
        <x:v>Dulwich Hamlet Women</x:v>
      </x:c>
      <x:c r="AH176" s="45" t="n">
        <x:v>15.69370669553583</x:v>
      </x:c>
      <x:c r="AI176" t="n">
        <x:v>45</x:v>
      </x:c>
      <x:c r="AJ176" t="str">
        <x:v>LOW</x:v>
      </x:c>
    </x:row>
    <x:row r="177">
      <x:c r="A177" s="12" t="str">
        <x:v>E01000680</x:v>
      </x:c>
      <x:c r="B177" s="12" t="str">
        <x:v>Bromley 037A</x:v>
      </x:c>
      <x:c r="C177" s="12" t="str">
        <x:v>Bromley</x:v>
      </x:c>
      <x:c r="D177" s="44" t="n">
        <x:v>51.34463800405907</x:v>
      </x:c>
      <x:c r="E177" s="44" t="n">
        <x:v>0.11375875045763763</x:v>
      </x:c>
      <x:c r="F177" s="33" t="n">
        <x:v>647</x:v>
      </x:c>
      <x:c r="G177" s="33" t="n">
        <x:v>165</x:v>
      </x:c>
      <x:c r="H177" s="26" t="n">
        <x:v>0.2550231839258114</x:v>
      </x:c>
      <x:c r="I177" s="12" t="n">
        <x:v>0</x:v>
      </x:c>
      <x:c r="J177" s="12" t="n">
        <x:v>7</x:v>
      </x:c>
      <x:c r="K177" s="12"/>
      <x:c r="L177" s="12"/>
      <x:c r="M177" s="12" t="str">
        <x:f>IF(K177="", "", MAX(0,IF(K177&lt;=20,100,IF(K177&lt;=30,85,IF(K177&lt;=40,70,IF(K177&lt;=50,55,IF(K177&lt;=60,40,20)))))-MIN(L177*5,20)))</x:f>
      </x:c>
      <x:c r="N177" s="12"/>
      <x:c r="O177" s="12"/>
      <x:c r="P177" s="12" t="str">
        <x:f>IF(OR(H177="",J177="",M177=""),"",ROUND(PERCENTRANK.INC($H$2:$H$941,H177)*35+J177*0.35+M177*0.30,0))</x:f>
      </x:c>
      <x:c r="Q177" s="12" t="str">
        <x:f>IF(P177="","",IF(P177&gt;=80,"ATTACK",IF(P177&gt;=65,"GROW",IF(P177&gt;=50,"PARTNER","WATCH"))))</x:f>
      </x:c>
      <x:c r="R177" s="12" t="str">
        <x:f>IF(Q177="","",IF(Q177="ATTACK","Grassroots + family acquisition",IF(Q177="GROW","Test local campaign",IF(Q177="PARTNER","Organisation-first partnership","Low priority / validate"))))</x:f>
      </x:c>
      <x:c r="S177" s="45" t="n">
        <x:v>8.42720292427403</x:v>
      </x:c>
      <x:c r="T177" t="str">
        <x:v>NEAR</x:v>
      </x:c>
      <x:c r="U177" s="32" t="n">
        <x:f>PERCENTRANK.INC($G$2:$G$941,G177)</x:f>
        <x:v>0.145</x:v>
      </x:c>
      <x:c r="V177" s="32" t="n">
        <x:f>PERCENTRANK.INC($H$2:$H$941,H177)</x:f>
        <x:v>0.201</x:v>
      </x:c>
      <x:c r="W177" t="n">
        <x:f>ROUND((U177*55+V177*45)*IF(S177&lt;=5,1,IF(S177&lt;=10,0.95,IF(S177&lt;=20,0.85,0.70))),0)</x:f>
        <x:v>16</x:v>
      </x:c>
      <x:c r="X177" t="n">
        <x:v>12</x:v>
      </x:c>
      <x:c r="Y177" t="str">
        <x:v>WATCH</x:v>
      </x:c>
      <x:c r="Z177" s="12" t="str">
        <x:v>Family + verified grassroots + straight-line geo only; transport not yet routed</x:v>
      </x:c>
      <x:c r="AA177" s="12"/>
      <x:c r="AB177" s="12"/>
      <x:c r="AC177" s="12"/>
      <x:c r="AD177" s="12"/>
      <x:c r="AE177" t="str">
        <x:v>Crystal Palace Women</x:v>
      </x:c>
      <x:c r="AF177" s="45" t="n">
        <x:v>15.040656673810693</x:v>
      </x:c>
      <x:c r="AG177" t="str">
        <x:v>Dulwich Hamlet Women</x:v>
      </x:c>
      <x:c r="AH177" s="45" t="n">
        <x:v>18.880791076042524</x:v>
      </x:c>
      <x:c r="AI177" t="n">
        <x:v>30</x:v>
      </x:c>
      <x:c r="AJ177" t="str">
        <x:v>LOW</x:v>
      </x:c>
    </x:row>
    <x:row r="178">
      <x:c r="A178" s="12" t="str">
        <x:v>E01000685</x:v>
      </x:c>
      <x:c r="B178" s="12" t="str">
        <x:v>Bromley 037B</x:v>
      </x:c>
      <x:c r="C178" s="12" t="str">
        <x:v>Bromley</x:v>
      </x:c>
      <x:c r="D178" s="44" t="n">
        <x:v>51.358456965304725</x:v>
      </x:c>
      <x:c r="E178" s="44" t="n">
        <x:v>0.10602268013649745</x:v>
      </x:c>
      <x:c r="F178" s="33" t="n">
        <x:v>612</x:v>
      </x:c>
      <x:c r="G178" s="33" t="n">
        <x:v>249</x:v>
      </x:c>
      <x:c r="H178" s="26" t="n">
        <x:v>0.4068627450980392</x:v>
      </x:c>
      <x:c r="I178" s="12" t="n">
        <x:v>1</x:v>
      </x:c>
      <x:c r="J178" s="12" t="n">
        <x:v>31</x:v>
      </x:c>
      <x:c r="K178" s="12"/>
      <x:c r="L178" s="12"/>
      <x:c r="M178" s="12" t="str">
        <x:f>IF(K178="", "", MAX(0,IF(K178&lt;=20,100,IF(K178&lt;=30,85,IF(K178&lt;=40,70,IF(K178&lt;=50,55,IF(K178&lt;=60,40,20)))))-MIN(L178*5,20)))</x:f>
      </x:c>
      <x:c r="N178" s="12"/>
      <x:c r="O178" s="12"/>
      <x:c r="P178" s="12" t="str">
        <x:f>IF(OR(H178="",J178="",M178=""),"",ROUND(PERCENTRANK.INC($H$2:$H$941,H178)*35+J178*0.35+M178*0.30,0))</x:f>
      </x:c>
      <x:c r="Q178" s="12" t="str">
        <x:f>IF(P178="","",IF(P178&gt;=80,"ATTACK",IF(P178&gt;=65,"GROW",IF(P178&gt;=50,"PARTNER","WATCH"))))</x:f>
      </x:c>
      <x:c r="R178" s="12" t="str">
        <x:f>IF(Q178="","",IF(Q178="ATTACK","Grassroots + family acquisition",IF(Q178="GROW","Test local campaign",IF(Q178="PARTNER","Organisation-first partnership","Low priority / validate"))))</x:f>
      </x:c>
      <x:c r="S178" s="45" t="n">
        <x:v>7.11734082087031</x:v>
      </x:c>
      <x:c r="T178" t="str">
        <x:v>NEAR</x:v>
      </x:c>
      <x:c r="U178" s="32" t="n">
        <x:f>PERCENTRANK.INC($G$2:$G$941,G178)</x:f>
        <x:v>0.766</x:v>
      </x:c>
      <x:c r="V178" s="32" t="n">
        <x:f>PERCENTRANK.INC($H$2:$H$941,H178)</x:f>
        <x:v>0.929</x:v>
      </x:c>
      <x:c r="W178" t="n">
        <x:f>ROUND((U178*55+V178*45)*IF(S178&lt;=5,1,IF(S178&lt;=10,0.95,IF(S178&lt;=20,0.85,0.70))),0)</x:f>
        <x:v>80</x:v>
      </x:c>
      <x:c r="X178" t="n">
        <x:v>58</x:v>
      </x:c>
      <x:c r="Y178" t="str">
        <x:v>PARTNER</x:v>
      </x:c>
      <x:c r="Z178" s="12" t="str">
        <x:v>Family + verified grassroots + straight-line geo only; transport not yet routed</x:v>
      </x:c>
      <x:c r="AA178" s="12"/>
      <x:c r="AB178" s="12"/>
      <x:c r="AC178" s="12"/>
      <x:c r="AD178" s="12"/>
      <x:c r="AE178" t="str">
        <x:v>Crystal Palace Women</x:v>
      </x:c>
      <x:c r="AF178" s="45" t="n">
        <x:v>13.987770995223533</x:v>
      </x:c>
      <x:c r="AG178" t="str">
        <x:v>Dulwich Hamlet Women</x:v>
      </x:c>
      <x:c r="AH178" s="45" t="n">
        <x:v>17.449532221956567</x:v>
      </x:c>
      <x:c r="AI178" t="n">
        <x:v>45</x:v>
      </x:c>
      <x:c r="AJ178" t="str">
        <x:v>LOW</x:v>
      </x:c>
    </x:row>
    <x:row r="179">
      <x:c r="A179" s="12" t="str">
        <x:v>E01000686</x:v>
      </x:c>
      <x:c r="B179" s="12" t="str">
        <x:v>Bromley 037C</x:v>
      </x:c>
      <x:c r="C179" s="12" t="str">
        <x:v>Bromley</x:v>
      </x:c>
      <x:c r="D179" s="44" t="n">
        <x:v>51.35808763697968</x:v>
      </x:c>
      <x:c r="E179" s="44" t="n">
        <x:v>0.0922246939918969</x:v>
      </x:c>
      <x:c r="F179" s="33" t="n">
        <x:v>639</x:v>
      </x:c>
      <x:c r="G179" s="33" t="n">
        <x:v>187</x:v>
      </x:c>
      <x:c r="H179" s="26" t="n">
        <x:v>0.29264475743348983</x:v>
      </x:c>
      <x:c r="I179" s="12" t="n">
        <x:v>1</x:v>
      </x:c>
      <x:c r="J179" s="12" t="n">
        <x:v>31</x:v>
      </x:c>
      <x:c r="K179" s="12"/>
      <x:c r="L179" s="12"/>
      <x:c r="M179" s="12" t="str">
        <x:f>IF(K179="", "", MAX(0,IF(K179&lt;=20,100,IF(K179&lt;=30,85,IF(K179&lt;=40,70,IF(K179&lt;=50,55,IF(K179&lt;=60,40,20)))))-MIN(L179*5,20)))</x:f>
      </x:c>
      <x:c r="N179" s="12"/>
      <x:c r="O179" s="12"/>
      <x:c r="P179" s="12" t="str">
        <x:f>IF(OR(H179="",J179="",M179=""),"",ROUND(PERCENTRANK.INC($H$2:$H$941,H179)*35+J179*0.35+M179*0.30,0))</x:f>
      </x:c>
      <x:c r="Q179" s="12" t="str">
        <x:f>IF(P179="","",IF(P179&gt;=80,"ATTACK",IF(P179&gt;=65,"GROW",IF(P179&gt;=50,"PARTNER","WATCH"))))</x:f>
      </x:c>
      <x:c r="R179" s="12" t="str">
        <x:f>IF(Q179="","",IF(Q179="ATTACK","Grassroots + family acquisition",IF(Q179="GROW","Test local campaign",IF(Q179="PARTNER","Organisation-first partnership","Low priority / validate"))))</x:f>
      </x:c>
      <x:c r="S179" s="45" t="n">
        <x:v>6.334928513165421</x:v>
      </x:c>
      <x:c r="T179" t="str">
        <x:v>NEAR</x:v>
      </x:c>
      <x:c r="U179" s="32" t="n">
        <x:f>PERCENTRANK.INC($G$2:$G$941,G179)</x:f>
        <x:v>0.29</x:v>
      </x:c>
      <x:c r="V179" s="32" t="n">
        <x:f>PERCENTRANK.INC($H$2:$H$941,H179)</x:f>
        <x:v>0.358</x:v>
      </x:c>
      <x:c r="W179" t="n">
        <x:f>ROUND((U179*55+V179*45)*IF(S179&lt;=5,1,IF(S179&lt;=10,0.95,IF(S179&lt;=20,0.85,0.70))),0)</x:f>
        <x:v>30</x:v>
      </x:c>
      <x:c r="X179" t="n">
        <x:v>31</x:v>
      </x:c>
      <x:c r="Y179" t="str">
        <x:v>WATCH</x:v>
      </x:c>
      <x:c r="Z179" s="12" t="str">
        <x:v>Family + verified grassroots + straight-line geo only; transport not yet routed</x:v>
      </x:c>
      <x:c r="AA179" s="12"/>
      <x:c r="AB179" s="12"/>
      <x:c r="AC179" s="12"/>
      <x:c r="AD179" s="12"/>
      <x:c r="AE179" t="str">
        <x:v>Crystal Palace Women</x:v>
      </x:c>
      <x:c r="AF179" s="45" t="n">
        <x:v>13.096890468304494</x:v>
      </x:c>
      <x:c r="AG179" t="str">
        <x:v>Dulwich Hamlet Women</x:v>
      </x:c>
      <x:c r="AH179" s="45" t="n">
        <x:v>16.766686713126838</x:v>
      </x:c>
      <x:c r="AI179" t="n">
        <x:v>45</x:v>
      </x:c>
      <x:c r="AJ179" t="str">
        <x:v>LOW</x:v>
      </x:c>
    </x:row>
    <x:row r="180">
      <x:c r="A180" s="12" t="str">
        <x:v>E01000687</x:v>
      </x:c>
      <x:c r="B180" s="12" t="str">
        <x:v>Bromley 037D</x:v>
      </x:c>
      <x:c r="C180" s="12" t="str">
        <x:v>Bromley</x:v>
      </x:c>
      <x:c r="D180" s="44" t="n">
        <x:v>51.35276390394697</x:v>
      </x:c>
      <x:c r="E180" s="44" t="n">
        <x:v>0.09273190837222617</x:v>
      </x:c>
      <x:c r="F180" s="33" t="n">
        <x:v>662</x:v>
      </x:c>
      <x:c r="G180" s="33" t="n">
        <x:v>189</x:v>
      </x:c>
      <x:c r="H180" s="26" t="n">
        <x:v>0.2854984894259819</x:v>
      </x:c>
      <x:c r="I180" s="12" t="n">
        <x:v>1</x:v>
      </x:c>
      <x:c r="J180" s="12" t="n">
        <x:v>31</x:v>
      </x:c>
      <x:c r="K180" s="12"/>
      <x:c r="L180" s="12"/>
      <x:c r="M180" s="12" t="str">
        <x:f>IF(K180="", "", MAX(0,IF(K180&lt;=20,100,IF(K180&lt;=30,85,IF(K180&lt;=40,70,IF(K180&lt;=50,55,IF(K180&lt;=60,40,20)))))-MIN(L180*5,20)))</x:f>
      </x:c>
      <x:c r="N180" s="12"/>
      <x:c r="O180" s="12"/>
      <x:c r="P180" s="12" t="str">
        <x:f>IF(OR(H180="",J180="",M180=""),"",ROUND(PERCENTRANK.INC($H$2:$H$941,H180)*35+J180*0.35+M180*0.30,0))</x:f>
      </x:c>
      <x:c r="Q180" s="12" t="str">
        <x:f>IF(P180="","",IF(P180&gt;=80,"ATTACK",IF(P180&gt;=65,"GROW",IF(P180&gt;=50,"PARTNER","WATCH"))))</x:f>
      </x:c>
      <x:c r="R180" s="12" t="str">
        <x:f>IF(Q180="","",IF(Q180="ATTACK","Grassroots + family acquisition",IF(Q180="GROW","Test local campaign",IF(Q180="PARTNER","Organisation-first partnership","Low priority / validate"))))</x:f>
      </x:c>
      <x:c r="S180" s="45" t="n">
        <x:v>6.721688559144124</x:v>
      </x:c>
      <x:c r="T180" t="str">
        <x:v>NEAR</x:v>
      </x:c>
      <x:c r="U180" s="32" t="n">
        <x:f>PERCENTRANK.INC($G$2:$G$941,G180)</x:f>
        <x:v>0.31</x:v>
      </x:c>
      <x:c r="V180" s="32" t="n">
        <x:f>PERCENTRANK.INC($H$2:$H$941,H180)</x:f>
        <x:v>0.318</x:v>
      </x:c>
      <x:c r="W180" t="n">
        <x:f>ROUND((U180*55+V180*45)*IF(S180&lt;=5,1,IF(S180&lt;=10,0.95,IF(S180&lt;=20,0.85,0.70))),0)</x:f>
        <x:v>30</x:v>
      </x:c>
      <x:c r="X180" t="n">
        <x:v>31</x:v>
      </x:c>
      <x:c r="Y180" t="str">
        <x:v>WATCH</x:v>
      </x:c>
      <x:c r="Z180" s="12" t="str">
        <x:v>Family + verified grassroots + straight-line geo only; transport not yet routed</x:v>
      </x:c>
      <x:c r="AA180" s="12"/>
      <x:c r="AB180" s="12"/>
      <x:c r="AC180" s="12"/>
      <x:c r="AD180" s="12"/>
      <x:c r="AE180" t="str">
        <x:v>Crystal Palace Women</x:v>
      </x:c>
      <x:c r="AF180" s="45" t="n">
        <x:v>13.343761557633776</x:v>
      </x:c>
      <x:c r="AG180" t="str">
        <x:v>Dulwich Hamlet Women</x:v>
      </x:c>
      <x:c r="AH180" s="45" t="n">
        <x:v>17.202941864266442</x:v>
      </x:c>
      <x:c r="AI180" t="n">
        <x:v>45</x:v>
      </x:c>
      <x:c r="AJ180" t="str">
        <x:v>LOW</x:v>
      </x:c>
    </x:row>
    <x:row r="181">
      <x:c r="A181" s="12" t="str">
        <x:v>E01000688</x:v>
      </x:c>
      <x:c r="B181" s="12" t="str">
        <x:v>Bromley 037E</x:v>
      </x:c>
      <x:c r="C181" s="12" t="str">
        <x:v>Bromley</x:v>
      </x:c>
      <x:c r="D181" s="44" t="n">
        <x:v>51.35247340265963</x:v>
      </x:c>
      <x:c r="E181" s="44" t="n">
        <x:v>0.10119434095324845</x:v>
      </x:c>
      <x:c r="F181" s="33" t="n">
        <x:v>507</x:v>
      </x:c>
      <x:c r="G181" s="33" t="n">
        <x:v>181</x:v>
      </x:c>
      <x:c r="H181" s="26" t="n">
        <x:v>0.35700197238658776</x:v>
      </x:c>
      <x:c r="I181" s="12" t="n">
        <x:v>1</x:v>
      </x:c>
      <x:c r="J181" s="12" t="n">
        <x:v>31</x:v>
      </x:c>
      <x:c r="K181" s="12"/>
      <x:c r="L181" s="12"/>
      <x:c r="M181" s="12" t="str">
        <x:f>IF(K181="", "", MAX(0,IF(K181&lt;=20,100,IF(K181&lt;=30,85,IF(K181&lt;=40,70,IF(K181&lt;=50,55,IF(K181&lt;=60,40,20)))))-MIN(L181*5,20)))</x:f>
      </x:c>
      <x:c r="N181" s="12"/>
      <x:c r="O181" s="12"/>
      <x:c r="P181" s="12" t="str">
        <x:f>IF(OR(H181="",J181="",M181=""),"",ROUND(PERCENTRANK.INC($H$2:$H$941,H181)*35+J181*0.35+M181*0.30,0))</x:f>
      </x:c>
      <x:c r="Q181" s="12" t="str">
        <x:f>IF(P181="","",IF(P181&gt;=80,"ATTACK",IF(P181&gt;=65,"GROW",IF(P181&gt;=50,"PARTNER","WATCH"))))</x:f>
      </x:c>
      <x:c r="R181" s="12" t="str">
        <x:f>IF(Q181="","",IF(Q181="ATTACK","Grassroots + family acquisition",IF(Q181="GROW","Test local campaign",IF(Q181="PARTNER","Organisation-first partnership","Low priority / validate"))))</x:f>
      </x:c>
      <x:c r="S181" s="45" t="n">
        <x:v>7.205561868363123</x:v>
      </x:c>
      <x:c r="T181" t="str">
        <x:v>NEAR</x:v>
      </x:c>
      <x:c r="U181" s="32" t="n">
        <x:f>PERCENTRANK.INC($G$2:$G$941,G181)</x:f>
        <x:v>0.23</x:v>
      </x:c>
      <x:c r="V181" s="32" t="n">
        <x:f>PERCENTRANK.INC($H$2:$H$941,H181)</x:f>
        <x:v>0.725</x:v>
      </x:c>
      <x:c r="W181" t="n">
        <x:f>ROUND((U181*55+V181*45)*IF(S181&lt;=5,1,IF(S181&lt;=10,0.95,IF(S181&lt;=20,0.85,0.70))),0)</x:f>
        <x:v>43</x:v>
      </x:c>
      <x:c r="X181" t="n">
        <x:v>38</x:v>
      </x:c>
      <x:c r="Y181" t="str">
        <x:v>WATCH</x:v>
      </x:c>
      <x:c r="Z181" s="12" t="str">
        <x:v>Family + verified grassroots + straight-line geo only; transport not yet routed</x:v>
      </x:c>
      <x:c r="AA181" s="12"/>
      <x:c r="AB181" s="12"/>
      <x:c r="AC181" s="12"/>
      <x:c r="AD181" s="12"/>
      <x:c r="AE181" t="str">
        <x:v>Crystal Palace Women</x:v>
      </x:c>
      <x:c r="AF181" s="45" t="n">
        <x:v>13.900872557086817</x:v>
      </x:c>
      <x:c r="AG181" t="str">
        <x:v>Dulwich Hamlet Women</x:v>
      </x:c>
      <x:c r="AH181" s="45" t="n">
        <x:v>17.648133227802553</x:v>
      </x:c>
      <x:c r="AI181" t="n">
        <x:v>45</x:v>
      </x:c>
      <x:c r="AJ181" t="str">
        <x:v>LOW</x:v>
      </x:c>
    </x:row>
    <x:row r="182">
      <x:c r="A182" s="12" t="str">
        <x:v>E01000654</x:v>
      </x:c>
      <x:c r="B182" s="12" t="str">
        <x:v>Bromley 039A</x:v>
      </x:c>
      <x:c r="C182" s="12" t="str">
        <x:v>Bromley</x:v>
      </x:c>
      <x:c r="D182" s="44" t="n">
        <x:v>51.30683156343588</x:v>
      </x:c>
      <x:c r="E182" s="44" t="n">
        <x:v>0.028075707229881845</x:v>
      </x:c>
      <x:c r="F182" s="33" t="n">
        <x:v>487</x:v>
      </x:c>
      <x:c r="G182" s="33" t="n">
        <x:v>177</x:v>
      </x:c>
      <x:c r="H182" s="26" t="n">
        <x:v>0.36344969199178645</x:v>
      </x:c>
      <x:c r="I182" s="12" t="n">
        <x:v>0</x:v>
      </x:c>
      <x:c r="J182" s="12" t="n">
        <x:v>0</x:v>
      </x:c>
      <x:c r="K182" s="12"/>
      <x:c r="L182" s="12"/>
      <x:c r="M182" s="12" t="str">
        <x:f>IF(K182="", "", MAX(0,IF(K182&lt;=20,100,IF(K182&lt;=30,85,IF(K182&lt;=40,70,IF(K182&lt;=50,55,IF(K182&lt;=60,40,20)))))-MIN(L182*5,20)))</x:f>
      </x:c>
      <x:c r="N182" s="12"/>
      <x:c r="O182" s="12"/>
      <x:c r="P182" s="12" t="str">
        <x:f>IF(OR(H182="",J182="",M182=""),"",ROUND(PERCENTRANK.INC($H$2:$H$941,H182)*35+J182*0.35+M182*0.30,0))</x:f>
      </x:c>
      <x:c r="Q182" s="12" t="str">
        <x:f>IF(P182="","",IF(P182&gt;=80,"ATTACK",IF(P182&gt;=65,"GROW",IF(P182&gt;=50,"PARTNER","WATCH"))))</x:f>
      </x:c>
      <x:c r="R182" s="12" t="str">
        <x:f>IF(Q182="","",IF(Q182="ATTACK","Grassroots + family acquisition",IF(Q182="GROW","Test local campaign",IF(Q182="PARTNER","Organisation-first partnership","Low priority / validate"))))</x:f>
      </x:c>
      <x:c r="S182" s="45" t="n">
        <x:v>9.384988266658912</x:v>
      </x:c>
      <x:c r="T182" t="str">
        <x:v>NEAR</x:v>
      </x:c>
      <x:c r="U182" s="32" t="n">
        <x:f>PERCENTRANK.INC($G$2:$G$941,G182)</x:f>
        <x:v>0.202</x:v>
      </x:c>
      <x:c r="V182" s="32" t="n">
        <x:f>PERCENTRANK.INC($H$2:$H$941,H182)</x:f>
        <x:v>0.762</x:v>
      </x:c>
      <x:c r="W182" t="n">
        <x:f>ROUND((U182*55+V182*45)*IF(S182&lt;=5,1,IF(S182&lt;=10,0.95,IF(S182&lt;=20,0.85,0.70))),0)</x:f>
        <x:v>43</x:v>
      </x:c>
      <x:c r="X182" t="n">
        <x:v>24</x:v>
      </x:c>
      <x:c r="Y182" t="str">
        <x:v>WATCH</x:v>
      </x:c>
      <x:c r="Z182" s="12" t="str">
        <x:v>Family + verified grassroots + straight-line geo only; transport not yet routed</x:v>
      </x:c>
      <x:c r="AA182" s="12"/>
      <x:c r="AB182" s="12"/>
      <x:c r="AC182" s="12"/>
      <x:c r="AD182" s="12"/>
      <x:c r="AE182" t="str">
        <x:v>Crystal Palace Women</x:v>
      </x:c>
      <x:c r="AF182" s="45" t="n">
        <x:v>12.854007561468219</x:v>
      </x:c>
      <x:c r="AG182" t="str">
        <x:v>Dulwich Hamlet Women</x:v>
      </x:c>
      <x:c r="AH182" s="45" t="n">
        <x:v>18.856459099925114</x:v>
      </x:c>
      <x:c r="AI182" t="n">
        <x:v>45</x:v>
      </x:c>
      <x:c r="AJ182" t="str">
        <x:v>LOW</x:v>
      </x:c>
    </x:row>
    <x:row r="183">
      <x:c r="A183" s="12" t="str">
        <x:v>E01000655</x:v>
      </x:c>
      <x:c r="B183" s="12" t="str">
        <x:v>Bromley 039B</x:v>
      </x:c>
      <x:c r="C183" s="12" t="str">
        <x:v>Bromley</x:v>
      </x:c>
      <x:c r="D183" s="44" t="n">
        <x:v>51.30547602543667</x:v>
      </x:c>
      <x:c r="E183" s="44" t="n">
        <x:v>0.022062969610868777</x:v>
      </x:c>
      <x:c r="F183" s="33" t="n">
        <x:v>493</x:v>
      </x:c>
      <x:c r="G183" s="33" t="n">
        <x:v>178</x:v>
      </x:c>
      <x:c r="H183" s="26" t="n">
        <x:v>0.36105476673427994</x:v>
      </x:c>
      <x:c r="I183" s="12" t="n">
        <x:v>0</x:v>
      </x:c>
      <x:c r="J183" s="12" t="n">
        <x:v>0</x:v>
      </x:c>
      <x:c r="K183" s="12"/>
      <x:c r="L183" s="12"/>
      <x:c r="M183" s="12" t="str">
        <x:f>IF(K183="", "", MAX(0,IF(K183&lt;=20,100,IF(K183&lt;=30,85,IF(K183&lt;=40,70,IF(K183&lt;=50,55,IF(K183&lt;=60,40,20)))))-MIN(L183*5,20)))</x:f>
      </x:c>
      <x:c r="N183" s="12"/>
      <x:c r="O183" s="12"/>
      <x:c r="P183" s="12" t="str">
        <x:f>IF(OR(H183="",J183="",M183=""),"",ROUND(PERCENTRANK.INC($H$2:$H$941,H183)*35+J183*0.35+M183*0.30,0))</x:f>
      </x:c>
      <x:c r="Q183" s="12" t="str">
        <x:f>IF(P183="","",IF(P183&gt;=80,"ATTACK",IF(P183&gt;=65,"GROW",IF(P183&gt;=50,"PARTNER","WATCH"))))</x:f>
      </x:c>
      <x:c r="R183" s="12" t="str">
        <x:f>IF(Q183="","",IF(Q183="ATTACK","Grassroots + family acquisition",IF(Q183="GROW","Test local campaign",IF(Q183="PARTNER","Organisation-first partnership","Low priority / validate"))))</x:f>
      </x:c>
      <x:c r="S183" s="45" t="n">
        <x:v>9.512871096988187</x:v>
      </x:c>
      <x:c r="T183" t="str">
        <x:v>NEAR</x:v>
      </x:c>
      <x:c r="U183" s="32" t="n">
        <x:f>PERCENTRANK.INC($G$2:$G$941,G183)</x:f>
        <x:v>0.21</x:v>
      </x:c>
      <x:c r="V183" s="32" t="n">
        <x:f>PERCENTRANK.INC($H$2:$H$941,H183)</x:f>
        <x:v>0.74</x:v>
      </x:c>
      <x:c r="W183" t="n">
        <x:f>ROUND((U183*55+V183*45)*IF(S183&lt;=5,1,IF(S183&lt;=10,0.95,IF(S183&lt;=20,0.85,0.70))),0)</x:f>
        <x:v>43</x:v>
      </x:c>
      <x:c r="X183" t="n">
        <x:v>24</x:v>
      </x:c>
      <x:c r="Y183" t="str">
        <x:v>WATCH</x:v>
      </x:c>
      <x:c r="Z183" s="12" t="str">
        <x:v>Family + verified grassroots + straight-line geo only; transport not yet routed</x:v>
      </x:c>
      <x:c r="AA183" s="12"/>
      <x:c r="AB183" s="12"/>
      <x:c r="AC183" s="12"/>
      <x:c r="AD183" s="12"/>
      <x:c r="AE183" t="str">
        <x:v>Crystal Palace Women</x:v>
      </x:c>
      <x:c r="AF183" s="45" t="n">
        <x:v>12.724910513954214</x:v>
      </x:c>
      <x:c r="AG183" t="str">
        <x:v>Dulwich Hamlet Women</x:v>
      </x:c>
      <x:c r="AH183" s="45" t="n">
        <x:v>18.826937074842668</x:v>
      </x:c>
      <x:c r="AI183" t="n">
        <x:v>45</x:v>
      </x:c>
      <x:c r="AJ183" t="str">
        <x:v>LOW</x:v>
      </x:c>
    </x:row>
    <x:row r="184">
      <x:c r="A184" s="12" t="str">
        <x:v>E01000656</x:v>
      </x:c>
      <x:c r="B184" s="12" t="str">
        <x:v>Bromley 039C</x:v>
      </x:c>
      <x:c r="C184" s="12" t="str">
        <x:v>Bromley</x:v>
      </x:c>
      <x:c r="D184" s="44" t="n">
        <x:v>51.317427291309265</x:v>
      </x:c>
      <x:c r="E184" s="44" t="n">
        <x:v>0.027119616409861064</x:v>
      </x:c>
      <x:c r="F184" s="33" t="n">
        <x:v>566</x:v>
      </x:c>
      <x:c r="G184" s="33" t="n">
        <x:v>177</x:v>
      </x:c>
      <x:c r="H184" s="26" t="n">
        <x:v>0.3127208480565371</x:v>
      </x:c>
      <x:c r="I184" s="12" t="n">
        <x:v>0</x:v>
      </x:c>
      <x:c r="J184" s="12" t="n">
        <x:v>0</x:v>
      </x:c>
      <x:c r="K184" s="12"/>
      <x:c r="L184" s="12"/>
      <x:c r="M184" s="12" t="str">
        <x:f>IF(K184="", "", MAX(0,IF(K184&lt;=20,100,IF(K184&lt;=30,85,IF(K184&lt;=40,70,IF(K184&lt;=50,55,IF(K184&lt;=60,40,20)))))-MIN(L184*5,20)))</x:f>
      </x:c>
      <x:c r="N184" s="12"/>
      <x:c r="O184" s="12"/>
      <x:c r="P184" s="12" t="str">
        <x:f>IF(OR(H184="",J184="",M184=""),"",ROUND(PERCENTRANK.INC($H$2:$H$941,H184)*35+J184*0.35+M184*0.30,0))</x:f>
      </x:c>
      <x:c r="Q184" s="12" t="str">
        <x:f>IF(P184="","",IF(P184&gt;=80,"ATTACK",IF(P184&gt;=65,"GROW",IF(P184&gt;=50,"PARTNER","WATCH"))))</x:f>
      </x:c>
      <x:c r="R184" s="12" t="str">
        <x:f>IF(Q184="","",IF(Q184="ATTACK","Grassroots + family acquisition",IF(Q184="GROW","Test local campaign",IF(Q184="PARTNER","Organisation-first partnership","Low priority / validate"))))</x:f>
      </x:c>
      <x:c r="S184" s="45" t="n">
        <x:v>8.205203020024767</x:v>
      </x:c>
      <x:c r="T184" t="str">
        <x:v>NEAR</x:v>
      </x:c>
      <x:c r="U184" s="32" t="n">
        <x:f>PERCENTRANK.INC($G$2:$G$941,G184)</x:f>
        <x:v>0.202</x:v>
      </x:c>
      <x:c r="V184" s="32" t="n">
        <x:f>PERCENTRANK.INC($H$2:$H$941,H184)</x:f>
        <x:v>0.465</x:v>
      </x:c>
      <x:c r="W184" t="n">
        <x:f>ROUND((U184*55+V184*45)*IF(S184&lt;=5,1,IF(S184&lt;=10,0.95,IF(S184&lt;=20,0.85,0.70))),0)</x:f>
        <x:v>30</x:v>
      </x:c>
      <x:c r="X184" t="n">
        <x:v>17</x:v>
      </x:c>
      <x:c r="Y184" t="str">
        <x:v>WATCH</x:v>
      </x:c>
      <x:c r="Z184" s="12" t="str">
        <x:v>Family + verified grassroots + straight-line geo only; transport not yet routed</x:v>
      </x:c>
      <x:c r="AA184" s="12"/>
      <x:c r="AB184" s="12"/>
      <x:c r="AC184" s="12"/>
      <x:c r="AD184" s="12"/>
      <x:c r="AE184" t="str">
        <x:v>Crystal Palace Women</x:v>
      </x:c>
      <x:c r="AF184" s="45" t="n">
        <x:v>11.899526222874123</x:v>
      </x:c>
      <x:c r="AG184" t="str">
        <x:v>Dulwich Hamlet Women</x:v>
      </x:c>
      <x:c r="AH184" s="45" t="n">
        <x:v>17.760465400860983</x:v>
      </x:c>
      <x:c r="AI184" t="n">
        <x:v>45</x:v>
      </x:c>
      <x:c r="AJ184" t="str">
        <x:v>LOW</x:v>
      </x:c>
    </x:row>
    <x:row r="185">
      <x:c r="A185" s="12" t="str">
        <x:v>E01000657</x:v>
      </x:c>
      <x:c r="B185" s="12" t="str">
        <x:v>Bromley 039D</x:v>
      </x:c>
      <x:c r="C185" s="12" t="str">
        <x:v>Bromley</x:v>
      </x:c>
      <x:c r="D185" s="44" t="n">
        <x:v>51.313382864533246</x:v>
      </x:c>
      <x:c r="E185" s="44" t="n">
        <x:v>0.03210920267798187</x:v>
      </x:c>
      <x:c r="F185" s="33" t="n">
        <x:v>678</x:v>
      </x:c>
      <x:c r="G185" s="33" t="n">
        <x:v>197</x:v>
      </x:c>
      <x:c r="H185" s="26" t="n">
        <x:v>0.29056047197640117</x:v>
      </x:c>
      <x:c r="I185" s="12" t="n">
        <x:v>0</x:v>
      </x:c>
      <x:c r="J185" s="12" t="n">
        <x:v>0</x:v>
      </x:c>
      <x:c r="K185" s="12"/>
      <x:c r="L185" s="12"/>
      <x:c r="M185" s="12" t="str">
        <x:f>IF(K185="", "", MAX(0,IF(K185&lt;=20,100,IF(K185&lt;=30,85,IF(K185&lt;=40,70,IF(K185&lt;=50,55,IF(K185&lt;=60,40,20)))))-MIN(L185*5,20)))</x:f>
      </x:c>
      <x:c r="N185" s="12"/>
      <x:c r="O185" s="12"/>
      <x:c r="P185" s="12" t="str">
        <x:f>IF(OR(H185="",J185="",M185=""),"",ROUND(PERCENTRANK.INC($H$2:$H$941,H185)*35+J185*0.35+M185*0.30,0))</x:f>
      </x:c>
      <x:c r="Q185" s="12" t="str">
        <x:f>IF(P185="","",IF(P185&gt;=80,"ATTACK",IF(P185&gt;=65,"GROW",IF(P185&gt;=50,"PARTNER","WATCH"))))</x:f>
      </x:c>
      <x:c r="R185" s="12" t="str">
        <x:f>IF(Q185="","",IF(Q185="ATTACK","Grassroots + family acquisition",IF(Q185="GROW","Test local campaign",IF(Q185="PARTNER","Organisation-first partnership","Low priority / validate"))))</x:f>
      </x:c>
      <x:c r="S185" s="45" t="n">
        <x:v>8.686610508101664</x:v>
      </x:c>
      <x:c r="T185" t="str">
        <x:v>NEAR</x:v>
      </x:c>
      <x:c r="U185" s="32" t="n">
        <x:f>PERCENTRANK.INC($G$2:$G$941,G185)</x:f>
        <x:v>0.356</x:v>
      </x:c>
      <x:c r="V185" s="32" t="n">
        <x:f>PERCENTRANK.INC($H$2:$H$941,H185)</x:f>
        <x:v>0.349</x:v>
      </x:c>
      <x:c r="W185" t="n">
        <x:f>ROUND((U185*55+V185*45)*IF(S185&lt;=5,1,IF(S185&lt;=10,0.95,IF(S185&lt;=20,0.85,0.70))),0)</x:f>
        <x:v>34</x:v>
      </x:c>
      <x:c r="X185" t="n">
        <x:v>19</x:v>
      </x:c>
      <x:c r="Y185" t="str">
        <x:v>WATCH</x:v>
      </x:c>
      <x:c r="Z185" s="12" t="str">
        <x:v>Family + verified grassroots + straight-line geo only; transport not yet routed</x:v>
      </x:c>
      <x:c r="AA185" s="12"/>
      <x:c r="AB185" s="12"/>
      <x:c r="AC185" s="12"/>
      <x:c r="AD185" s="12"/>
      <x:c r="AE185" t="str">
        <x:v>Crystal Palace Women</x:v>
      </x:c>
      <x:c r="AF185" s="45" t="n">
        <x:v>12.466550567948545</x:v>
      </x:c>
      <x:c r="AG185" t="str">
        <x:v>Dulwich Hamlet Women</x:v>
      </x:c>
      <x:c r="AH185" s="45" t="n">
        <x:v>18.316418507469162</x:v>
      </x:c>
      <x:c r="AI185" t="n">
        <x:v>45</x:v>
      </x:c>
      <x:c r="AJ185" t="str">
        <x:v>LOW</x:v>
      </x:c>
    </x:row>
    <x:row r="186">
      <x:c r="A186" s="12" t="str">
        <x:v>E01000659</x:v>
      </x:c>
      <x:c r="B186" s="12" t="str">
        <x:v>Bromley 039E</x:v>
      </x:c>
      <x:c r="C186" s="12" t="str">
        <x:v>Bromley</x:v>
      </x:c>
      <x:c r="D186" s="44" t="n">
        <x:v>51.31126380923199</x:v>
      </x:c>
      <x:c r="E186" s="44" t="n">
        <x:v>0.025815033123918762</x:v>
      </x:c>
      <x:c r="F186" s="33" t="n">
        <x:v>522</x:v>
      </x:c>
      <x:c r="G186" s="33" t="n">
        <x:v>186</x:v>
      </x:c>
      <x:c r="H186" s="26" t="n">
        <x:v>0.3563218390804598</x:v>
      </x:c>
      <x:c r="I186" s="12" t="n">
        <x:v>0</x:v>
      </x:c>
      <x:c r="J186" s="12" t="n">
        <x:v>0</x:v>
      </x:c>
      <x:c r="K186" s="12"/>
      <x:c r="L186" s="12"/>
      <x:c r="M186" s="12" t="str">
        <x:f>IF(K186="", "", MAX(0,IF(K186&lt;=20,100,IF(K186&lt;=30,85,IF(K186&lt;=40,70,IF(K186&lt;=50,55,IF(K186&lt;=60,40,20)))))-MIN(L186*5,20)))</x:f>
      </x:c>
      <x:c r="N186" s="12"/>
      <x:c r="O186" s="12"/>
      <x:c r="P186" s="12" t="str">
        <x:f>IF(OR(H186="",J186="",M186=""),"",ROUND(PERCENTRANK.INC($H$2:$H$941,H186)*35+J186*0.35+M186*0.30,0))</x:f>
      </x:c>
      <x:c r="Q186" s="12" t="str">
        <x:f>IF(P186="","",IF(P186&gt;=80,"ATTACK",IF(P186&gt;=65,"GROW",IF(P186&gt;=50,"PARTNER","WATCH"))))</x:f>
      </x:c>
      <x:c r="R186" s="12" t="str">
        <x:f>IF(Q186="","",IF(Q186="ATTACK","Grassroots + family acquisition",IF(Q186="GROW","Test local campaign",IF(Q186="PARTNER","Organisation-first partnership","Low priority / validate"))))</x:f>
      </x:c>
      <x:c r="S186" s="45" t="n">
        <x:v>8.882345065973055</x:v>
      </x:c>
      <x:c r="T186" t="str">
        <x:v>NEAR</x:v>
      </x:c>
      <x:c r="U186" s="32" t="n">
        <x:f>PERCENTRANK.INC($G$2:$G$941,G186)</x:f>
        <x:v>0.277</x:v>
      </x:c>
      <x:c r="V186" s="32" t="n">
        <x:f>PERCENTRANK.INC($H$2:$H$941,H186)</x:f>
        <x:v>0.72</x:v>
      </x:c>
      <x:c r="W186" t="n">
        <x:f>ROUND((U186*55+V186*45)*IF(S186&lt;=5,1,IF(S186&lt;=10,0.95,IF(S186&lt;=20,0.85,0.70))),0)</x:f>
        <x:v>45</x:v>
      </x:c>
      <x:c r="X186" t="n">
        <x:v>25</x:v>
      </x:c>
      <x:c r="Y186" t="str">
        <x:v>WATCH</x:v>
      </x:c>
      <x:c r="Z186" s="12" t="str">
        <x:v>Family + verified grassroots + straight-line geo only; transport not yet routed</x:v>
      </x:c>
      <x:c r="AA186" s="12"/>
      <x:c r="AB186" s="12"/>
      <x:c r="AC186" s="12"/>
      <x:c r="AD186" s="12"/>
      <x:c r="AE186" t="str">
        <x:v>Crystal Palace Women</x:v>
      </x:c>
      <x:c r="AF186" s="45" t="n">
        <x:v>12.369132401009466</x:v>
      </x:c>
      <x:c r="AG186" t="str">
        <x:v>Dulwich Hamlet Women</x:v>
      </x:c>
      <x:c r="AH186" s="45" t="n">
        <x:v>18.342724239256384</x:v>
      </x:c>
      <x:c r="AI186" t="n">
        <x:v>45</x:v>
      </x:c>
      <x:c r="AJ186" t="str">
        <x:v>LOW</x:v>
      </x:c>
    </x:row>
    <x:row r="187">
      <x:c r="A187" s="12" t="str">
        <x:v>E01000816</x:v>
      </x:c>
      <x:c r="B187" s="12" t="str">
        <x:v>Bromley 040A</x:v>
      </x:c>
      <x:c r="C187" s="12" t="str">
        <x:v>Bromley</x:v>
      </x:c>
      <x:c r="D187" s="44" t="n">
        <x:v>51.4248854550749</x:v>
      </x:c>
      <x:c r="E187" s="44" t="n">
        <x:v>0.019110803640355778</x:v>
      </x:c>
      <x:c r="F187" s="33" t="n">
        <x:v>614</x:v>
      </x:c>
      <x:c r="G187" s="33" t="n">
        <x:v>186</x:v>
      </x:c>
      <x:c r="H187" s="26" t="n">
        <x:v>0.30293159609120524</x:v>
      </x:c>
      <x:c r="I187" s="12" t="n">
        <x:v>4</x:v>
      </x:c>
      <x:c r="J187" s="12" t="n">
        <x:v>85</x:v>
      </x:c>
      <x:c r="K187" s="12"/>
      <x:c r="L187" s="12"/>
      <x:c r="M187" s="12" t="str">
        <x:f>IF(K187="", "", MAX(0,IF(K187&lt;=20,100,IF(K187&lt;=30,85,IF(K187&lt;=40,70,IF(K187&lt;=50,55,IF(K187&lt;=60,40,20)))))-MIN(L187*5,20)))</x:f>
      </x:c>
      <x:c r="N187" s="12"/>
      <x:c r="O187" s="12"/>
      <x:c r="P187" s="12" t="str">
        <x:f>IF(OR(H187="",J187="",M187=""),"",ROUND(PERCENTRANK.INC($H$2:$H$941,H187)*35+J187*0.35+M187*0.30,0))</x:f>
      </x:c>
      <x:c r="Q187" s="12" t="str">
        <x:f>IF(P187="","",IF(P187&gt;=80,"ATTACK",IF(P187&gt;=65,"GROW",IF(P187&gt;=50,"PARTNER","WATCH"))))</x:f>
      </x:c>
      <x:c r="R187" s="12" t="str">
        <x:f>IF(Q187="","",IF(Q187="ATTACK","Grassroots + family acquisition",IF(Q187="GROW","Test local campaign",IF(Q187="PARTNER","Organisation-first partnership","Low priority / validate"))))</x:f>
      </x:c>
      <x:c r="S187" s="45" t="n">
        <x:v>3.7709269194010315</x:v>
      </x:c>
      <x:c r="T187" t="str">
        <x:v>CORE</x:v>
      </x:c>
      <x:c r="U187" s="32" t="n">
        <x:f>PERCENTRANK.INC($G$2:$G$941,G187)</x:f>
        <x:v>0.277</x:v>
      </x:c>
      <x:c r="V187" s="32" t="n">
        <x:f>PERCENTRANK.INC($H$2:$H$941,H187)</x:f>
        <x:v>0.41</x:v>
      </x:c>
      <x:c r="W187" t="n">
        <x:f>ROUND((U187*55+V187*45)*IF(S187&lt;=5,1,IF(S187&lt;=10,0.95,IF(S187&lt;=20,0.85,0.70))),0)</x:f>
        <x:v>34</x:v>
      </x:c>
      <x:c r="X187" t="n">
        <x:v>57</x:v>
      </x:c>
      <x:c r="Y187" t="str">
        <x:v>PARTNER</x:v>
      </x:c>
      <x:c r="Z187" s="12" t="str">
        <x:v>Family + verified grassroots + straight-line geo only; transport not yet routed</x:v>
      </x:c>
      <x:c r="AA187" s="12"/>
      <x:c r="AB187" s="12"/>
      <x:c r="AC187" s="12"/>
      <x:c r="AD187" s="12"/>
      <x:c r="AE187" t="str">
        <x:v>Charlton Athletic Women</x:v>
      </x:c>
      <x:c r="AF187" s="45" t="n">
        <x:v>6.94125421161473</x:v>
      </x:c>
      <x:c r="AG187" t="str">
        <x:v>Dulwich Hamlet Women</x:v>
      </x:c>
      <x:c r="AH187" s="45" t="n">
        <x:v>8.213591095441336</x:v>
      </x:c>
      <x:c r="AI187" t="n">
        <x:v>70</x:v>
      </x:c>
      <x:c r="AJ187" t="str">
        <x:v>MEDIUM</x:v>
      </x:c>
    </x:row>
    <x:row r="188">
      <x:c r="A188" s="12" t="str">
        <x:v>E01000818</x:v>
      </x:c>
      <x:c r="B188" s="12" t="str">
        <x:v>Bromley 040B</x:v>
      </x:c>
      <x:c r="C188" s="12" t="str">
        <x:v>Bromley</x:v>
      </x:c>
      <x:c r="D188" s="44" t="n">
        <x:v>51.42424572224885</x:v>
      </x:c>
      <x:c r="E188" s="44" t="n">
        <x:v>0.02705736787794764</x:v>
      </x:c>
      <x:c r="F188" s="33" t="n">
        <x:v>641</x:v>
      </x:c>
      <x:c r="G188" s="33" t="n">
        <x:v>185</x:v>
      </x:c>
      <x:c r="H188" s="26" t="n">
        <x:v>0.28861154446177845</x:v>
      </x:c>
      <x:c r="I188" s="12" t="n">
        <x:v>4</x:v>
      </x:c>
      <x:c r="J188" s="12" t="n">
        <x:v>85</x:v>
      </x:c>
      <x:c r="K188" s="12"/>
      <x:c r="L188" s="12"/>
      <x:c r="M188" s="12" t="str">
        <x:f>IF(K188="", "", MAX(0,IF(K188&lt;=20,100,IF(K188&lt;=30,85,IF(K188&lt;=40,70,IF(K188&lt;=50,55,IF(K188&lt;=60,40,20)))))-MIN(L188*5,20)))</x:f>
      </x:c>
      <x:c r="N188" s="12"/>
      <x:c r="O188" s="12"/>
      <x:c r="P188" s="12" t="str">
        <x:f>IF(OR(H188="",J188="",M188=""),"",ROUND(PERCENTRANK.INC($H$2:$H$941,H188)*35+J188*0.35+M188*0.30,0))</x:f>
      </x:c>
      <x:c r="Q188" s="12" t="str">
        <x:f>IF(P188="","",IF(P188&gt;=80,"ATTACK",IF(P188&gt;=65,"GROW",IF(P188&gt;=50,"PARTNER","WATCH"))))</x:f>
      </x:c>
      <x:c r="R188" s="12" t="str">
        <x:f>IF(Q188="","",IF(Q188="ATTACK","Grassroots + family acquisition",IF(Q188="GROW","Test local campaign",IF(Q188="PARTNER","Organisation-first partnership","Low priority / validate"))))</x:f>
      </x:c>
      <x:c r="S188" s="45" t="n">
        <x:v>3.754935814655067</x:v>
      </x:c>
      <x:c r="T188" t="str">
        <x:v>CORE</x:v>
      </x:c>
      <x:c r="U188" s="32" t="n">
        <x:f>PERCENTRANK.INC($G$2:$G$941,G188)</x:f>
        <x:v>0.266</x:v>
      </x:c>
      <x:c r="V188" s="32" t="n">
        <x:f>PERCENTRANK.INC($H$2:$H$941,H188)</x:f>
        <x:v>0.335</x:v>
      </x:c>
      <x:c r="W188" t="n">
        <x:f>ROUND((U188*55+V188*45)*IF(S188&lt;=5,1,IF(S188&lt;=10,0.95,IF(S188&lt;=20,0.85,0.70))),0)</x:f>
        <x:v>30</x:v>
      </x:c>
      <x:c r="X188" t="n">
        <x:v>55</x:v>
      </x:c>
      <x:c r="Y188" t="str">
        <x:v>PARTNER</x:v>
      </x:c>
      <x:c r="Z188" s="12" t="str">
        <x:v>Family + verified grassroots + straight-line geo only; transport not yet routed</x:v>
      </x:c>
      <x:c r="AA188" s="12"/>
      <x:c r="AB188" s="12"/>
      <x:c r="AC188" s="12"/>
      <x:c r="AD188" s="12"/>
      <x:c r="AE188" t="str">
        <x:v>Charlton Athletic Women</x:v>
      </x:c>
      <x:c r="AF188" s="45" t="n">
        <x:v>6.939905801739039</x:v>
      </x:c>
      <x:c r="AG188" t="str">
        <x:v>Dulwich Hamlet Women</x:v>
      </x:c>
      <x:c r="AH188" s="45" t="n">
        <x:v>8.73033931144097</x:v>
      </x:c>
      <x:c r="AI188" t="n">
        <x:v>70</x:v>
      </x:c>
      <x:c r="AJ188" t="str">
        <x:v>MEDIUM</x:v>
      </x:c>
    </x:row>
    <x:row r="189">
      <x:c r="A189" s="12" t="str">
        <x:v>E01000819</x:v>
      </x:c>
      <x:c r="B189" s="12" t="str">
        <x:v>Bromley 040C</x:v>
      </x:c>
      <x:c r="C189" s="12" t="str">
        <x:v>Bromley</x:v>
      </x:c>
      <x:c r="D189" s="44" t="n">
        <x:v>51.4203471546275</x:v>
      </x:c>
      <x:c r="E189" s="44" t="n">
        <x:v>0.01907547375455343</x:v>
      </x:c>
      <x:c r="F189" s="33" t="n">
        <x:v>756</x:v>
      </x:c>
      <x:c r="G189" s="33" t="n">
        <x:v>252</x:v>
      </x:c>
      <x:c r="H189" s="26" t="n">
        <x:v>0.3333333333333333</x:v>
      </x:c>
      <x:c r="I189" s="12" t="n">
        <x:v>4</x:v>
      </x:c>
      <x:c r="J189" s="12" t="n">
        <x:v>92</x:v>
      </x:c>
      <x:c r="K189" s="12"/>
      <x:c r="L189" s="12"/>
      <x:c r="M189" s="12" t="str">
        <x:f>IF(K189="", "", MAX(0,IF(K189&lt;=20,100,IF(K189&lt;=30,85,IF(K189&lt;=40,70,IF(K189&lt;=50,55,IF(K189&lt;=60,40,20)))))-MIN(L189*5,20)))</x:f>
      </x:c>
      <x:c r="N189" s="12"/>
      <x:c r="O189" s="12"/>
      <x:c r="P189" s="12" t="str">
        <x:f>IF(OR(H189="",J189="",M189=""),"",ROUND(PERCENTRANK.INC($H$2:$H$941,H189)*35+J189*0.35+M189*0.30,0))</x:f>
      </x:c>
      <x:c r="Q189" s="12" t="str">
        <x:f>IF(P189="","",IF(P189&gt;=80,"ATTACK",IF(P189&gt;=65,"GROW",IF(P189&gt;=50,"PARTNER","WATCH"))))</x:f>
      </x:c>
      <x:c r="R189" s="12" t="str">
        <x:f>IF(Q189="","",IF(Q189="ATTACK","Grassroots + family acquisition",IF(Q189="GROW","Test local campaign",IF(Q189="PARTNER","Organisation-first partnership","Low priority / validate"))))</x:f>
      </x:c>
      <x:c r="S189" s="45" t="n">
        <x:v>3.266411814120912</x:v>
      </x:c>
      <x:c r="T189" t="str">
        <x:v>CORE</x:v>
      </x:c>
      <x:c r="U189" s="32" t="n">
        <x:f>PERCENTRANK.INC($G$2:$G$941,G189)</x:f>
        <x:v>0.797</x:v>
      </x:c>
      <x:c r="V189" s="32" t="n">
        <x:f>PERCENTRANK.INC($H$2:$H$941,H189)</x:f>
        <x:v>0.591</x:v>
      </x:c>
      <x:c r="W189" t="n">
        <x:f>ROUND((U189*55+V189*45)*IF(S189&lt;=5,1,IF(S189&lt;=10,0.95,IF(S189&lt;=20,0.85,0.70))),0)</x:f>
        <x:v>70</x:v>
      </x:c>
      <x:c r="X189" t="n">
        <x:v>80</x:v>
      </x:c>
      <x:c r="Y189" t="str">
        <x:v>ATTACK</x:v>
      </x:c>
      <x:c r="Z189" s="12" t="str">
        <x:v>Family + verified grassroots + straight-line geo only; transport not yet routed</x:v>
      </x:c>
      <x:c r="AA189" s="12"/>
      <x:c r="AB189" s="12"/>
      <x:c r="AC189" s="12"/>
      <x:c r="AD189" s="12"/>
      <x:c r="AE189" t="str">
        <x:v>Charlton Athletic Women</x:v>
      </x:c>
      <x:c r="AF189" s="45" t="n">
        <x:v>7.4394313617381735</x:v>
      </x:c>
      <x:c r="AG189" t="str">
        <x:v>Dulwich Hamlet Women</x:v>
      </x:c>
      <x:c r="AH189" s="45" t="n">
        <x:v>8.472114938237178</x:v>
      </x:c>
      <x:c r="AI189" t="n">
        <x:v>70</x:v>
      </x:c>
      <x:c r="AJ189" t="str">
        <x:v>MEDIUM</x:v>
      </x:c>
    </x:row>
    <x:row r="190">
      <x:c r="A190" s="12" t="str">
        <x:v>E01032562</x:v>
      </x:c>
      <x:c r="B190" s="12" t="str">
        <x:v>Bromley 040D</x:v>
      </x:c>
      <x:c r="C190" s="12" t="str">
        <x:v>Bromley</x:v>
      </x:c>
      <x:c r="D190" s="44" t="n">
        <x:v>51.422274334280885</x:v>
      </x:c>
      <x:c r="E190" s="44" t="n">
        <x:v>0.012147693482768</x:v>
      </x:c>
      <x:c r="F190" s="33" t="n">
        <x:v>619</x:v>
      </x:c>
      <x:c r="G190" s="33" t="n">
        <x:v>250</x:v>
      </x:c>
      <x:c r="H190" s="26" t="n">
        <x:v>0.40387722132471726</x:v>
      </x:c>
      <x:c r="I190" s="12" t="n">
        <x:v>4</x:v>
      </x:c>
      <x:c r="J190" s="12" t="n">
        <x:v>85</x:v>
      </x:c>
      <x:c r="K190" s="12"/>
      <x:c r="L190" s="12"/>
      <x:c r="M190" s="12" t="str">
        <x:f>IF(K190="", "", MAX(0,IF(K190&lt;=20,100,IF(K190&lt;=30,85,IF(K190&lt;=40,70,IF(K190&lt;=50,55,IF(K190&lt;=60,40,20)))))-MIN(L190*5,20)))</x:f>
      </x:c>
      <x:c r="N190" s="12"/>
      <x:c r="O190" s="12"/>
      <x:c r="P190" s="12" t="str">
        <x:f>IF(OR(H190="",J190="",M190=""),"",ROUND(PERCENTRANK.INC($H$2:$H$941,H190)*35+J190*0.35+M190*0.30,0))</x:f>
      </x:c>
      <x:c r="Q190" s="12" t="str">
        <x:f>IF(P190="","",IF(P190&gt;=80,"ATTACK",IF(P190&gt;=65,"GROW",IF(P190&gt;=50,"PARTNER","WATCH"))))</x:f>
      </x:c>
      <x:c r="R190" s="12" t="str">
        <x:f>IF(Q190="","",IF(Q190="ATTACK","Grassroots + family acquisition",IF(Q190="GROW","Test local campaign",IF(Q190="PARTNER","Organisation-first partnership","Low priority / validate"))))</x:f>
      </x:c>
      <x:c r="S190" s="45" t="n">
        <x:v>3.5006568622398437</x:v>
      </x:c>
      <x:c r="T190" t="str">
        <x:v>CORE</x:v>
      </x:c>
      <x:c r="U190" s="32" t="n">
        <x:f>PERCENTRANK.INC($G$2:$G$941,G190)</x:f>
        <x:v>0.782</x:v>
      </x:c>
      <x:c r="V190" s="32" t="n">
        <x:f>PERCENTRANK.INC($H$2:$H$941,H190)</x:f>
        <x:v>0.919</x:v>
      </x:c>
      <x:c r="W190" t="n">
        <x:f>ROUND((U190*55+V190*45)*IF(S190&lt;=5,1,IF(S190&lt;=10,0.95,IF(S190&lt;=20,0.85,0.70))),0)</x:f>
        <x:v>84</x:v>
      </x:c>
      <x:c r="X190" t="n">
        <x:v>85</x:v>
      </x:c>
      <x:c r="Y190" t="str">
        <x:v>ATTACK</x:v>
      </x:c>
      <x:c r="Z190" s="12" t="str">
        <x:v>Family + verified grassroots + straight-line geo only; transport not yet routed</x:v>
      </x:c>
      <x:c r="AA190" s="12"/>
      <x:c r="AB190" s="12"/>
      <x:c r="AC190" s="12"/>
      <x:c r="AD190" s="12"/>
      <x:c r="AE190" t="str">
        <x:v>Crystal Palace Women</x:v>
      </x:c>
      <x:c r="AF190" s="45" t="n">
        <x:v>7.2565416807926795</x:v>
      </x:c>
      <x:c r="AG190" t="str">
        <x:v>Dulwich Hamlet Women</x:v>
      </x:c>
      <x:c r="AH190" s="45" t="n">
        <x:v>7.952309512437541</x:v>
      </x:c>
      <x:c r="AI190" t="n">
        <x:v>70</x:v>
      </x:c>
      <x:c r="AJ190" t="str">
        <x:v>MEDIUM</x:v>
      </x:c>
    </x:row>
    <x:row r="191">
      <x:c r="A191" s="12" t="str">
        <x:v>E01032563</x:v>
      </x:c>
      <x:c r="B191" s="12" t="str">
        <x:v>Bromley 040E</x:v>
      </x:c>
      <x:c r="C191" s="12" t="str">
        <x:v>Bromley</x:v>
      </x:c>
      <x:c r="D191" s="44" t="n">
        <x:v>51.41788750204768</x:v>
      </x:c>
      <x:c r="E191" s="44" t="n">
        <x:v>0.010103270827885223</x:v>
      </x:c>
      <x:c r="F191" s="33" t="n">
        <x:v>563</x:v>
      </x:c>
      <x:c r="G191" s="33" t="n">
        <x:v>162</x:v>
      </x:c>
      <x:c r="H191" s="26" t="n">
        <x:v>0.2877442273534636</x:v>
      </x:c>
      <x:c r="I191" s="12" t="n">
        <x:v>4</x:v>
      </x:c>
      <x:c r="J191" s="12" t="n">
        <x:v>85</x:v>
      </x:c>
      <x:c r="K191" s="12"/>
      <x:c r="L191" s="12"/>
      <x:c r="M191" s="12" t="str">
        <x:f>IF(K191="", "", MAX(0,IF(K191&lt;=20,100,IF(K191&lt;=30,85,IF(K191&lt;=40,70,IF(K191&lt;=50,55,IF(K191&lt;=60,40,20)))))-MIN(L191*5,20)))</x:f>
      </x:c>
      <x:c r="N191" s="12"/>
      <x:c r="O191" s="12"/>
      <x:c r="P191" s="12" t="str">
        <x:f>IF(OR(H191="",J191="",M191=""),"",ROUND(PERCENTRANK.INC($H$2:$H$941,H191)*35+J191*0.35+M191*0.30,0))</x:f>
      </x:c>
      <x:c r="Q191" s="12" t="str">
        <x:f>IF(P191="","",IF(P191&gt;=80,"ATTACK",IF(P191&gt;=65,"GROW",IF(P191&gt;=50,"PARTNER","WATCH"))))</x:f>
      </x:c>
      <x:c r="R191" s="12" t="str">
        <x:f>IF(Q191="","",IF(Q191="ATTACK","Grassroots + family acquisition",IF(Q191="GROW","Test local campaign",IF(Q191="PARTNER","Organisation-first partnership","Low priority / validate"))))</x:f>
      </x:c>
      <x:c r="S191" s="45" t="n">
        <x:v>3.0377135666341513</x:v>
      </x:c>
      <x:c r="T191" t="str">
        <x:v>CORE</x:v>
      </x:c>
      <x:c r="U191" s="32" t="n">
        <x:f>PERCENTRANK.INC($G$2:$G$941,G191)</x:f>
        <x:v>0.134</x:v>
      </x:c>
      <x:c r="V191" s="32" t="n">
        <x:f>PERCENTRANK.INC($H$2:$H$941,H191)</x:f>
        <x:v>0.333</x:v>
      </x:c>
      <x:c r="W191" t="n">
        <x:f>ROUND((U191*55+V191*45)*IF(S191&lt;=5,1,IF(S191&lt;=10,0.95,IF(S191&lt;=20,0.85,0.70))),0)</x:f>
        <x:v>22</x:v>
      </x:c>
      <x:c r="X191" t="n">
        <x:v>51</x:v>
      </x:c>
      <x:c r="Y191" t="str">
        <x:v>PARTNER</x:v>
      </x:c>
      <x:c r="Z191" s="12" t="str">
        <x:v>Family + verified grassroots + straight-line geo only; transport not yet routed</x:v>
      </x:c>
      <x:c r="AA191" s="12"/>
      <x:c r="AB191" s="12"/>
      <x:c r="AC191" s="12"/>
      <x:c r="AD191" s="12"/>
      <x:c r="AE191" t="str">
        <x:v>Crystal Palace Women</x:v>
      </x:c>
      <x:c r="AF191" s="45" t="n">
        <x:v>6.957225375911255</x:v>
      </x:c>
      <x:c r="AG191" t="str">
        <x:v>Dulwich Hamlet Women</x:v>
      </x:c>
      <x:c r="AH191" s="45" t="n">
        <x:v>8.114734599627187</x:v>
      </x:c>
      <x:c r="AI191" t="n">
        <x:v>70</x:v>
      </x:c>
      <x:c r="AJ191" t="str">
        <x:v>MEDIUM</x:v>
      </x:c>
    </x:row>
    <x:row r="192">
      <x:c r="A192" s="12" t="str">
        <x:v>E01000707</x:v>
      </x:c>
      <x:c r="B192" s="12" t="str">
        <x:v>Bromley 041A</x:v>
      </x:c>
      <x:c r="C192" s="12" t="str">
        <x:v>Bromley</x:v>
      </x:c>
      <x:c r="D192" s="44" t="n">
        <x:v>51.40397514869223</x:v>
      </x:c>
      <x:c r="E192" s="44" t="n">
        <x:v>-0.038829574094080534</x:v>
      </x:c>
      <x:c r="F192" s="33" t="n">
        <x:v>530</x:v>
      </x:c>
      <x:c r="G192" s="33" t="n">
        <x:v>267</x:v>
      </x:c>
      <x:c r="H192" s="26" t="n">
        <x:v>0.5037735849056604</x:v>
      </x:c>
      <x:c r="I192" s="12" t="n">
        <x:v>4</x:v>
      </x:c>
      <x:c r="J192" s="12" t="n">
        <x:v>84</x:v>
      </x:c>
      <x:c r="K192" s="12" t="n">
        <x:v>25</x:v>
      </x:c>
      <x:c r="L192" s="12" t="n">
        <x:v>0</x:v>
      </x:c>
      <x:c r="M192" s="12" t="n">
        <x:f>IF(K192="", "", MAX(0,IF(K192&lt;=20,100,IF(K192&lt;=30,85,IF(K192&lt;=40,70,IF(K192&lt;=50,55,IF(K192&lt;=60,40,20)))))-MIN(L192*5,20)))</x:f>
        <x:v>85</x:v>
      </x:c>
      <x:c r="N192" s="12"/>
      <x:c r="O192" s="12"/>
      <x:c r="P192" s="12" t="n">
        <x:f>IF(OR(H192="",J192="",M192=""),"",ROUND(PERCENTRANK.INC($H$2:$H$941,H192)*35+J192*0.35+M192*0.30,0))</x:f>
        <x:v>90</x:v>
      </x:c>
      <x:c r="Q192" s="12" t="str">
        <x:f>IF(P192="","",IF(P192&gt;=80,"ATTACK",IF(P192&gt;=65,"GROW",IF(P192&gt;=50,"PARTNER","WATCH"))))</x:f>
        <x:v>ATTACK</x:v>
      </x:c>
      <x:c r="R192" s="12" t="str">
        <x:f>IF(Q192="","",IF(Q192="ATTACK","Grassroots + family acquisition",IF(Q192="GROW","Test local campaign",IF(Q192="PARTNER","Organisation-first partnership","Low priority / validate"))))</x:f>
        <x:v>Grassroots + family acquisition</x:v>
      </x:c>
      <x:c r="S192" s="45" t="n">
        <x:v>4.180038948397988</x:v>
      </x:c>
      <x:c r="T192" t="str">
        <x:v>CORE</x:v>
      </x:c>
      <x:c r="U192" s="32" t="n">
        <x:f>PERCENTRANK.INC($G$2:$G$941,G192)</x:f>
        <x:v>0.858</x:v>
      </x:c>
      <x:c r="V192" s="32" t="n">
        <x:f>PERCENTRANK.INC($H$2:$H$941,H192)</x:f>
        <x:v>0.996</x:v>
      </x:c>
      <x:c r="W192" t="n">
        <x:f>ROUND((U192*55+V192*45)*IF(S192&lt;=5,1,IF(S192&lt;=10,0.95,IF(S192&lt;=20,0.85,0.70))),0)</x:f>
        <x:v>92</x:v>
      </x:c>
      <x:c r="X192" t="n">
        <x:v>89</x:v>
      </x:c>
      <x:c r="Y192" t="str">
        <x:v>ATTACK</x:v>
      </x:c>
      <x:c r="Z192" s="12" t="str">
        <x:v>Family + verified grassroots + straight-line geo only; transport not yet routed</x:v>
      </x:c>
      <x:c r="AA192" s="12" t="str">
        <x:v>MEDIUM</x:v>
      </x:c>
      <x:c r="AB192" s="12" t="str">
        <x:v>BR3 4HN / Clock House-Beckenham</x:v>
      </x:c>
      <x:c r="AC192" s="12" t="str">
        <x:v>Beckenham→Hayes bus journey ~12 min; allow local access/last-mile to stadium.</x:v>
      </x:c>
      <x:c r="AD192" s="12" t="str">
        <x:v>Rome2Rio Beckenham→Hayes + local Hayes Lane corridor</x:v>
      </x:c>
      <x:c r="AE192" t="str">
        <x:v>Crystal Palace Women</x:v>
      </x:c>
      <x:c r="AF192" s="45" t="n">
        <x:v>3.275085350939185</x:v>
      </x:c>
      <x:c r="AG192" t="str">
        <x:v>Dulwich Hamlet Women</x:v>
      </x:c>
      <x:c r="AH192" s="45" t="n">
        <x:v>7.103233123362416</x:v>
      </x:c>
      <x:c r="AI192" t="n">
        <x:v>81</x:v>
      </x:c>
      <x:c r="AJ192" t="str">
        <x:v>HIGH</x:v>
      </x:c>
    </x:row>
    <x:row r="193">
      <x:c r="A193" s="12" t="str">
        <x:v>E01000708</x:v>
      </x:c>
      <x:c r="B193" s="12" t="str">
        <x:v>Bromley 041B</x:v>
      </x:c>
      <x:c r="C193" s="12" t="str">
        <x:v>Bromley</x:v>
      </x:c>
      <x:c r="D193" s="44" t="n">
        <x:v>51.40074485932435</x:v>
      </x:c>
      <x:c r="E193" s="44" t="n">
        <x:v>-0.043034749157551476</x:v>
      </x:c>
      <x:c r="F193" s="33" t="n">
        <x:v>711</x:v>
      </x:c>
      <x:c r="G193" s="33" t="n">
        <x:v>245</x:v>
      </x:c>
      <x:c r="H193" s="26" t="n">
        <x:v>0.34458509142053445</x:v>
      </x:c>
      <x:c r="I193" s="12" t="n">
        <x:v>4</x:v>
      </x:c>
      <x:c r="J193" s="12" t="n">
        <x:v>84</x:v>
      </x:c>
      <x:c r="K193" s="12"/>
      <x:c r="L193" s="12"/>
      <x:c r="M193" s="12" t="str">
        <x:f>IF(K193="", "", MAX(0,IF(K193&lt;=20,100,IF(K193&lt;=30,85,IF(K193&lt;=40,70,IF(K193&lt;=50,55,IF(K193&lt;=60,40,20)))))-MIN(L193*5,20)))</x:f>
      </x:c>
      <x:c r="N193" s="12"/>
      <x:c r="O193" s="12"/>
      <x:c r="P193" s="12" t="str">
        <x:f>IF(OR(H193="",J193="",M193=""),"",ROUND(PERCENTRANK.INC($H$2:$H$941,H193)*35+J193*0.35+M193*0.30,0))</x:f>
      </x:c>
      <x:c r="Q193" s="12" t="str">
        <x:f>IF(P193="","",IF(P193&gt;=80,"ATTACK",IF(P193&gt;=65,"GROW",IF(P193&gt;=50,"PARTNER","WATCH"))))</x:f>
      </x:c>
      <x:c r="R193" s="12" t="str">
        <x:f>IF(Q193="","",IF(Q193="ATTACK","Grassroots + family acquisition",IF(Q193="GROW","Test local campaign",IF(Q193="PARTNER","Organisation-first partnership","Low priority / validate"))))</x:f>
      </x:c>
      <x:c r="S193" s="45" t="n">
        <x:v>4.351902770209034</x:v>
      </x:c>
      <x:c r="T193" t="str">
        <x:v>CORE</x:v>
      </x:c>
      <x:c r="U193" s="32" t="n">
        <x:f>PERCENTRANK.INC($G$2:$G$941,G193)</x:f>
        <x:v>0.742</x:v>
      </x:c>
      <x:c r="V193" s="32" t="n">
        <x:f>PERCENTRANK.INC($H$2:$H$941,H193)</x:f>
        <x:v>0.65</x:v>
      </x:c>
      <x:c r="W193" t="n">
        <x:f>ROUND((U193*55+V193*45)*IF(S193&lt;=5,1,IF(S193&lt;=10,0.95,IF(S193&lt;=20,0.85,0.70))),0)</x:f>
        <x:v>70</x:v>
      </x:c>
      <x:c r="X193" t="n">
        <x:v>77</x:v>
      </x:c>
      <x:c r="Y193" t="str">
        <x:v>GROW</x:v>
      </x:c>
      <x:c r="Z193" s="12" t="str">
        <x:v>Family + verified grassroots + straight-line geo only; transport not yet routed</x:v>
      </x:c>
      <x:c r="AA193" s="12"/>
      <x:c r="AB193" s="12"/>
      <x:c r="AC193" s="12"/>
      <x:c r="AD193" s="12"/>
      <x:c r="AE193" t="str">
        <x:v>Crystal Palace Women</x:v>
      </x:c>
      <x:c r="AF193" s="45" t="n">
        <x:v>2.934492200322536</x:v>
      </x:c>
      <x:c r="AG193" t="str">
        <x:v>Dulwich Hamlet Women</x:v>
      </x:c>
      <x:c r="AH193" s="45" t="n">
        <x:v>7.309335840635052</x:v>
      </x:c>
      <x:c r="AI193" t="n">
        <x:v>92</x:v>
      </x:c>
      <x:c r="AJ193" t="str">
        <x:v>HIGH</x:v>
      </x:c>
    </x:row>
    <x:row r="194">
      <x:c r="A194" s="12" t="str">
        <x:v>E01000771</x:v>
      </x:c>
      <x:c r="B194" s="12" t="str">
        <x:v>Bromley 041C</x:v>
      </x:c>
      <x:c r="C194" s="12" t="str">
        <x:v>Bromley</x:v>
      </x:c>
      <x:c r="D194" s="44" t="n">
        <x:v>51.40163788273247</x:v>
      </x:c>
      <x:c r="E194" s="44" t="n">
        <x:v>-0.03486784067771481</x:v>
      </x:c>
      <x:c r="F194" s="33" t="n">
        <x:v>620</x:v>
      </x:c>
      <x:c r="G194" s="33" t="n">
        <x:v>231</x:v>
      </x:c>
      <x:c r="H194" s="26" t="n">
        <x:v>0.3725806451612903</x:v>
      </x:c>
      <x:c r="I194" s="12" t="n">
        <x:v>4</x:v>
      </x:c>
      <x:c r="J194" s="12" t="n">
        <x:v>93</x:v>
      </x:c>
      <x:c r="K194" s="12"/>
      <x:c r="L194" s="12"/>
      <x:c r="M194" s="12" t="str">
        <x:f>IF(K194="", "", MAX(0,IF(K194&lt;=20,100,IF(K194&lt;=30,85,IF(K194&lt;=40,70,IF(K194&lt;=50,55,IF(K194&lt;=60,40,20)))))-MIN(L194*5,20)))</x:f>
      </x:c>
      <x:c r="N194" s="12"/>
      <x:c r="O194" s="12"/>
      <x:c r="P194" s="12" t="str">
        <x:f>IF(OR(H194="",J194="",M194=""),"",ROUND(PERCENTRANK.INC($H$2:$H$941,H194)*35+J194*0.35+M194*0.30,0))</x:f>
      </x:c>
      <x:c r="Q194" s="12" t="str">
        <x:f>IF(P194="","",IF(P194&gt;=80,"ATTACK",IF(P194&gt;=65,"GROW",IF(P194&gt;=50,"PARTNER","WATCH"))))</x:f>
      </x:c>
      <x:c r="R194" s="12" t="str">
        <x:f>IF(Q194="","",IF(Q194="ATTACK","Grassroots + family acquisition",IF(Q194="GROW","Test local campaign",IF(Q194="PARTNER","Organisation-first partnership","Low priority / validate"))))</x:f>
      </x:c>
      <x:c r="S194" s="45" t="n">
        <x:v>3.8352887115802585</x:v>
      </x:c>
      <x:c r="T194" t="str">
        <x:v>CORE</x:v>
      </x:c>
      <x:c r="U194" s="32" t="n">
        <x:f>PERCENTRANK.INC($G$2:$G$941,G194)</x:f>
        <x:v>0.638</x:v>
      </x:c>
      <x:c r="V194" s="32" t="n">
        <x:f>PERCENTRANK.INC($H$2:$H$941,H194)</x:f>
        <x:v>0.805</x:v>
      </x:c>
      <x:c r="W194" t="n">
        <x:f>ROUND((U194*55+V194*45)*IF(S194&lt;=5,1,IF(S194&lt;=10,0.95,IF(S194&lt;=20,0.85,0.70))),0)</x:f>
        <x:v>71</x:v>
      </x:c>
      <x:c r="X194" t="n">
        <x:v>81</x:v>
      </x:c>
      <x:c r="Y194" t="str">
        <x:v>ATTACK</x:v>
      </x:c>
      <x:c r="Z194" s="12" t="str">
        <x:v>Family + verified grassroots + straight-line geo only; transport not yet routed</x:v>
      </x:c>
      <x:c r="AA194" s="12"/>
      <x:c r="AB194" s="12"/>
      <x:c r="AC194" s="12"/>
      <x:c r="AD194" s="12"/>
      <x:c r="AE194" t="str">
        <x:v>Crystal Palace Women</x:v>
      </x:c>
      <x:c r="AF194" s="45" t="n">
        <x:v>3.5081207870207707</x:v>
      </x:c>
      <x:c r="AG194" t="str">
        <x:v>Dulwich Hamlet Women</x:v>
      </x:c>
      <x:c r="AH194" s="45" t="n">
        <x:v>7.458758985987708</x:v>
      </x:c>
      <x:c r="AI194" t="n">
        <x:v>81</x:v>
      </x:c>
      <x:c r="AJ194" t="str">
        <x:v>HIGH</x:v>
      </x:c>
    </x:row>
    <x:row r="195">
      <x:c r="A195" s="12" t="str">
        <x:v>E01000774</x:v>
      </x:c>
      <x:c r="B195" s="12" t="str">
        <x:v>Bromley 041D</x:v>
      </x:c>
      <x:c r="C195" s="12" t="str">
        <x:v>Bromley</x:v>
      </x:c>
      <x:c r="D195" s="44" t="n">
        <x:v>51.39775067177381</x:v>
      </x:c>
      <x:c r="E195" s="44" t="n">
        <x:v>-0.039937909184068476</x:v>
      </x:c>
      <x:c r="F195" s="33" t="n">
        <x:v>581</x:v>
      </x:c>
      <x:c r="G195" s="33" t="n">
        <x:v>226</x:v>
      </x:c>
      <x:c r="H195" s="26" t="n">
        <x:v>0.3889845094664372</x:v>
      </x:c>
      <x:c r="I195" s="12" t="n">
        <x:v>4</x:v>
      </x:c>
      <x:c r="J195" s="12" t="n">
        <x:v>84</x:v>
      </x:c>
      <x:c r="K195" s="12"/>
      <x:c r="L195" s="12"/>
      <x:c r="M195" s="12" t="str">
        <x:f>IF(K195="", "", MAX(0,IF(K195&lt;=20,100,IF(K195&lt;=30,85,IF(K195&lt;=40,70,IF(K195&lt;=50,55,IF(K195&lt;=60,40,20)))))-MIN(L195*5,20)))</x:f>
      </x:c>
      <x:c r="N195" s="12"/>
      <x:c r="O195" s="12"/>
      <x:c r="P195" s="12" t="str">
        <x:f>IF(OR(H195="",J195="",M195=""),"",ROUND(PERCENTRANK.INC($H$2:$H$941,H195)*35+J195*0.35+M195*0.30,0))</x:f>
      </x:c>
      <x:c r="Q195" s="12" t="str">
        <x:f>IF(P195="","",IF(P195&gt;=80,"ATTACK",IF(P195&gt;=65,"GROW",IF(P195&gt;=50,"PARTNER","WATCH"))))</x:f>
      </x:c>
      <x:c r="R195" s="12" t="str">
        <x:f>IF(Q195="","",IF(Q195="ATTACK","Grassroots + family acquisition",IF(Q195="GROW","Test local campaign",IF(Q195="PARTNER","Organisation-first partnership","Low priority / validate"))))</x:f>
      </x:c>
      <x:c r="S195" s="45" t="n">
        <x:v>4.069820566025088</x:v>
      </x:c>
      <x:c r="T195" t="str">
        <x:v>CORE</x:v>
      </x:c>
      <x:c r="U195" s="32" t="n">
        <x:f>PERCENTRANK.INC($G$2:$G$941,G195)</x:f>
        <x:v>0.595</x:v>
      </x:c>
      <x:c r="V195" s="32" t="n">
        <x:f>PERCENTRANK.INC($H$2:$H$941,H195)</x:f>
        <x:v>0.87</x:v>
      </x:c>
      <x:c r="W195" t="n">
        <x:f>ROUND((U195*55+V195*45)*IF(S195&lt;=5,1,IF(S195&lt;=10,0.95,IF(S195&lt;=20,0.85,0.70))),0)</x:f>
        <x:v>72</x:v>
      </x:c>
      <x:c r="X195" t="n">
        <x:v>78</x:v>
      </x:c>
      <x:c r="Y195" t="str">
        <x:v>GROW</x:v>
      </x:c>
      <x:c r="Z195" s="12" t="str">
        <x:v>Family + verified grassroots + straight-line geo only; transport not yet routed</x:v>
      </x:c>
      <x:c r="AA195" s="12"/>
      <x:c r="AB195" s="12"/>
      <x:c r="AC195" s="12"/>
      <x:c r="AD195" s="12"/>
      <x:c r="AE195" t="str">
        <x:v>Crystal Palace Women</x:v>
      </x:c>
      <x:c r="AF195" s="45" t="n">
        <x:v>3.137156858322282</x:v>
      </x:c>
      <x:c r="AG195" t="str">
        <x:v>Dulwich Hamlet Women</x:v>
      </x:c>
      <x:c r="AH195" s="45" t="n">
        <x:v>7.699861903806427</x:v>
      </x:c>
      <x:c r="AI195" t="n">
        <x:v>81</x:v>
      </x:c>
      <x:c r="AJ195" t="str">
        <x:v>HIGH</x:v>
      </x:c>
    </x:row>
    <x:row r="196">
      <x:c r="A196" s="12" t="str">
        <x:v>E01032568</x:v>
      </x:c>
      <x:c r="B196" s="12" t="str">
        <x:v>Bromley 041E</x:v>
      </x:c>
      <x:c r="C196" s="12" t="str">
        <x:v>Bromley</x:v>
      </x:c>
      <x:c r="D196" s="44" t="n">
        <x:v>51.395901354683126</x:v>
      </x:c>
      <x:c r="E196" s="44" t="n">
        <x:v>-0.04577403008814181</x:v>
      </x:c>
      <x:c r="F196" s="33" t="n">
        <x:v>641</x:v>
      </x:c>
      <x:c r="G196" s="33" t="n">
        <x:v>199</x:v>
      </x:c>
      <x:c r="H196" s="26" t="n">
        <x:v>0.31045241809672386</x:v>
      </x:c>
      <x:c r="I196" s="12" t="n">
        <x:v>4</x:v>
      </x:c>
      <x:c r="J196" s="12" t="n">
        <x:v>84</x:v>
      </x:c>
      <x:c r="K196" s="12"/>
      <x:c r="L196" s="12"/>
      <x:c r="M196" s="12" t="str">
        <x:f>IF(K196="", "", MAX(0,IF(K196&lt;=20,100,IF(K196&lt;=30,85,IF(K196&lt;=40,70,IF(K196&lt;=50,55,IF(K196&lt;=60,40,20)))))-MIN(L196*5,20)))</x:f>
      </x:c>
      <x:c r="N196" s="12"/>
      <x:c r="O196" s="12"/>
      <x:c r="P196" s="12" t="str">
        <x:f>IF(OR(H196="",J196="",M196=""),"",ROUND(PERCENTRANK.INC($H$2:$H$941,H196)*35+J196*0.35+M196*0.30,0))</x:f>
      </x:c>
      <x:c r="Q196" s="12" t="str">
        <x:f>IF(P196="","",IF(P196&gt;=80,"ATTACK",IF(P196&gt;=65,"GROW",IF(P196&gt;=50,"PARTNER","WATCH"))))</x:f>
      </x:c>
      <x:c r="R196" s="12" t="str">
        <x:f>IF(Q196="","",IF(Q196="ATTACK","Grassroots + family acquisition",IF(Q196="GROW","Test local campaign",IF(Q196="PARTNER","Organisation-first partnership","Low priority / validate"))))</x:f>
      </x:c>
      <x:c r="S196" s="45" t="n">
        <x:v>4.438475676437912</x:v>
      </x:c>
      <x:c r="T196" t="str">
        <x:v>CORE</x:v>
      </x:c>
      <x:c r="U196" s="32" t="n">
        <x:f>PERCENTRANK.INC($G$2:$G$941,G196)</x:f>
        <x:v>0.376</x:v>
      </x:c>
      <x:c r="V196" s="32" t="n">
        <x:f>PERCENTRANK.INC($H$2:$H$941,H196)</x:f>
        <x:v>0.45</x:v>
      </x:c>
      <x:c r="W196" t="n">
        <x:f>ROUND((U196*55+V196*45)*IF(S196&lt;=5,1,IF(S196&lt;=10,0.95,IF(S196&lt;=20,0.85,0.70))),0)</x:f>
        <x:v>41</x:v>
      </x:c>
      <x:c r="X196" t="n">
        <x:v>61</x:v>
      </x:c>
      <x:c r="Y196" t="str">
        <x:v>PARTNER</x:v>
      </x:c>
      <x:c r="Z196" s="12" t="str">
        <x:v>Family + verified grassroots + straight-line geo only; transport not yet routed</x:v>
      </x:c>
      <x:c r="AA196" s="12"/>
      <x:c r="AB196" s="12"/>
      <x:c r="AC196" s="12"/>
      <x:c r="AD196" s="12"/>
      <x:c r="AE196" t="str">
        <x:v>Crystal Palace Women</x:v>
      </x:c>
      <x:c r="AF196" s="45" t="n">
        <x:v>2.7445513727797244</x:v>
      </x:c>
      <x:c r="AG196" t="str">
        <x:v>Dulwich Hamlet Women</x:v>
      </x:c>
      <x:c r="AH196" s="45" t="n">
        <x:v>7.741477358772608</x:v>
      </x:c>
      <x:c r="AI196" t="n">
        <x:v>92</x:v>
      </x:c>
      <x:c r="AJ196" t="str">
        <x:v>HIGH</x:v>
      </x:c>
    </x:row>
    <x:row r="197">
      <x:c r="A197" s="12" t="str">
        <x:v>E01000658</x:v>
      </x:c>
      <x:c r="B197" s="12" t="str">
        <x:v>Bromley 042A</x:v>
      </x:c>
      <x:c r="C197" s="12" t="str">
        <x:v>Bromley</x:v>
      </x:c>
      <x:c r="D197" s="44" t="n">
        <x:v>51.31526773338583</x:v>
      </x:c>
      <x:c r="E197" s="44" t="n">
        <x:v>0.038075098783337605</x:v>
      </x:c>
      <x:c r="F197" s="33" t="n">
        <x:v>561</x:v>
      </x:c>
      <x:c r="G197" s="33" t="n">
        <x:v>116</x:v>
      </x:c>
      <x:c r="H197" s="26" t="n">
        <x:v>0.20677361853832443</x:v>
      </x:c>
      <x:c r="I197" s="12" t="n">
        <x:v>0</x:v>
      </x:c>
      <x:c r="J197" s="12" t="n">
        <x:v>0</x:v>
      </x:c>
      <x:c r="K197" s="12"/>
      <x:c r="L197" s="12"/>
      <x:c r="M197" s="12" t="str">
        <x:f>IF(K197="", "", MAX(0,IF(K197&lt;=20,100,IF(K197&lt;=30,85,IF(K197&lt;=40,70,IF(K197&lt;=50,55,IF(K197&lt;=60,40,20)))))-MIN(L197*5,20)))</x:f>
      </x:c>
      <x:c r="N197" s="12"/>
      <x:c r="O197" s="12"/>
      <x:c r="P197" s="12" t="str">
        <x:f>IF(OR(H197="",J197="",M197=""),"",ROUND(PERCENTRANK.INC($H$2:$H$941,H197)*35+J197*0.35+M197*0.30,0))</x:f>
      </x:c>
      <x:c r="Q197" s="12" t="str">
        <x:f>IF(P197="","",IF(P197&gt;=80,"ATTACK",IF(P197&gt;=65,"GROW",IF(P197&gt;=50,"PARTNER","WATCH"))))</x:f>
      </x:c>
      <x:c r="R197" s="12" t="str">
        <x:f>IF(Q197="","",IF(Q197="ATTACK","Grassroots + family acquisition",IF(Q197="GROW","Test local campaign",IF(Q197="PARTNER","Organisation-first partnership","Low priority / validate"))))</x:f>
      </x:c>
      <x:c r="S197" s="45" t="n">
        <x:v>8.537226494435837</x:v>
      </x:c>
      <x:c r="T197" t="str">
        <x:v>NEAR</x:v>
      </x:c>
      <x:c r="U197" s="32" t="n">
        <x:f>PERCENTRANK.INC($G$2:$G$941,G197)</x:f>
        <x:v>0.025</x:v>
      </x:c>
      <x:c r="V197" s="32" t="n">
        <x:f>PERCENTRANK.INC($H$2:$H$941,H197)</x:f>
        <x:v>0.077</x:v>
      </x:c>
      <x:c r="W197" t="n">
        <x:f>ROUND((U197*55+V197*45)*IF(S197&lt;=5,1,IF(S197&lt;=10,0.95,IF(S197&lt;=20,0.85,0.70))),0)</x:f>
        <x:v>5</x:v>
      </x:c>
      <x:c r="X197" t="n">
        <x:v>3</x:v>
      </x:c>
      <x:c r="Y197" t="str">
        <x:v>WATCH</x:v>
      </x:c>
      <x:c r="Z197" s="12" t="str">
        <x:v>Family + verified grassroots + straight-line geo only; transport not yet routed</x:v>
      </x:c>
      <x:c r="AA197" s="12"/>
      <x:c r="AB197" s="12"/>
      <x:c r="AC197" s="12"/>
      <x:c r="AD197" s="12"/>
      <x:c r="AE197" t="str">
        <x:v>Crystal Palace Women</x:v>
      </x:c>
      <x:c r="AF197" s="45" t="n">
        <x:v>12.586365235615256</x:v>
      </x:c>
      <x:c r="AG197" t="str">
        <x:v>Dulwich Hamlet Women</x:v>
      </x:c>
      <x:c r="AH197" s="45" t="n">
        <x:v>18.316055366150575</x:v>
      </x:c>
      <x:c r="AI197" t="n">
        <x:v>45</x:v>
      </x:c>
      <x:c r="AJ197" t="str">
        <x:v>LOW</x:v>
      </x:c>
    </x:row>
    <x:row r="198">
      <x:c r="A198" s="12" t="str">
        <x:v>E01000747</x:v>
      </x:c>
      <x:c r="B198" s="12" t="str">
        <x:v>Bromley 042B</x:v>
      </x:c>
      <x:c r="C198" s="12" t="str">
        <x:v>Bromley</x:v>
      </x:c>
      <x:c r="D198" s="44" t="n">
        <x:v>51.33312474227985</x:v>
      </x:c>
      <x:c r="E198" s="44" t="n">
        <x:v>0.027927164033793996</x:v>
      </x:c>
      <x:c r="F198" s="33" t="n">
        <x:v>793</x:v>
      </x:c>
      <x:c r="G198" s="33" t="n">
        <x:v>263</x:v>
      </x:c>
      <x:c r="H198" s="26" t="n">
        <x:v>0.3316519546027743</x:v>
      </x:c>
      <x:c r="I198" s="12" t="n">
        <x:v>0</x:v>
      </x:c>
      <x:c r="J198" s="12" t="n">
        <x:v>16</x:v>
      </x:c>
      <x:c r="K198" s="12"/>
      <x:c r="L198" s="12"/>
      <x:c r="M198" s="12" t="str">
        <x:f>IF(K198="", "", MAX(0,IF(K198&lt;=20,100,IF(K198&lt;=30,85,IF(K198&lt;=40,70,IF(K198&lt;=50,55,IF(K198&lt;=60,40,20)))))-MIN(L198*5,20)))</x:f>
      </x:c>
      <x:c r="N198" s="12"/>
      <x:c r="O198" s="12"/>
      <x:c r="P198" s="12" t="str">
        <x:f>IF(OR(H198="",J198="",M198=""),"",ROUND(PERCENTRANK.INC($H$2:$H$941,H198)*35+J198*0.35+M198*0.30,0))</x:f>
      </x:c>
      <x:c r="Q198" s="12" t="str">
        <x:f>IF(P198="","",IF(P198&gt;=80,"ATTACK",IF(P198&gt;=65,"GROW",IF(P198&gt;=50,"PARTNER","WATCH"))))</x:f>
      </x:c>
      <x:c r="R198" s="12" t="str">
        <x:f>IF(Q198="","",IF(Q198="ATTACK","Grassroots + family acquisition",IF(Q198="GROW","Test local campaign",IF(Q198="PARTNER","Organisation-first partnership","Low priority / validate"))))</x:f>
      </x:c>
      <x:c r="S198" s="45" t="n">
        <x:v>6.472654597636599</x:v>
      </x:c>
      <x:c r="T198" t="str">
        <x:v>NEAR</x:v>
      </x:c>
      <x:c r="U198" s="32" t="n">
        <x:f>PERCENTRANK.INC($G$2:$G$941,G198)</x:f>
        <x:v>0.842</x:v>
      </x:c>
      <x:c r="V198" s="32" t="n">
        <x:f>PERCENTRANK.INC($H$2:$H$941,H198)</x:f>
        <x:v>0.581</x:v>
      </x:c>
      <x:c r="W198" t="n">
        <x:f>ROUND((U198*55+V198*45)*IF(S198&lt;=5,1,IF(S198&lt;=10,0.95,IF(S198&lt;=20,0.85,0.70))),0)</x:f>
        <x:v>69</x:v>
      </x:c>
      <x:c r="X198" t="n">
        <x:v>45</x:v>
      </x:c>
      <x:c r="Y198" t="str">
        <x:v>WATCH</x:v>
      </x:c>
      <x:c r="Z198" s="12" t="str">
        <x:v>Family + verified grassroots + straight-line geo only; transport not yet routed</x:v>
      </x:c>
      <x:c r="AA198" s="12"/>
      <x:c r="AB198" s="12"/>
      <x:c r="AC198" s="12"/>
      <x:c r="AD198" s="12"/>
      <x:c r="AE198" t="str">
        <x:v>Crystal Palace Women</x:v>
      </x:c>
      <x:c r="AF198" s="45" t="n">
        <x:v>10.682532878921183</x:v>
      </x:c>
      <x:c r="AG198" t="str">
        <x:v>Dulwich Hamlet Women</x:v>
      </x:c>
      <x:c r="AH198" s="45" t="n">
        <x:v>16.231800894435615</x:v>
      </x:c>
      <x:c r="AI198" t="n">
        <x:v>45</x:v>
      </x:c>
      <x:c r="AJ198" t="str">
        <x:v>LOW</x:v>
      </x:c>
    </x:row>
    <x:row r="199">
      <x:c r="A199" s="12" t="str">
        <x:v>E01000748</x:v>
      </x:c>
      <x:c r="B199" s="12" t="str">
        <x:v>Bromley 042C</x:v>
      </x:c>
      <x:c r="C199" s="12" t="str">
        <x:v>Bromley</x:v>
      </x:c>
      <x:c r="D199" s="44" t="n">
        <x:v>51.306453237582154</x:v>
      </x:c>
      <x:c r="E199" s="44" t="n">
        <x:v>0.04935855730829641</x:v>
      </x:c>
      <x:c r="F199" s="33" t="n">
        <x:v>706</x:v>
      </x:c>
      <x:c r="G199" s="33" t="n">
        <x:v>148</x:v>
      </x:c>
      <x:c r="H199" s="26" t="n">
        <x:v>0.2096317280453258</x:v>
      </x:c>
      <x:c r="I199" s="12" t="n">
        <x:v>0</x:v>
      </x:c>
      <x:c r="J199" s="12" t="n">
        <x:v>0</x:v>
      </x:c>
      <x:c r="K199" s="12"/>
      <x:c r="L199" s="12"/>
      <x:c r="M199" s="12" t="str">
        <x:f>IF(K199="", "", MAX(0,IF(K199&lt;=20,100,IF(K199&lt;=30,85,IF(K199&lt;=40,70,IF(K199&lt;=50,55,IF(K199&lt;=60,40,20)))))-MIN(L199*5,20)))</x:f>
      </x:c>
      <x:c r="N199" s="12"/>
      <x:c r="O199" s="12"/>
      <x:c r="P199" s="12" t="str">
        <x:f>IF(OR(H199="",J199="",M199=""),"",ROUND(PERCENTRANK.INC($H$2:$H$941,H199)*35+J199*0.35+M199*0.30,0))</x:f>
      </x:c>
      <x:c r="Q199" s="12" t="str">
        <x:f>IF(P199="","",IF(P199&gt;=80,"ATTACK",IF(P199&gt;=65,"GROW",IF(P199&gt;=50,"PARTNER","WATCH"))))</x:f>
      </x:c>
      <x:c r="R199" s="12" t="str">
        <x:f>IF(Q199="","",IF(Q199="ATTACK","Grassroots + family acquisition",IF(Q199="GROW","Test local campaign",IF(Q199="PARTNER","Organisation-first partnership","Low priority / validate"))))</x:f>
      </x:c>
      <x:c r="S199" s="45" t="n">
        <x:v>9.652978334023585</x:v>
      </x:c>
      <x:c r="T199" t="str">
        <x:v>NEAR</x:v>
      </x:c>
      <x:c r="U199" s="32" t="n">
        <x:f>PERCENTRANK.INC($G$2:$G$941,G199)</x:f>
        <x:v>0.086</x:v>
      </x:c>
      <x:c r="V199" s="32" t="n">
        <x:f>PERCENTRANK.INC($H$2:$H$941,H199)</x:f>
        <x:v>0.08</x:v>
      </x:c>
      <x:c r="W199" t="n">
        <x:f>ROUND((U199*55+V199*45)*IF(S199&lt;=5,1,IF(S199&lt;=10,0.95,IF(S199&lt;=20,0.85,0.70))),0)</x:f>
        <x:v>8</x:v>
      </x:c>
      <x:c r="X199" t="n">
        <x:v>4</x:v>
      </x:c>
      <x:c r="Y199" t="str">
        <x:v>WATCH</x:v>
      </x:c>
      <x:c r="Z199" s="12" t="str">
        <x:v>Family + verified grassroots + straight-line geo only; transport not yet routed</x:v>
      </x:c>
      <x:c r="AA199" s="12"/>
      <x:c r="AB199" s="12"/>
      <x:c r="AC199" s="12"/>
      <x:c r="AD199" s="12"/>
      <x:c r="AE199" t="str">
        <x:v>Crystal Palace Women</x:v>
      </x:c>
      <x:c r="AF199" s="45" t="n">
        <x:v>13.838718587628088</x:v>
      </x:c>
      <x:c r="AG199" t="str">
        <x:v>Dulwich Hamlet Women</x:v>
      </x:c>
      <x:c r="AH199" s="45" t="n">
        <x:v>19.549055043130608</x:v>
      </x:c>
      <x:c r="AI199" t="n">
        <x:v>45</x:v>
      </x:c>
      <x:c r="AJ199" t="str">
        <x:v>LOW</x:v>
      </x:c>
    </x:row>
    <x:row r="200">
      <x:c r="A200" s="12" t="str">
        <x:v>E01032570</x:v>
      </x:c>
      <x:c r="B200" s="12" t="str">
        <x:v>Bromley 042D</x:v>
      </x:c>
      <x:c r="C200" s="12" t="str">
        <x:v>Bromley</x:v>
      </x:c>
      <x:c r="D200" s="44" t="n">
        <x:v>51.30882997528815</x:v>
      </x:c>
      <x:c r="E200" s="44" t="n">
        <x:v>0.03701659907877751</x:v>
      </x:c>
      <x:c r="F200" s="33" t="n">
        <x:v>730</x:v>
      </x:c>
      <x:c r="G200" s="33" t="n">
        <x:v>207</x:v>
      </x:c>
      <x:c r="H200" s="26" t="n">
        <x:v>0.28356164383561644</x:v>
      </x:c>
      <x:c r="I200" s="12" t="n">
        <x:v>0</x:v>
      </x:c>
      <x:c r="J200" s="12" t="n">
        <x:v>0</x:v>
      </x:c>
      <x:c r="K200" s="12"/>
      <x:c r="L200" s="12"/>
      <x:c r="M200" s="12" t="str">
        <x:f>IF(K200="", "", MAX(0,IF(K200&lt;=20,100,IF(K200&lt;=30,85,IF(K200&lt;=40,70,IF(K200&lt;=50,55,IF(K200&lt;=60,40,20)))))-MIN(L200*5,20)))</x:f>
      </x:c>
      <x:c r="N200" s="12"/>
      <x:c r="O200" s="12"/>
      <x:c r="P200" s="12" t="str">
        <x:f>IF(OR(H200="",J200="",M200=""),"",ROUND(PERCENTRANK.INC($H$2:$H$941,H200)*35+J200*0.35+M200*0.30,0))</x:f>
      </x:c>
      <x:c r="Q200" s="12" t="str">
        <x:f>IF(P200="","",IF(P200&gt;=80,"ATTACK",IF(P200&gt;=65,"GROW",IF(P200&gt;=50,"PARTNER","WATCH"))))</x:f>
      </x:c>
      <x:c r="R200" s="12" t="str">
        <x:f>IF(Q200="","",IF(Q200="ATTACK","Grassroots + family acquisition",IF(Q200="GROW","Test local campaign",IF(Q200="PARTNER","Organisation-first partnership","Low priority / validate"))))</x:f>
      </x:c>
      <x:c r="S200" s="45" t="n">
        <x:v>9.232997863723332</x:v>
      </x:c>
      <x:c r="T200" t="str">
        <x:v>NEAR</x:v>
      </x:c>
      <x:c r="U200" s="32" t="n">
        <x:f>PERCENTRANK.INC($G$2:$G$941,G200)</x:f>
        <x:v>0.444</x:v>
      </x:c>
      <x:c r="V200" s="32" t="n">
        <x:f>PERCENTRANK.INC($H$2:$H$941,H200)</x:f>
        <x:v>0.308</x:v>
      </x:c>
      <x:c r="W200" t="n">
        <x:f>ROUND((U200*55+V200*45)*IF(S200&lt;=5,1,IF(S200&lt;=10,0.95,IF(S200&lt;=20,0.85,0.70))),0)</x:f>
        <x:v>36</x:v>
      </x:c>
      <x:c r="X200" t="n">
        <x:v>20</x:v>
      </x:c>
      <x:c r="Y200" t="str">
        <x:v>WATCH</x:v>
      </x:c>
      <x:c r="Z200" s="12" t="str">
        <x:v>Family + verified grassroots + straight-line geo only; transport not yet routed</x:v>
      </x:c>
      <x:c r="AA200" s="12"/>
      <x:c r="AB200" s="12"/>
      <x:c r="AC200" s="12"/>
      <x:c r="AD200" s="12"/>
      <x:c r="AE200" t="str">
        <x:v>Crystal Palace Women</x:v>
      </x:c>
      <x:c r="AF200" s="45" t="n">
        <x:v>13.07295147961053</x:v>
      </x:c>
      <x:c r="AG200" t="str">
        <x:v>Dulwich Hamlet Women</x:v>
      </x:c>
      <x:c r="AH200" s="45" t="n">
        <x:v>18.9212209818946</x:v>
      </x:c>
      <x:c r="AI200" t="n">
        <x:v>45</x:v>
      </x:c>
      <x:c r="AJ200" t="str">
        <x:v>LOW</x:v>
      </x:c>
    </x:row>
    <x:row r="201">
      <x:c r="A201" s="12" t="str">
        <x:v>E01001137</x:v>
      </x:c>
      <x:c r="B201" s="12" t="str">
        <x:v>Croydon 001A</x:v>
      </x:c>
      <x:c r="C201" s="12" t="str">
        <x:v>Croydon</x:v>
      </x:c>
      <x:c r="D201" s="44" t="n">
        <x:v>51.41344912446191</x:v>
      </x:c>
      <x:c r="E201" s="44" t="n">
        <x:v>-0.08462961281944109</x:v>
      </x:c>
      <x:c r="F201" s="33" t="n">
        <x:v>974</x:v>
      </x:c>
      <x:c r="G201" s="33" t="n">
        <x:v>272</x:v>
      </x:c>
      <x:c r="H201" s="26" t="n">
        <x:v>0.2792607802874743</x:v>
      </x:c>
      <x:c r="I201" s="12" t="n">
        <x:v>3</x:v>
      </x:c>
      <x:c r="J201" s="12" t="n">
        <x:v>91</x:v>
      </x:c>
      <x:c r="K201" s="12"/>
      <x:c r="L201" s="12"/>
      <x:c r="M201" s="12" t="str">
        <x:f>IF(K201="", "", MAX(0,IF(K201&lt;=20,100,IF(K201&lt;=30,85,IF(K201&lt;=40,70,IF(K201&lt;=50,55,IF(K201&lt;=60,40,20)))))-MIN(L201*5,20)))</x:f>
      </x:c>
      <x:c r="N201" s="12"/>
      <x:c r="O201" s="12"/>
      <x:c r="P201" s="12" t="str">
        <x:f>IF(OR(H201="",J201="",M201=""),"",ROUND(PERCENTRANK.INC($H$2:$H$941,H201)*35+J201*0.35+M201*0.30,0))</x:f>
      </x:c>
      <x:c r="Q201" s="12" t="str">
        <x:f>IF(P201="","",IF(P201&gt;=80,"ATTACK",IF(P201&gt;=65,"GROW",IF(P201&gt;=50,"PARTNER","WATCH"))))</x:f>
      </x:c>
      <x:c r="R201" s="12" t="str">
        <x:f>IF(Q201="","",IF(Q201="ATTACK","Grassroots + family acquisition",IF(Q201="GROW","Test local campaign",IF(Q201="PARTNER","Organisation-first partnership","Low priority / validate"))))</x:f>
      </x:c>
      <x:c r="S201" s="45" t="n">
        <x:v>7.525862861646049</x:v>
      </x:c>
      <x:c r="T201" t="str">
        <x:v>NEAR</x:v>
      </x:c>
      <x:c r="U201" s="32" t="n">
        <x:f>PERCENTRANK.INC($G$2:$G$941,G201)</x:f>
        <x:v>0.874</x:v>
      </x:c>
      <x:c r="V201" s="32" t="n">
        <x:f>PERCENTRANK.INC($H$2:$H$941,H201)</x:f>
        <x:v>0.289</x:v>
      </x:c>
      <x:c r="W201" t="n">
        <x:f>ROUND((U201*55+V201*45)*IF(S201&lt;=5,1,IF(S201&lt;=10,0.95,IF(S201&lt;=20,0.85,0.70))),0)</x:f>
        <x:v>58</x:v>
      </x:c>
      <x:c r="X201" t="n">
        <x:v>73</x:v>
      </x:c>
      <x:c r="Y201" t="str">
        <x:v>GROW</x:v>
      </x:c>
      <x:c r="Z201" s="12" t="str">
        <x:v>Family + verified grassroots + straight-line geo only; transport not yet routed</x:v>
      </x:c>
      <x:c r="AA201" s="12"/>
      <x:c r="AB201" s="12"/>
      <x:c r="AC201" s="12"/>
      <x:c r="AD201" s="12"/>
      <x:c r="AE201" t="str">
        <x:v>Crystal Palace Women</x:v>
      </x:c>
      <x:c r="AF201" s="45" t="n">
        <x:v>1.6871181906538273</x:v>
      </x:c>
      <x:c r="AG201" t="str">
        <x:v>Dulwich Hamlet Women</x:v>
      </x:c>
      <x:c r="AH201" s="45" t="n">
        <x:v>5.323196294393465</x:v>
      </x:c>
      <x:c r="AI201" t="n">
        <x:v>96</x:v>
      </x:c>
      <x:c r="AJ201" t="str">
        <x:v>HIGH</x:v>
      </x:c>
    </x:row>
    <x:row r="202">
      <x:c r="A202" s="12" t="str">
        <x:v>E01001138</x:v>
      </x:c>
      <x:c r="B202" s="12" t="str">
        <x:v>Croydon 001B</x:v>
      </x:c>
      <x:c r="C202" s="12" t="str">
        <x:v>Croydon</x:v>
      </x:c>
      <x:c r="D202" s="44" t="n">
        <x:v>51.41266677234119</x:v>
      </x:c>
      <x:c r="E202" s="44" t="n">
        <x:v>-0.07827957778782325</x:v>
      </x:c>
      <x:c r="F202" s="33" t="n">
        <x:v>718</x:v>
      </x:c>
      <x:c r="G202" s="33" t="n">
        <x:v>210</x:v>
      </x:c>
      <x:c r="H202" s="26" t="n">
        <x:v>0.2924791086350975</x:v>
      </x:c>
      <x:c r="I202" s="12" t="n">
        <x:v>3</x:v>
      </x:c>
      <x:c r="J202" s="12" t="n">
        <x:v>76</x:v>
      </x:c>
      <x:c r="K202" s="12"/>
      <x:c r="L202" s="12"/>
      <x:c r="M202" s="12" t="str">
        <x:f>IF(K202="", "", MAX(0,IF(K202&lt;=20,100,IF(K202&lt;=30,85,IF(K202&lt;=40,70,IF(K202&lt;=50,55,IF(K202&lt;=60,40,20)))))-MIN(L202*5,20)))</x:f>
      </x:c>
      <x:c r="N202" s="12"/>
      <x:c r="O202" s="12"/>
      <x:c r="P202" s="12" t="str">
        <x:f>IF(OR(H202="",J202="",M202=""),"",ROUND(PERCENTRANK.INC($H$2:$H$941,H202)*35+J202*0.35+M202*0.30,0))</x:f>
      </x:c>
      <x:c r="Q202" s="12" t="str">
        <x:f>IF(P202="","",IF(P202&gt;=80,"ATTACK",IF(P202&gt;=65,"GROW",IF(P202&gt;=50,"PARTNER","WATCH"))))</x:f>
      </x:c>
      <x:c r="R202" s="12" t="str">
        <x:f>IF(Q202="","",IF(Q202="ATTACK","Grassroots + family acquisition",IF(Q202="GROW","Test local campaign",IF(Q202="PARTNER","Organisation-first partnership","Low priority / validate"))))</x:f>
      </x:c>
      <x:c r="S202" s="45" t="n">
        <x:v>7.081809697174288</x:v>
      </x:c>
      <x:c r="T202" t="str">
        <x:v>NEAR</x:v>
      </x:c>
      <x:c r="U202" s="32" t="n">
        <x:f>PERCENTRANK.INC($G$2:$G$941,G202)</x:f>
        <x:v>0.471</x:v>
      </x:c>
      <x:c r="V202" s="32" t="n">
        <x:f>PERCENTRANK.INC($H$2:$H$941,H202)</x:f>
        <x:v>0.357</x:v>
      </x:c>
      <x:c r="W202" t="n">
        <x:f>ROUND((U202*55+V202*45)*IF(S202&lt;=5,1,IF(S202&lt;=10,0.95,IF(S202&lt;=20,0.85,0.70))),0)</x:f>
        <x:v>40</x:v>
      </x:c>
      <x:c r="X202" t="n">
        <x:v>56</x:v>
      </x:c>
      <x:c r="Y202" t="str">
        <x:v>PARTNER</x:v>
      </x:c>
      <x:c r="Z202" s="12" t="str">
        <x:v>Family + verified grassroots + straight-line geo only; transport not yet routed</x:v>
      </x:c>
      <x:c r="AA202" s="12"/>
      <x:c r="AB202" s="12"/>
      <x:c r="AC202" s="12"/>
      <x:c r="AD202" s="12"/>
      <x:c r="AE202" t="str">
        <x:v>Crystal Palace Women</x:v>
      </x:c>
      <x:c r="AF202" s="45" t="n">
        <x:v>1.6692130780275904</x:v>
      </x:c>
      <x:c r="AG202" t="str">
        <x:v>Dulwich Hamlet Women</x:v>
      </x:c>
      <x:c r="AH202" s="45" t="n">
        <x:v>5.424410030879961</x:v>
      </x:c>
      <x:c r="AI202" t="n">
        <x:v>96</x:v>
      </x:c>
      <x:c r="AJ202" t="str">
        <x:v>HIGH</x:v>
      </x:c>
    </x:row>
    <x:row r="203">
      <x:c r="A203" s="12" t="str">
        <x:v>E01001156</x:v>
      </x:c>
      <x:c r="B203" s="12" t="str">
        <x:v>Croydon 001C</x:v>
      </x:c>
      <x:c r="C203" s="12" t="str">
        <x:v>Croydon</x:v>
      </x:c>
      <x:c r="D203" s="44" t="n">
        <x:v>51.415104591702494</x:v>
      </x:c>
      <x:c r="E203" s="44" t="n">
        <x:v>-0.09033092715029524</x:v>
      </x:c>
      <x:c r="F203" s="33" t="n">
        <x:v>721</x:v>
      </x:c>
      <x:c r="G203" s="33" t="n">
        <x:v>233</x:v>
      </x:c>
      <x:c r="H203" s="26" t="n">
        <x:v>0.3231622746185853</x:v>
      </x:c>
      <x:c r="I203" s="12" t="n">
        <x:v>3</x:v>
      </x:c>
      <x:c r="J203" s="12" t="n">
        <x:v>83</x:v>
      </x:c>
      <x:c r="K203" s="12"/>
      <x:c r="L203" s="12"/>
      <x:c r="M203" s="12" t="str">
        <x:f>IF(K203="", "", MAX(0,IF(K203&lt;=20,100,IF(K203&lt;=30,85,IF(K203&lt;=40,70,IF(K203&lt;=50,55,IF(K203&lt;=60,40,20)))))-MIN(L203*5,20)))</x:f>
      </x:c>
      <x:c r="N203" s="12"/>
      <x:c r="O203" s="12"/>
      <x:c r="P203" s="12" t="str">
        <x:f>IF(OR(H203="",J203="",M203=""),"",ROUND(PERCENTRANK.INC($H$2:$H$941,H203)*35+J203*0.35+M203*0.30,0))</x:f>
      </x:c>
      <x:c r="Q203" s="12" t="str">
        <x:f>IF(P203="","",IF(P203&gt;=80,"ATTACK",IF(P203&gt;=65,"GROW",IF(P203&gt;=50,"PARTNER","WATCH"))))</x:f>
      </x:c>
      <x:c r="R203" s="12" t="str">
        <x:f>IF(Q203="","",IF(Q203="ATTACK","Grassroots + family acquisition",IF(Q203="GROW","Test local campaign",IF(Q203="PARTNER","Organisation-first partnership","Low priority / validate"))))</x:f>
      </x:c>
      <x:c r="S203" s="45" t="n">
        <x:v>7.960020506109339</x:v>
      </x:c>
      <x:c r="T203" t="str">
        <x:v>NEAR</x:v>
      </x:c>
      <x:c r="U203" s="32" t="n">
        <x:f>PERCENTRANK.INC($G$2:$G$941,G203)</x:f>
        <x:v>0.654</x:v>
      </x:c>
      <x:c r="V203" s="32" t="n">
        <x:f>PERCENTRANK.INC($H$2:$H$941,H203)</x:f>
        <x:v>0.531</x:v>
      </x:c>
      <x:c r="W203" t="n">
        <x:f>ROUND((U203*55+V203*45)*IF(S203&lt;=5,1,IF(S203&lt;=10,0.95,IF(S203&lt;=20,0.85,0.70))),0)</x:f>
        <x:v>57</x:v>
      </x:c>
      <x:c r="X203" t="n">
        <x:v>69</x:v>
      </x:c>
      <x:c r="Y203" t="str">
        <x:v>GROW</x:v>
      </x:c>
      <x:c r="Z203" s="12" t="str">
        <x:v>Family + verified grassroots + straight-line geo only; transport not yet routed</x:v>
      </x:c>
      <x:c r="AA203" s="12"/>
      <x:c r="AB203" s="12"/>
      <x:c r="AC203" s="12"/>
      <x:c r="AD203" s="12"/>
      <x:c r="AE203" t="str">
        <x:v>Crystal Palace Women</x:v>
      </x:c>
      <x:c r="AF203" s="45" t="n">
        <x:v>1.9050135998934155</x:v>
      </x:c>
      <x:c r="AG203" t="str">
        <x:v>Dulwich Hamlet Women</x:v>
      </x:c>
      <x:c r="AH203" s="45" t="n">
        <x:v>5.157746214422256</x:v>
      </x:c>
      <x:c r="AI203" t="n">
        <x:v>96</x:v>
      </x:c>
      <x:c r="AJ203" t="str">
        <x:v>HIGH</x:v>
      </x:c>
    </x:row>
    <x:row r="204">
      <x:c r="A204" s="12" t="str">
        <x:v>E01001162</x:v>
      </x:c>
      <x:c r="B204" s="12" t="str">
        <x:v>Croydon 001D</x:v>
      </x:c>
      <x:c r="C204" s="12" t="str">
        <x:v>Croydon</x:v>
      </x:c>
      <x:c r="D204" s="44" t="n">
        <x:v>51.41971469901515</x:v>
      </x:c>
      <x:c r="E204" s="44" t="n">
        <x:v>-0.0927018883363045</x:v>
      </x:c>
      <x:c r="F204" s="33" t="n">
        <x:v>801</x:v>
      </x:c>
      <x:c r="G204" s="33" t="n">
        <x:v>256</x:v>
      </x:c>
      <x:c r="H204" s="26" t="n">
        <x:v>0.3196004993757803</x:v>
      </x:c>
      <x:c r="I204" s="12" t="n">
        <x:v>3</x:v>
      </x:c>
      <x:c r="J204" s="12" t="n">
        <x:v>67</x:v>
      </x:c>
      <x:c r="K204" s="12"/>
      <x:c r="L204" s="12"/>
      <x:c r="M204" s="12" t="str">
        <x:f>IF(K204="", "", MAX(0,IF(K204&lt;=20,100,IF(K204&lt;=30,85,IF(K204&lt;=40,70,IF(K204&lt;=50,55,IF(K204&lt;=60,40,20)))))-MIN(L204*5,20)))</x:f>
      </x:c>
      <x:c r="N204" s="12"/>
      <x:c r="O204" s="12"/>
      <x:c r="P204" s="12" t="str">
        <x:f>IF(OR(H204="",J204="",M204=""),"",ROUND(PERCENTRANK.INC($H$2:$H$941,H204)*35+J204*0.35+M204*0.30,0))</x:f>
      </x:c>
      <x:c r="Q204" s="12" t="str">
        <x:f>IF(P204="","",IF(P204&gt;=80,"ATTACK",IF(P204&gt;=65,"GROW",IF(P204&gt;=50,"PARTNER","WATCH"))))</x:f>
      </x:c>
      <x:c r="R204" s="12" t="str">
        <x:f>IF(Q204="","",IF(Q204="ATTACK","Grassroots + family acquisition",IF(Q204="GROW","Test local campaign",IF(Q204="PARTNER","Organisation-first partnership","Low priority / validate"))))</x:f>
      </x:c>
      <x:c r="S204" s="45" t="n">
        <x:v>8.298244716659655</x:v>
      </x:c>
      <x:c r="T204" t="str">
        <x:v>NEAR</x:v>
      </x:c>
      <x:c r="U204" s="32" t="n">
        <x:f>PERCENTRANK.INC($G$2:$G$941,G204)</x:f>
        <x:v>0.81</x:v>
      </x:c>
      <x:c r="V204" s="32" t="n">
        <x:f>PERCENTRANK.INC($H$2:$H$941,H204)</x:f>
        <x:v>0.507</x:v>
      </x:c>
      <x:c r="W204" t="n">
        <x:f>ROUND((U204*55+V204*45)*IF(S204&lt;=5,1,IF(S204&lt;=10,0.95,IF(S204&lt;=20,0.85,0.70))),0)</x:f>
        <x:v>64</x:v>
      </x:c>
      <x:c r="X204" t="n">
        <x:v>66</x:v>
      </x:c>
      <x:c r="Y204" t="str">
        <x:v>GROW</x:v>
      </x:c>
      <x:c r="Z204" s="12" t="str">
        <x:v>Family + verified grassroots + straight-line geo only; transport not yet routed</x:v>
      </x:c>
      <x:c r="AA204" s="12"/>
      <x:c r="AB204" s="12"/>
      <x:c r="AC204" s="12"/>
      <x:c r="AD204" s="12"/>
      <x:c r="AE204" t="str">
        <x:v>Crystal Palace Women</x:v>
      </x:c>
      <x:c r="AF204" s="45" t="n">
        <x:v>2.4403090483565917</x:v>
      </x:c>
      <x:c r="AG204" t="str">
        <x:v>Dulwich Hamlet Women</x:v>
      </x:c>
      <x:c r="AH204" s="45" t="n">
        <x:v>4.665634179541663</x:v>
      </x:c>
      <x:c r="AI204" t="n">
        <x:v>96</x:v>
      </x:c>
      <x:c r="AJ204" t="str">
        <x:v>HIGH</x:v>
      </x:c>
    </x:row>
    <x:row r="205">
      <x:c r="A205" s="12" t="str">
        <x:v>E01001164</x:v>
      </x:c>
      <x:c r="B205" s="12" t="str">
        <x:v>Croydon 001E</x:v>
      </x:c>
      <x:c r="C205" s="12" t="str">
        <x:v>Croydon</x:v>
      </x:c>
      <x:c r="D205" s="44" t="n">
        <x:v>51.418571330623784</x:v>
      </x:c>
      <x:c r="E205" s="44" t="n">
        <x:v>-0.08438747381572101</x:v>
      </x:c>
      <x:c r="F205" s="33" t="n">
        <x:v>990</x:v>
      </x:c>
      <x:c r="G205" s="33" t="n">
        <x:v>215</x:v>
      </x:c>
      <x:c r="H205" s="26" t="n">
        <x:v>0.21717171717171718</x:v>
      </x:c>
      <x:c r="I205" s="12" t="n">
        <x:v>3</x:v>
      </x:c>
      <x:c r="J205" s="12" t="n">
        <x:v>76</x:v>
      </x:c>
      <x:c r="K205" s="12"/>
      <x:c r="L205" s="12"/>
      <x:c r="M205" s="12" t="str">
        <x:f>IF(K205="", "", MAX(0,IF(K205&lt;=20,100,IF(K205&lt;=30,85,IF(K205&lt;=40,70,IF(K205&lt;=50,55,IF(K205&lt;=60,40,20)))))-MIN(L205*5,20)))</x:f>
      </x:c>
      <x:c r="N205" s="12"/>
      <x:c r="O205" s="12"/>
      <x:c r="P205" s="12" t="str">
        <x:f>IF(OR(H205="",J205="",M205=""),"",ROUND(PERCENTRANK.INC($H$2:$H$941,H205)*35+J205*0.35+M205*0.30,0))</x:f>
      </x:c>
      <x:c r="Q205" s="12" t="str">
        <x:f>IF(P205="","",IF(P205&gt;=80,"ATTACK",IF(P205&gt;=65,"GROW",IF(P205&gt;=50,"PARTNER","WATCH"))))</x:f>
      </x:c>
      <x:c r="R205" s="12" t="str">
        <x:f>IF(Q205="","",IF(Q205="ATTACK","Grassroots + family acquisition",IF(Q205="GROW","Test local campaign",IF(Q205="PARTNER","Organisation-first partnership","Low priority / validate"))))</x:f>
      </x:c>
      <x:c r="S205" s="45" t="n">
        <x:v>7.717819868769515</x:v>
      </x:c>
      <x:c r="T205" t="str">
        <x:v>NEAR</x:v>
      </x:c>
      <x:c r="U205" s="32" t="n">
        <x:f>PERCENTRANK.INC($G$2:$G$941,G205)</x:f>
        <x:v>0.515</x:v>
      </x:c>
      <x:c r="V205" s="32" t="n">
        <x:f>PERCENTRANK.INC($H$2:$H$941,H205)</x:f>
        <x:v>0.095</x:v>
      </x:c>
      <x:c r="W205" t="n">
        <x:f>ROUND((U205*55+V205*45)*IF(S205&lt;=5,1,IF(S205&lt;=10,0.95,IF(S205&lt;=20,0.85,0.70))),0)</x:f>
        <x:v>31</x:v>
      </x:c>
      <x:c r="X205" t="n">
        <x:v>51</x:v>
      </x:c>
      <x:c r="Y205" t="str">
        <x:v>PARTNER</x:v>
      </x:c>
      <x:c r="Z205" s="12" t="str">
        <x:v>Family + verified grassroots + straight-line geo only; transport not yet routed</x:v>
      </x:c>
      <x:c r="AA205" s="12"/>
      <x:c r="AB205" s="12"/>
      <x:c r="AC205" s="12"/>
      <x:c r="AD205" s="12"/>
      <x:c r="AE205" t="str">
        <x:v>Crystal Palace Women</x:v>
      </x:c>
      <x:c r="AF205" s="45" t="n">
        <x:v>2.256915915159772</x:v>
      </x:c>
      <x:c r="AG205" t="str">
        <x:v>Dulwich Hamlet Women</x:v>
      </x:c>
      <x:c r="AH205" s="45" t="n">
        <x:v>4.753525622888945</x:v>
      </x:c>
      <x:c r="AI205" t="n">
        <x:v>96</x:v>
      </x:c>
      <x:c r="AJ205" t="str">
        <x:v>HIGH</x:v>
      </x:c>
    </x:row>
    <x:row r="206">
      <x:c r="A206" s="12" t="str">
        <x:v>E01001084</x:v>
      </x:c>
      <x:c r="B206" s="12" t="str">
        <x:v>Croydon 002A</x:v>
      </x:c>
      <x:c r="C206" s="12" t="str">
        <x:v>Croydon</x:v>
      </x:c>
      <x:c r="D206" s="44" t="n">
        <x:v>51.418314120357444</x:v>
      </x:c>
      <x:c r="E206" s="44" t="n">
        <x:v>-0.11143938460959041</x:v>
      </x:c>
      <x:c r="F206" s="33" t="n">
        <x:v>665</x:v>
      </x:c>
      <x:c r="G206" s="33" t="n">
        <x:v>218</x:v>
      </x:c>
      <x:c r="H206" s="26" t="n">
        <x:v>0.32781954887218046</x:v>
      </x:c>
      <x:c r="I206" s="12" t="n">
        <x:v>2</x:v>
      </x:c>
      <x:c r="J206" s="12" t="n">
        <x:v>60</x:v>
      </x:c>
      <x:c r="K206" s="12"/>
      <x:c r="L206" s="12"/>
      <x:c r="M206" s="12" t="str">
        <x:f>IF(K206="", "", MAX(0,IF(K206&lt;=20,100,IF(K206&lt;=30,85,IF(K206&lt;=40,70,IF(K206&lt;=50,55,IF(K206&lt;=60,40,20)))))-MIN(L206*5,20)))</x:f>
      </x:c>
      <x:c r="N206" s="12"/>
      <x:c r="O206" s="12"/>
      <x:c r="P206" s="12" t="str">
        <x:f>IF(OR(H206="",J206="",M206=""),"",ROUND(PERCENTRANK.INC($H$2:$H$941,H206)*35+J206*0.35+M206*0.30,0))</x:f>
      </x:c>
      <x:c r="Q206" s="12" t="str">
        <x:f>IF(P206="","",IF(P206&gt;=80,"ATTACK",IF(P206&gt;=65,"GROW",IF(P206&gt;=50,"PARTNER","WATCH"))))</x:f>
      </x:c>
      <x:c r="R206" s="12" t="str">
        <x:f>IF(Q206="","",IF(Q206="ATTACK","Grassroots + family acquisition",IF(Q206="GROW","Test local campaign",IF(Q206="PARTNER","Organisation-first partnership","Low priority / validate"))))</x:f>
      </x:c>
      <x:c r="S206" s="45" t="n">
        <x:v>9.459904052208412</x:v>
      </x:c>
      <x:c r="T206" t="str">
        <x:v>NEAR</x:v>
      </x:c>
      <x:c r="U206" s="32" t="n">
        <x:f>PERCENTRANK.INC($G$2:$G$941,G206)</x:f>
        <x:v>0.538</x:v>
      </x:c>
      <x:c r="V206" s="32" t="n">
        <x:f>PERCENTRANK.INC($H$2:$H$941,H206)</x:f>
        <x:v>0.554</x:v>
      </x:c>
      <x:c r="W206" t="n">
        <x:f>ROUND((U206*55+V206*45)*IF(S206&lt;=5,1,IF(S206&lt;=10,0.95,IF(S206&lt;=20,0.85,0.70))),0)</x:f>
        <x:v>52</x:v>
      </x:c>
      <x:c r="X206" t="n">
        <x:v>56</x:v>
      </x:c>
      <x:c r="Y206" t="str">
        <x:v>PARTNER</x:v>
      </x:c>
      <x:c r="Z206" s="12" t="str">
        <x:v>Family + verified grassroots + straight-line geo only; transport not yet routed</x:v>
      </x:c>
      <x:c r="AA206" s="12"/>
      <x:c r="AB206" s="12"/>
      <x:c r="AC206" s="12"/>
      <x:c r="AD206" s="12"/>
      <x:c r="AE206" t="str">
        <x:v>Crystal Palace Women</x:v>
      </x:c>
      <x:c r="AF206" s="45" t="n">
        <x:v>2.878803129754335</x:v>
      </x:c>
      <x:c r="AG206" t="str">
        <x:v>Dulwich Hamlet Women</x:v>
      </x:c>
      <x:c r="AH206" s="45" t="n">
        <x:v>5.146876450749222</x:v>
      </x:c>
      <x:c r="AI206" t="n">
        <x:v>96</x:v>
      </x:c>
      <x:c r="AJ206" t="str">
        <x:v>HIGH</x:v>
      </x:c>
    </x:row>
    <x:row r="207">
      <x:c r="A207" s="12" t="str">
        <x:v>E01001157</x:v>
      </x:c>
      <x:c r="B207" s="12" t="str">
        <x:v>Croydon 002B</x:v>
      </x:c>
      <x:c r="C207" s="12" t="str">
        <x:v>Croydon</x:v>
      </x:c>
      <x:c r="D207" s="44" t="n">
        <x:v>51.4135504577833</x:v>
      </x:c>
      <x:c r="E207" s="44" t="n">
        <x:v>-0.10575648606006706</x:v>
      </x:c>
      <x:c r="F207" s="33" t="n">
        <x:v>624</x:v>
      </x:c>
      <x:c r="G207" s="33" t="n">
        <x:v>242</x:v>
      </x:c>
      <x:c r="H207" s="26" t="n">
        <x:v>0.38782051282051283</x:v>
      </x:c>
      <x:c r="I207" s="12" t="n">
        <x:v>3</x:v>
      </x:c>
      <x:c r="J207" s="12" t="n">
        <x:v>68</x:v>
      </x:c>
      <x:c r="K207" s="12"/>
      <x:c r="L207" s="12"/>
      <x:c r="M207" s="12" t="str">
        <x:f>IF(K207="", "", MAX(0,IF(K207&lt;=20,100,IF(K207&lt;=30,85,IF(K207&lt;=40,70,IF(K207&lt;=50,55,IF(K207&lt;=60,40,20)))))-MIN(L207*5,20)))</x:f>
      </x:c>
      <x:c r="N207" s="12"/>
      <x:c r="O207" s="12"/>
      <x:c r="P207" s="12" t="str">
        <x:f>IF(OR(H207="",J207="",M207=""),"",ROUND(PERCENTRANK.INC($H$2:$H$941,H207)*35+J207*0.35+M207*0.30,0))</x:f>
      </x:c>
      <x:c r="Q207" s="12" t="str">
        <x:f>IF(P207="","",IF(P207&gt;=80,"ATTACK",IF(P207&gt;=65,"GROW",IF(P207&gt;=50,"PARTNER","WATCH"))))</x:f>
      </x:c>
      <x:c r="R207" s="12" t="str">
        <x:f>IF(Q207="","",IF(Q207="ATTACK","Grassroots + family acquisition",IF(Q207="GROW","Test local campaign",IF(Q207="PARTNER","Organisation-first partnership","Low priority / validate"))))</x:f>
      </x:c>
      <x:c r="S207" s="45" t="n">
        <x:v>8.924748692154415</x:v>
      </x:c>
      <x:c r="T207" t="str">
        <x:v>NEAR</x:v>
      </x:c>
      <x:c r="U207" s="32" t="n">
        <x:f>PERCENTRANK.INC($G$2:$G$941,G207)</x:f>
        <x:v>0.725</x:v>
      </x:c>
      <x:c r="V207" s="32" t="n">
        <x:f>PERCENTRANK.INC($H$2:$H$941,H207)</x:f>
        <x:v>0.869</x:v>
      </x:c>
      <x:c r="W207" t="n">
        <x:f>ROUND((U207*55+V207*45)*IF(S207&lt;=5,1,IF(S207&lt;=10,0.95,IF(S207&lt;=20,0.85,0.70))),0)</x:f>
        <x:v>75</x:v>
      </x:c>
      <x:c r="X207" t="n">
        <x:v>72</x:v>
      </x:c>
      <x:c r="Y207" t="str">
        <x:v>GROW</x:v>
      </x:c>
      <x:c r="Z207" s="12" t="str">
        <x:v>Family + verified grassroots + straight-line geo only; transport not yet routed</x:v>
      </x:c>
      <x:c r="AA207" s="12"/>
      <x:c r="AB207" s="12"/>
      <x:c r="AC207" s="12"/>
      <x:c r="AD207" s="12"/>
      <x:c r="AE207" t="str">
        <x:v>Crystal Palace Women</x:v>
      </x:c>
      <x:c r="AF207" s="45" t="n">
        <x:v>2.2195050344789933</x:v>
      </x:c>
      <x:c r="AG207" t="str">
        <x:v>Dulwich Hamlet Women</x:v>
      </x:c>
      <x:c r="AH207" s="45" t="n">
        <x:v>5.522046465503208</x:v>
      </x:c>
      <x:c r="AI207" t="n">
        <x:v>96</x:v>
      </x:c>
      <x:c r="AJ207" t="str">
        <x:v>HIGH</x:v>
      </x:c>
    </x:row>
    <x:row r="208">
      <x:c r="A208" s="12" t="str">
        <x:v>E01001159</x:v>
      </x:c>
      <x:c r="B208" s="12" t="str">
        <x:v>Croydon 002C</x:v>
      </x:c>
      <x:c r="C208" s="12" t="str">
        <x:v>Croydon</x:v>
      </x:c>
      <x:c r="D208" s="44" t="n">
        <x:v>51.41545623444434</x:v>
      </x:c>
      <x:c r="E208" s="44" t="n">
        <x:v>-0.09857716695517725</x:v>
      </x:c>
      <x:c r="F208" s="33" t="n">
        <x:v>742</x:v>
      </x:c>
      <x:c r="G208" s="33" t="n">
        <x:v>264</x:v>
      </x:c>
      <x:c r="H208" s="26" t="n">
        <x:v>0.3557951482479784</x:v>
      </x:c>
      <x:c r="I208" s="12" t="n">
        <x:v>3</x:v>
      </x:c>
      <x:c r="J208" s="12" t="n">
        <x:v>75</x:v>
      </x:c>
      <x:c r="K208" s="12"/>
      <x:c r="L208" s="12"/>
      <x:c r="M208" s="12" t="str">
        <x:f>IF(K208="", "", MAX(0,IF(K208&lt;=20,100,IF(K208&lt;=30,85,IF(K208&lt;=40,70,IF(K208&lt;=50,55,IF(K208&lt;=60,40,20)))))-MIN(L208*5,20)))</x:f>
      </x:c>
      <x:c r="N208" s="12"/>
      <x:c r="O208" s="12"/>
      <x:c r="P208" s="12" t="str">
        <x:f>IF(OR(H208="",J208="",M208=""),"",ROUND(PERCENTRANK.INC($H$2:$H$941,H208)*35+J208*0.35+M208*0.30,0))</x:f>
      </x:c>
      <x:c r="Q208" s="12" t="str">
        <x:f>IF(P208="","",IF(P208&gt;=80,"ATTACK",IF(P208&gt;=65,"GROW",IF(P208&gt;=50,"PARTNER","WATCH"))))</x:f>
      </x:c>
      <x:c r="R208" s="12" t="str">
        <x:f>IF(Q208="","",IF(Q208="ATTACK","Grassroots + family acquisition",IF(Q208="GROW","Test local campaign",IF(Q208="PARTNER","Organisation-first partnership","Low priority / validate"))))</x:f>
      </x:c>
      <x:c r="S208" s="45" t="n">
        <x:v>8.513167297537882</x:v>
      </x:c>
      <x:c r="T208" t="str">
        <x:v>NEAR</x:v>
      </x:c>
      <x:c r="U208" s="32" t="n">
        <x:f>PERCENTRANK.INC($G$2:$G$941,G208)</x:f>
        <x:v>0.847</x:v>
      </x:c>
      <x:c r="V208" s="32" t="n">
        <x:f>PERCENTRANK.INC($H$2:$H$941,H208)</x:f>
        <x:v>0.717</x:v>
      </x:c>
      <x:c r="W208" t="n">
        <x:f>ROUND((U208*55+V208*45)*IF(S208&lt;=5,1,IF(S208&lt;=10,0.95,IF(S208&lt;=20,0.85,0.70))),0)</x:f>
        <x:v>75</x:v>
      </x:c>
      <x:c r="X208" t="n">
        <x:v>75</x:v>
      </x:c>
      <x:c r="Y208" t="str">
        <x:v>GROW</x:v>
      </x:c>
      <x:c r="Z208" s="12" t="str">
        <x:v>Family + verified grassroots + straight-line geo only; transport not yet routed</x:v>
      </x:c>
      <x:c r="AA208" s="12"/>
      <x:c r="AB208" s="12"/>
      <x:c r="AC208" s="12"/>
      <x:c r="AD208" s="12"/>
      <x:c r="AE208" t="str">
        <x:v>Crystal Palace Women</x:v>
      </x:c>
      <x:c r="AF208" s="45" t="n">
        <x:v>2.1248882362088573</x:v>
      </x:c>
      <x:c r="AG208" t="str">
        <x:v>Dulwich Hamlet Women</x:v>
      </x:c>
      <x:c r="AH208" s="45" t="n">
        <x:v>5.199224335084622</x:v>
      </x:c>
      <x:c r="AI208" t="n">
        <x:v>96</x:v>
      </x:c>
      <x:c r="AJ208" t="str">
        <x:v>HIGH</x:v>
      </x:c>
    </x:row>
    <x:row r="209">
      <x:c r="A209" s="12" t="str">
        <x:v>E01001160</x:v>
      </x:c>
      <x:c r="B209" s="12" t="str">
        <x:v>Croydon 002D</x:v>
      </x:c>
      <x:c r="C209" s="12" t="str">
        <x:v>Croydon</x:v>
      </x:c>
      <x:c r="D209" s="44" t="n">
        <x:v>51.410311482453935</x:v>
      </x:c>
      <x:c r="E209" s="44" t="n">
        <x:v>-0.10264841303715323</x:v>
      </x:c>
      <x:c r="F209" s="33" t="n">
        <x:v>626</x:v>
      </x:c>
      <x:c r="G209" s="33" t="n">
        <x:v>217</x:v>
      </x:c>
      <x:c r="H209" s="26" t="n">
        <x:v>0.3466453674121406</x:v>
      </x:c>
      <x:c r="I209" s="12" t="n">
        <x:v>3</x:v>
      </x:c>
      <x:c r="J209" s="12" t="n">
        <x:v>76</x:v>
      </x:c>
      <x:c r="K209" s="12"/>
      <x:c r="L209" s="12"/>
      <x:c r="M209" s="12" t="str">
        <x:f>IF(K209="", "", MAX(0,IF(K209&lt;=20,100,IF(K209&lt;=30,85,IF(K209&lt;=40,70,IF(K209&lt;=50,55,IF(K209&lt;=60,40,20)))))-MIN(L209*5,20)))</x:f>
      </x:c>
      <x:c r="N209" s="12"/>
      <x:c r="O209" s="12"/>
      <x:c r="P209" s="12" t="str">
        <x:f>IF(OR(H209="",J209="",M209=""),"",ROUND(PERCENTRANK.INC($H$2:$H$941,H209)*35+J209*0.35+M209*0.30,0))</x:f>
      </x:c>
      <x:c r="Q209" s="12" t="str">
        <x:f>IF(P209="","",IF(P209&gt;=80,"ATTACK",IF(P209&gt;=65,"GROW",IF(P209&gt;=50,"PARTNER","WATCH"))))</x:f>
      </x:c>
      <x:c r="R209" s="12" t="str">
        <x:f>IF(Q209="","",IF(Q209="ATTACK","Grassroots + family acquisition",IF(Q209="GROW","Test local campaign",IF(Q209="PARTNER","Organisation-first partnership","Low priority / validate"))))</x:f>
      </x:c>
      <x:c r="S209" s="45" t="n">
        <x:v>8.621579211464447</x:v>
      </x:c>
      <x:c r="T209" t="str">
        <x:v>NEAR</x:v>
      </x:c>
      <x:c r="U209" s="32" t="n">
        <x:f>PERCENTRANK.INC($G$2:$G$941,G209)</x:f>
        <x:v>0.531</x:v>
      </x:c>
      <x:c r="V209" s="32" t="n">
        <x:f>PERCENTRANK.INC($H$2:$H$941,H209)</x:f>
        <x:v>0.663</x:v>
      </x:c>
      <x:c r="W209" t="n">
        <x:f>ROUND((U209*55+V209*45)*IF(S209&lt;=5,1,IF(S209&lt;=10,0.95,IF(S209&lt;=20,0.85,0.70))),0)</x:f>
        <x:v>56</x:v>
      </x:c>
      <x:c r="X209" t="n">
        <x:v>65</x:v>
      </x:c>
      <x:c r="Y209" t="str">
        <x:v>GROW</x:v>
      </x:c>
      <x:c r="Z209" s="12" t="str">
        <x:v>Family + verified grassroots + straight-line geo only; transport not yet routed</x:v>
      </x:c>
      <x:c r="AA209" s="12"/>
      <x:c r="AB209" s="12"/>
      <x:c r="AC209" s="12"/>
      <x:c r="AD209" s="12"/>
      <x:c r="AE209" t="str">
        <x:v>Crystal Palace Women</x:v>
      </x:c>
      <x:c r="AF209" s="45" t="n">
        <x:v>1.8064083102064423</x:v>
      </x:c>
      <x:c r="AG209" t="str">
        <x:v>Dulwich Hamlet Women</x:v>
      </x:c>
      <x:c r="AH209" s="45" t="n">
        <x:v>5.817644697779531</x:v>
      </x:c>
      <x:c r="AI209" t="n">
        <x:v>96</x:v>
      </x:c>
      <x:c r="AJ209" t="str">
        <x:v>HIGH</x:v>
      </x:c>
    </x:row>
    <x:row r="210">
      <x:c r="A210" s="12" t="str">
        <x:v>E01001163</x:v>
      </x:c>
      <x:c r="B210" s="12" t="str">
        <x:v>Croydon 002E</x:v>
      </x:c>
      <x:c r="C210" s="12" t="str">
        <x:v>Croydon</x:v>
      </x:c>
      <x:c r="D210" s="44" t="n">
        <x:v>51.420630656695195</x:v>
      </x:c>
      <x:c r="E210" s="44" t="n">
        <x:v>-0.10319696388288999</x:v>
      </x:c>
      <x:c r="F210" s="33" t="n">
        <x:v>837</x:v>
      </x:c>
      <x:c r="G210" s="33" t="n">
        <x:v>259</x:v>
      </x:c>
      <x:c r="H210" s="26" t="n">
        <x:v>0.3094384707287933</x:v>
      </x:c>
      <x:c r="I210" s="12" t="n">
        <x:v>2</x:v>
      </x:c>
      <x:c r="J210" s="12" t="n">
        <x:v>60</x:v>
      </x:c>
      <x:c r="K210" s="12"/>
      <x:c r="L210" s="12"/>
      <x:c r="M210" s="12" t="str">
        <x:f>IF(K210="", "", MAX(0,IF(K210&lt;=20,100,IF(K210&lt;=30,85,IF(K210&lt;=40,70,IF(K210&lt;=50,55,IF(K210&lt;=60,40,20)))))-MIN(L210*5,20)))</x:f>
      </x:c>
      <x:c r="N210" s="12"/>
      <x:c r="O210" s="12"/>
      <x:c r="P210" s="12" t="str">
        <x:f>IF(OR(H210="",J210="",M210=""),"",ROUND(PERCENTRANK.INC($H$2:$H$941,H210)*35+J210*0.35+M210*0.30,0))</x:f>
      </x:c>
      <x:c r="Q210" s="12" t="str">
        <x:f>IF(P210="","",IF(P210&gt;=80,"ATTACK",IF(P210&gt;=65,"GROW",IF(P210&gt;=50,"PARTNER","WATCH"))))</x:f>
      </x:c>
      <x:c r="R210" s="12" t="str">
        <x:f>IF(Q210="","",IF(Q210="ATTACK","Grassroots + family acquisition",IF(Q210="GROW","Test local campaign",IF(Q210="PARTNER","Organisation-first partnership","Low priority / validate"))))</x:f>
      </x:c>
      <x:c r="S210" s="45" t="n">
        <x:v>9.01117389250542</x:v>
      </x:c>
      <x:c r="T210" t="str">
        <x:v>NEAR</x:v>
      </x:c>
      <x:c r="U210" s="32" t="n">
        <x:f>PERCENTRANK.INC($G$2:$G$941,G210)</x:f>
        <x:v>0.824</x:v>
      </x:c>
      <x:c r="V210" s="32" t="n">
        <x:f>PERCENTRANK.INC($H$2:$H$941,H210)</x:f>
        <x:v>0.443</x:v>
      </x:c>
      <x:c r="W210" t="n">
        <x:f>ROUND((U210*55+V210*45)*IF(S210&lt;=5,1,IF(S210&lt;=10,0.95,IF(S210&lt;=20,0.85,0.70))),0)</x:f>
        <x:v>62</x:v>
      </x:c>
      <x:c r="X210" t="n">
        <x:v>61</x:v>
      </x:c>
      <x:c r="Y210" t="str">
        <x:v>PARTNER</x:v>
      </x:c>
      <x:c r="Z210" s="12" t="str">
        <x:v>Family + verified grassroots + straight-line geo only; transport not yet routed</x:v>
      </x:c>
      <x:c r="AA210" s="12"/>
      <x:c r="AB210" s="12"/>
      <x:c r="AC210" s="12"/>
      <x:c r="AD210" s="12"/>
      <x:c r="AE210" t="str">
        <x:v>Crystal Palace Women</x:v>
      </x:c>
      <x:c r="AF210" s="45" t="n">
        <x:v>2.782694374083843</x:v>
      </x:c>
      <x:c r="AG210" t="str">
        <x:v>Dulwich Hamlet Women</x:v>
      </x:c>
      <x:c r="AH210" s="45" t="n">
        <x:v>4.716432056203094</x:v>
      </x:c>
      <x:c r="AI210" t="n">
        <x:v>96</x:v>
      </x:c>
      <x:c r="AJ210" t="str">
        <x:v>HIGH</x:v>
      </x:c>
    </x:row>
    <x:row r="211">
      <x:c r="A211" s="12" t="str">
        <x:v>E01001083</x:v>
      </x:c>
      <x:c r="B211" s="12" t="str">
        <x:v>Croydon 003A</x:v>
      </x:c>
      <x:c r="C211" s="12" t="str">
        <x:v>Croydon</x:v>
      </x:c>
      <x:c r="D211" s="44" t="n">
        <x:v>51.41522685479836</x:v>
      </x:c>
      <x:c r="E211" s="44" t="n">
        <x:v>-0.11636612429647583</x:v>
      </x:c>
      <x:c r="F211" s="33" t="n">
        <x:v>546</x:v>
      </x:c>
      <x:c r="G211" s="33" t="n">
        <x:v>170</x:v>
      </x:c>
      <x:c r="H211" s="26" t="n">
        <x:v>0.31135531135531136</x:v>
      </x:c>
      <x:c r="I211" s="12" t="n">
        <x:v>3</x:v>
      </x:c>
      <x:c r="J211" s="12" t="n">
        <x:v>61</x:v>
      </x:c>
      <x:c r="K211" s="12"/>
      <x:c r="L211" s="12"/>
      <x:c r="M211" s="12" t="str">
        <x:f>IF(K211="", "", MAX(0,IF(K211&lt;=20,100,IF(K211&lt;=30,85,IF(K211&lt;=40,70,IF(K211&lt;=50,55,IF(K211&lt;=60,40,20)))))-MIN(L211*5,20)))</x:f>
      </x:c>
      <x:c r="N211" s="12"/>
      <x:c r="O211" s="12"/>
      <x:c r="P211" s="12" t="str">
        <x:f>IF(OR(H211="",J211="",M211=""),"",ROUND(PERCENTRANK.INC($H$2:$H$941,H211)*35+J211*0.35+M211*0.30,0))</x:f>
      </x:c>
      <x:c r="Q211" s="12" t="str">
        <x:f>IF(P211="","",IF(P211&gt;=80,"ATTACK",IF(P211&gt;=65,"GROW",IF(P211&gt;=50,"PARTNER","WATCH"))))</x:f>
      </x:c>
      <x:c r="R211" s="12" t="str">
        <x:f>IF(Q211="","",IF(Q211="ATTACK","Grassroots + family acquisition",IF(Q211="GROW","Test local campaign",IF(Q211="PARTNER","Organisation-first partnership","Low priority / validate"))))</x:f>
      </x:c>
      <x:c r="S211" s="45" t="n">
        <x:v>9.683325691665356</x:v>
      </x:c>
      <x:c r="T211" t="str">
        <x:v>NEAR</x:v>
      </x:c>
      <x:c r="U211" s="32" t="n">
        <x:f>PERCENTRANK.INC($G$2:$G$941,G211)</x:f>
        <x:v>0.172</x:v>
      </x:c>
      <x:c r="V211" s="32" t="n">
        <x:f>PERCENTRANK.INC($H$2:$H$941,H211)</x:f>
        <x:v>0.457</x:v>
      </x:c>
      <x:c r="W211" t="n">
        <x:f>ROUND((U211*55+V211*45)*IF(S211&lt;=5,1,IF(S211&lt;=10,0.95,IF(S211&lt;=20,0.85,0.70))),0)</x:f>
        <x:v>29</x:v>
      </x:c>
      <x:c r="X211" t="n">
        <x:v>43</x:v>
      </x:c>
      <x:c r="Y211" t="str">
        <x:v>WATCH</x:v>
      </x:c>
      <x:c r="Z211" s="12" t="str">
        <x:v>Family + verified grassroots + straight-line geo only; transport not yet routed</x:v>
      </x:c>
      <x:c r="AA211" s="12"/>
      <x:c r="AB211" s="12"/>
      <x:c r="AC211" s="12"/>
      <x:c r="AD211" s="12"/>
      <x:c r="AE211" t="str">
        <x:v>Crystal Palace Women</x:v>
      </x:c>
      <x:c r="AF211" s="45" t="n">
        <x:v>2.8703917569303887</x:v>
      </x:c>
      <x:c r="AG211" t="str">
        <x:v>AFC Wimbledon Women</x:v>
      </x:c>
      <x:c r="AH211" s="45" t="n">
        <x:v>5.20179183323531</x:v>
      </x:c>
      <x:c r="AI211" t="n">
        <x:v>96</x:v>
      </x:c>
      <x:c r="AJ211" t="str">
        <x:v>HIGH</x:v>
      </x:c>
    </x:row>
    <x:row r="212">
      <x:c r="A212" s="12" t="str">
        <x:v>E01001086</x:v>
      </x:c>
      <x:c r="B212" s="12" t="str">
        <x:v>Croydon 003B</x:v>
      </x:c>
      <x:c r="C212" s="12" t="str">
        <x:v>Croydon</x:v>
      </x:c>
      <x:c r="D212" s="44" t="n">
        <x:v>51.40451073187716</x:v>
      </x:c>
      <x:c r="E212" s="44" t="n">
        <x:v>-0.11500489343745876</x:v>
      </x:c>
      <x:c r="F212" s="33" t="n">
        <x:v>590</x:v>
      </x:c>
      <x:c r="G212" s="33" t="n">
        <x:v>185</x:v>
      </x:c>
      <x:c r="H212" s="26" t="n">
        <x:v>0.3135593220338983</x:v>
      </x:c>
      <x:c r="I212" s="12" t="n">
        <x:v>3</x:v>
      </x:c>
      <x:c r="J212" s="12" t="n">
        <x:v>68</x:v>
      </x:c>
      <x:c r="K212" s="12"/>
      <x:c r="L212" s="12"/>
      <x:c r="M212" s="12" t="str">
        <x:f>IF(K212="", "", MAX(0,IF(K212&lt;=20,100,IF(K212&lt;=30,85,IF(K212&lt;=40,70,IF(K212&lt;=50,55,IF(K212&lt;=60,40,20)))))-MIN(L212*5,20)))</x:f>
      </x:c>
      <x:c r="N212" s="12"/>
      <x:c r="O212" s="12"/>
      <x:c r="P212" s="12" t="str">
        <x:f>IF(OR(H212="",J212="",M212=""),"",ROUND(PERCENTRANK.INC($H$2:$H$941,H212)*35+J212*0.35+M212*0.30,0))</x:f>
      </x:c>
      <x:c r="Q212" s="12" t="str">
        <x:f>IF(P212="","",IF(P212&gt;=80,"ATTACK",IF(P212&gt;=65,"GROW",IF(P212&gt;=50,"PARTNER","WATCH"))))</x:f>
      </x:c>
      <x:c r="R212" s="12" t="str">
        <x:f>IF(Q212="","",IF(Q212="ATTACK","Grassroots + family acquisition",IF(Q212="GROW","Test local campaign",IF(Q212="PARTNER","Organisation-first partnership","Low priority / validate"))))</x:f>
      </x:c>
      <x:c r="S212" s="45" t="n">
        <x:v>9.329242986815395</x:v>
      </x:c>
      <x:c r="T212" t="str">
        <x:v>NEAR</x:v>
      </x:c>
      <x:c r="U212" s="32" t="n">
        <x:f>PERCENTRANK.INC($G$2:$G$941,G212)</x:f>
        <x:v>0.266</x:v>
      </x:c>
      <x:c r="V212" s="32" t="n">
        <x:f>PERCENTRANK.INC($H$2:$H$941,H212)</x:f>
        <x:v>0.468</x:v>
      </x:c>
      <x:c r="W212" t="n">
        <x:f>ROUND((U212*55+V212*45)*IF(S212&lt;=5,1,IF(S212&lt;=10,0.95,IF(S212&lt;=20,0.85,0.70))),0)</x:f>
        <x:v>34</x:v>
      </x:c>
      <x:c r="X212" t="n">
        <x:v>50</x:v>
      </x:c>
      <x:c r="Y212" t="str">
        <x:v>PARTNER</x:v>
      </x:c>
      <x:c r="Z212" s="12" t="str">
        <x:v>Family + verified grassroots + straight-line geo only; transport not yet routed</x:v>
      </x:c>
      <x:c r="AA212" s="12"/>
      <x:c r="AB212" s="12"/>
      <x:c r="AC212" s="12"/>
      <x:c r="AD212" s="12"/>
      <x:c r="AE212" t="str">
        <x:v>Crystal Palace Women</x:v>
      </x:c>
      <x:c r="AF212" s="45" t="n">
        <x:v>2.1838540074761217</x:v>
      </x:c>
      <x:c r="AG212" t="str">
        <x:v>AFC Wimbledon Women</x:v>
      </x:c>
      <x:c r="AH212" s="45" t="n">
        <x:v>5.801881286309808</x:v>
      </x:c>
      <x:c r="AI212" t="n">
        <x:v>96</x:v>
      </x:c>
      <x:c r="AJ212" t="str">
        <x:v>HIGH</x:v>
      </x:c>
    </x:row>
    <x:row r="213">
      <x:c r="A213" s="12" t="str">
        <x:v>E01001087</x:v>
      </x:c>
      <x:c r="B213" s="12" t="str">
        <x:v>Croydon 003C</x:v>
      </x:c>
      <x:c r="C213" s="12" t="str">
        <x:v>Croydon</x:v>
      </x:c>
      <x:c r="D213" s="44" t="n">
        <x:v>51.408579061668554</x:v>
      </x:c>
      <x:c r="E213" s="44" t="n">
        <x:v>-0.11938315885371358</x:v>
      </x:c>
      <x:c r="F213" s="33" t="n">
        <x:v>1124</x:v>
      </x:c>
      <x:c r="G213" s="33" t="n">
        <x:v>392</x:v>
      </x:c>
      <x:c r="H213" s="26" t="n">
        <x:v>0.3487544483985765</x:v>
      </x:c>
      <x:c r="I213" s="12" t="n">
        <x:v>3</x:v>
      </x:c>
      <x:c r="J213" s="12" t="n">
        <x:v>68</x:v>
      </x:c>
      <x:c r="K213" s="12"/>
      <x:c r="L213" s="12"/>
      <x:c r="M213" s="12" t="str">
        <x:f>IF(K213="", "", MAX(0,IF(K213&lt;=20,100,IF(K213&lt;=30,85,IF(K213&lt;=40,70,IF(K213&lt;=50,55,IF(K213&lt;=60,40,20)))))-MIN(L213*5,20)))</x:f>
      </x:c>
      <x:c r="N213" s="12"/>
      <x:c r="O213" s="12"/>
      <x:c r="P213" s="12" t="str">
        <x:f>IF(OR(H213="",J213="",M213=""),"",ROUND(PERCENTRANK.INC($H$2:$H$941,H213)*35+J213*0.35+M213*0.30,0))</x:f>
      </x:c>
      <x:c r="Q213" s="12" t="str">
        <x:f>IF(P213="","",IF(P213&gt;=80,"ATTACK",IF(P213&gt;=65,"GROW",IF(P213&gt;=50,"PARTNER","WATCH"))))</x:f>
      </x:c>
      <x:c r="R213" s="12" t="str">
        <x:f>IF(Q213="","",IF(Q213="ATTACK","Grassroots + family acquisition",IF(Q213="GROW","Test local campaign",IF(Q213="PARTNER","Organisation-first partnership","Low priority / validate"))))</x:f>
      </x:c>
      <x:c r="S213" s="45" t="n">
        <x:v>9.709674050870627</x:v>
      </x:c>
      <x:c r="T213" t="str">
        <x:v>NEAR</x:v>
      </x:c>
      <x:c r="U213" s="32" t="n">
        <x:f>PERCENTRANK.INC($G$2:$G$941,G213)</x:f>
        <x:v>0.992</x:v>
      </x:c>
      <x:c r="V213" s="32" t="n">
        <x:f>PERCENTRANK.INC($H$2:$H$941,H213)</x:f>
        <x:v>0.68</x:v>
      </x:c>
      <x:c r="W213" t="n">
        <x:f>ROUND((U213*55+V213*45)*IF(S213&lt;=5,1,IF(S213&lt;=10,0.95,IF(S213&lt;=20,0.85,0.70))),0)</x:f>
        <x:v>81</x:v>
      </x:c>
      <x:c r="X213" t="n">
        <x:v>75</x:v>
      </x:c>
      <x:c r="Y213" t="str">
        <x:v>GROW</x:v>
      </x:c>
      <x:c r="Z213" s="12" t="str">
        <x:v>Family + verified grassroots + straight-line geo only; transport not yet routed</x:v>
      </x:c>
      <x:c r="AA213" s="12"/>
      <x:c r="AB213" s="12"/>
      <x:c r="AC213" s="12"/>
      <x:c r="AD213" s="12"/>
      <x:c r="AE213" t="str">
        <x:v>Crystal Palace Women</x:v>
      </x:c>
      <x:c r="AF213" s="45" t="n">
        <x:v>2.6363776172156568</x:v>
      </x:c>
      <x:c r="AG213" t="str">
        <x:v>AFC Wimbledon Women</x:v>
      </x:c>
      <x:c r="AH213" s="45" t="n">
        <x:v>5.314259926947248</x:v>
      </x:c>
      <x:c r="AI213" t="n">
        <x:v>96</x:v>
      </x:c>
      <x:c r="AJ213" t="str">
        <x:v>HIGH</x:v>
      </x:c>
    </x:row>
    <x:row r="214">
      <x:c r="A214" s="12" t="str">
        <x:v>E01001161</x:v>
      </x:c>
      <x:c r="B214" s="12" t="str">
        <x:v>Croydon 003D</x:v>
      </x:c>
      <x:c r="C214" s="12" t="str">
        <x:v>Croydon</x:v>
      </x:c>
      <x:c r="D214" s="44" t="n">
        <x:v>51.40875315830281</x:v>
      </x:c>
      <x:c r="E214" s="44" t="n">
        <x:v>-0.11108087277349332</x:v>
      </x:c>
      <x:c r="F214" s="33" t="n">
        <x:v>549</x:v>
      </x:c>
      <x:c r="G214" s="33" t="n">
        <x:v>194</x:v>
      </x:c>
      <x:c r="H214" s="26" t="n">
        <x:v>0.3533697632058288</x:v>
      </x:c>
      <x:c r="I214" s="12" t="n">
        <x:v>3</x:v>
      </x:c>
      <x:c r="J214" s="12" t="n">
        <x:v>68</x:v>
      </x:c>
      <x:c r="K214" s="12"/>
      <x:c r="L214" s="12"/>
      <x:c r="M214" s="12" t="str">
        <x:f>IF(K214="", "", MAX(0,IF(K214&lt;=20,100,IF(K214&lt;=30,85,IF(K214&lt;=40,70,IF(K214&lt;=50,55,IF(K214&lt;=60,40,20)))))-MIN(L214*5,20)))</x:f>
      </x:c>
      <x:c r="N214" s="12"/>
      <x:c r="O214" s="12"/>
      <x:c r="P214" s="12" t="str">
        <x:f>IF(OR(H214="",J214="",M214=""),"",ROUND(PERCENTRANK.INC($H$2:$H$941,H214)*35+J214*0.35+M214*0.30,0))</x:f>
      </x:c>
      <x:c r="Q214" s="12" t="str">
        <x:f>IF(P214="","",IF(P214&gt;=80,"ATTACK",IF(P214&gt;=65,"GROW",IF(P214&gt;=50,"PARTNER","WATCH"))))</x:f>
      </x:c>
      <x:c r="R214" s="12" t="str">
        <x:f>IF(Q214="","",IF(Q214="ATTACK","Grassroots + family acquisition",IF(Q214="GROW","Test local campaign",IF(Q214="PARTNER","Organisation-first partnership","Low priority / validate"))))</x:f>
      </x:c>
      <x:c r="S214" s="45" t="n">
        <x:v>9.150416228682728</x:v>
      </x:c>
      <x:c r="T214" t="str">
        <x:v>NEAR</x:v>
      </x:c>
      <x:c r="U214" s="32" t="n">
        <x:f>PERCENTRANK.INC($G$2:$G$941,G214)</x:f>
        <x:v>0.343</x:v>
      </x:c>
      <x:c r="V214" s="32" t="n">
        <x:f>PERCENTRANK.INC($H$2:$H$941,H214)</x:f>
        <x:v>0.705</x:v>
      </x:c>
      <x:c r="W214" t="n">
        <x:f>ROUND((U214*55+V214*45)*IF(S214&lt;=5,1,IF(S214&lt;=10,0.95,IF(S214&lt;=20,0.85,0.70))),0)</x:f>
        <x:v>48</x:v>
      </x:c>
      <x:c r="X214" t="n">
        <x:v>57</x:v>
      </x:c>
      <x:c r="Y214" t="str">
        <x:v>PARTNER</x:v>
      </x:c>
      <x:c r="Z214" s="12" t="str">
        <x:v>Family + verified grassroots + straight-line geo only; transport not yet routed</x:v>
      </x:c>
      <x:c r="AA214" s="12"/>
      <x:c r="AB214" s="12"/>
      <x:c r="AC214" s="12"/>
      <x:c r="AD214" s="12"/>
      <x:c r="AE214" t="str">
        <x:v>Crystal Palace Women</x:v>
      </x:c>
      <x:c r="AF214" s="45" t="n">
        <x:v>2.142825112095733</x:v>
      </x:c>
      <x:c r="AG214" t="str">
        <x:v>AFC Wimbledon Women</x:v>
      </x:c>
      <x:c r="AH214" s="45" t="n">
        <x:v>5.8191085820568595</x:v>
      </x:c>
      <x:c r="AI214" t="n">
        <x:v>96</x:v>
      </x:c>
      <x:c r="AJ214" t="str">
        <x:v>HIGH</x:v>
      </x:c>
    </x:row>
    <x:row r="215">
      <x:c r="A215" s="12" t="str">
        <x:v>E01001085</x:v>
      </x:c>
      <x:c r="B215" s="12" t="str">
        <x:v>Croydon 004A</x:v>
      </x:c>
      <x:c r="C215" s="12" t="str">
        <x:v>Croydon</x:v>
      </x:c>
      <x:c r="D215" s="44" t="n">
        <x:v>51.41173050629635</x:v>
      </x:c>
      <x:c r="E215" s="44" t="n">
        <x:v>-0.1252288227041666</x:v>
      </x:c>
      <x:c r="F215" s="33" t="n">
        <x:v>649</x:v>
      </x:c>
      <x:c r="G215" s="33" t="n">
        <x:v>205</x:v>
      </x:c>
      <x:c r="H215" s="26" t="n">
        <x:v>0.31587057010785824</x:v>
      </x:c>
      <x:c r="I215" s="12" t="n">
        <x:v>3</x:v>
      </x:c>
      <x:c r="J215" s="12" t="n">
        <x:v>68</x:v>
      </x:c>
      <x:c r="K215" s="12"/>
      <x:c r="L215" s="12"/>
      <x:c r="M215" s="12" t="str">
        <x:f>IF(K215="", "", MAX(0,IF(K215&lt;=20,100,IF(K215&lt;=30,85,IF(K215&lt;=40,70,IF(K215&lt;=50,55,IF(K215&lt;=60,40,20)))))-MIN(L215*5,20)))</x:f>
      </x:c>
      <x:c r="N215" s="12"/>
      <x:c r="O215" s="12"/>
      <x:c r="P215" s="12" t="str">
        <x:f>IF(OR(H215="",J215="",M215=""),"",ROUND(PERCENTRANK.INC($H$2:$H$941,H215)*35+J215*0.35+M215*0.30,0))</x:f>
      </x:c>
      <x:c r="Q215" s="12" t="str">
        <x:f>IF(P215="","",IF(P215&gt;=80,"ATTACK",IF(P215&gt;=65,"GROW",IF(P215&gt;=50,"PARTNER","WATCH"))))</x:f>
      </x:c>
      <x:c r="R215" s="12" t="str">
        <x:f>IF(Q215="","",IF(Q215="ATTACK","Grassroots + family acquisition",IF(Q215="GROW","Test local campaign",IF(Q215="PARTNER","Organisation-first partnership","Low priority / validate"))))</x:f>
      </x:c>
      <x:c r="S215" s="45" t="n">
        <x:v>10.180522164118049</x:v>
      </x:c>
      <x:c r="T215" t="str">
        <x:v>EXTENDED</x:v>
      </x:c>
      <x:c r="U215" s="32" t="n">
        <x:f>PERCENTRANK.INC($G$2:$G$941,G215)</x:f>
        <x:v>0.432</x:v>
      </x:c>
      <x:c r="V215" s="32" t="n">
        <x:f>PERCENTRANK.INC($H$2:$H$941,H215)</x:f>
        <x:v>0.488</x:v>
      </x:c>
      <x:c r="W215" t="n">
        <x:f>ROUND((U215*55+V215*45)*IF(S215&lt;=5,1,IF(S215&lt;=10,0.95,IF(S215&lt;=20,0.85,0.70))),0)</x:f>
        <x:v>39</x:v>
      </x:c>
      <x:c r="X215" t="n">
        <x:v>52</x:v>
      </x:c>
      <x:c r="Y215" t="str">
        <x:v>PARTNER</x:v>
      </x:c>
      <x:c r="Z215" s="12" t="str">
        <x:v>Family + verified grassroots + straight-line geo only; transport not yet routed</x:v>
      </x:c>
      <x:c r="AA215" s="12"/>
      <x:c r="AB215" s="12"/>
      <x:c r="AC215" s="12"/>
      <x:c r="AD215" s="12"/>
      <x:c r="AE215" t="str">
        <x:v>Crystal Palace Women</x:v>
      </x:c>
      <x:c r="AF215" s="45" t="n">
        <x:v>3.1568384316551388</x:v>
      </x:c>
      <x:c r="AG215" t="str">
        <x:v>AFC Wimbledon Women</x:v>
      </x:c>
      <x:c r="AH215" s="45" t="n">
        <x:v>4.7924665487002</x:v>
      </x:c>
      <x:c r="AI215" t="n">
        <x:v>85</x:v>
      </x:c>
      <x:c r="AJ215" t="str">
        <x:v>HIGH</x:v>
      </x:c>
    </x:row>
    <x:row r="216">
      <x:c r="A216" s="12" t="str">
        <x:v>E01001088</x:v>
      </x:c>
      <x:c r="B216" s="12" t="str">
        <x:v>Croydon 004B</x:v>
      </x:c>
      <x:c r="C216" s="12" t="str">
        <x:v>Croydon</x:v>
      </x:c>
      <x:c r="D216" s="44" t="n">
        <x:v>51.406379058201495</x:v>
      </x:c>
      <x:c r="E216" s="44" t="n">
        <x:v>-0.1302780555006529</x:v>
      </x:c>
      <x:c r="F216" s="33" t="n">
        <x:v>574</x:v>
      </x:c>
      <x:c r="G216" s="33" t="n">
        <x:v>209</x:v>
      </x:c>
      <x:c r="H216" s="26" t="n">
        <x:v>0.3641114982578397</x:v>
      </x:c>
      <x:c r="I216" s="12" t="n">
        <x:v>3</x:v>
      </x:c>
      <x:c r="J216" s="12" t="n">
        <x:v>61</x:v>
      </x:c>
      <x:c r="K216" s="12"/>
      <x:c r="L216" s="12"/>
      <x:c r="M216" s="12" t="str">
        <x:f>IF(K216="", "", MAX(0,IF(K216&lt;=20,100,IF(K216&lt;=30,85,IF(K216&lt;=40,70,IF(K216&lt;=50,55,IF(K216&lt;=60,40,20)))))-MIN(L216*5,20)))</x:f>
      </x:c>
      <x:c r="N216" s="12"/>
      <x:c r="O216" s="12"/>
      <x:c r="P216" s="12" t="str">
        <x:f>IF(OR(H216="",J216="",M216=""),"",ROUND(PERCENTRANK.INC($H$2:$H$941,H216)*35+J216*0.35+M216*0.30,0))</x:f>
      </x:c>
      <x:c r="Q216" s="12" t="str">
        <x:f>IF(P216="","",IF(P216&gt;=80,"ATTACK",IF(P216&gt;=65,"GROW",IF(P216&gt;=50,"PARTNER","WATCH"))))</x:f>
      </x:c>
      <x:c r="R216" s="12" t="str">
        <x:f>IF(Q216="","",IF(Q216="ATTACK","Grassroots + family acquisition",IF(Q216="GROW","Test local campaign",IF(Q216="PARTNER","Organisation-first partnership","Low priority / validate"))))</x:f>
      </x:c>
      <x:c r="S216" s="45" t="n">
        <x:v>10.408311437088313</x:v>
      </x:c>
      <x:c r="T216" t="str">
        <x:v>EXTENDED</x:v>
      </x:c>
      <x:c r="U216" s="32" t="n">
        <x:f>PERCENTRANK.INC($G$2:$G$941,G216)</x:f>
        <x:v>0.461</x:v>
      </x:c>
      <x:c r="V216" s="32" t="n">
        <x:f>PERCENTRANK.INC($H$2:$H$941,H216)</x:f>
        <x:v>0.764</x:v>
      </x:c>
      <x:c r="W216" t="n">
        <x:f>ROUND((U216*55+V216*45)*IF(S216&lt;=5,1,IF(S216&lt;=10,0.95,IF(S216&lt;=20,0.85,0.70))),0)</x:f>
        <x:v>51</x:v>
      </x:c>
      <x:c r="X216" t="n">
        <x:v>56</x:v>
      </x:c>
      <x:c r="Y216" t="str">
        <x:v>PARTNER</x:v>
      </x:c>
      <x:c r="Z216" s="12" t="str">
        <x:v>Family + verified grassroots + straight-line geo only; transport not yet routed</x:v>
      </x:c>
      <x:c r="AA216" s="12"/>
      <x:c r="AB216" s="12"/>
      <x:c r="AC216" s="12"/>
      <x:c r="AD216" s="12"/>
      <x:c r="AE216" t="str">
        <x:v>Crystal Palace Women</x:v>
      </x:c>
      <x:c r="AF216" s="45" t="n">
        <x:v>3.257443357702367</x:v>
      </x:c>
      <x:c r="AG216" t="str">
        <x:v>AFC Wimbledon Women</x:v>
      </x:c>
      <x:c r="AH216" s="45" t="n">
        <x:v>4.79972769225954</x:v>
      </x:c>
      <x:c r="AI216" t="n">
        <x:v>85</x:v>
      </x:c>
      <x:c r="AJ216" t="str">
        <x:v>HIGH</x:v>
      </x:c>
    </x:row>
    <x:row r="217">
      <x:c r="A217" s="12" t="str">
        <x:v>E01001089</x:v>
      </x:c>
      <x:c r="B217" s="12" t="str">
        <x:v>Croydon 004C</x:v>
      </x:c>
      <x:c r="C217" s="12" t="str">
        <x:v>Croydon</x:v>
      </x:c>
      <x:c r="D217" s="44" t="n">
        <x:v>51.40797196648818</x:v>
      </x:c>
      <x:c r="E217" s="44" t="n">
        <x:v>-0.12673009812389707</x:v>
      </x:c>
      <x:c r="F217" s="33" t="n">
        <x:v>646</x:v>
      </x:c>
      <x:c r="G217" s="33" t="n">
        <x:v>232</x:v>
      </x:c>
      <x:c r="H217" s="26" t="n">
        <x:v>0.3591331269349845</x:v>
      </x:c>
      <x:c r="I217" s="12" t="n">
        <x:v>3</x:v>
      </x:c>
      <x:c r="J217" s="12" t="n">
        <x:v>61</x:v>
      </x:c>
      <x:c r="K217" s="12"/>
      <x:c r="L217" s="12"/>
      <x:c r="M217" s="12" t="str">
        <x:f>IF(K217="", "", MAX(0,IF(K217&lt;=20,100,IF(K217&lt;=30,85,IF(K217&lt;=40,70,IF(K217&lt;=50,55,IF(K217&lt;=60,40,20)))))-MIN(L217*5,20)))</x:f>
      </x:c>
      <x:c r="N217" s="12"/>
      <x:c r="O217" s="12"/>
      <x:c r="P217" s="12" t="str">
        <x:f>IF(OR(H217="",J217="",M217=""),"",ROUND(PERCENTRANK.INC($H$2:$H$941,H217)*35+J217*0.35+M217*0.30,0))</x:f>
      </x:c>
      <x:c r="Q217" s="12" t="str">
        <x:f>IF(P217="","",IF(P217&gt;=80,"ATTACK",IF(P217&gt;=65,"GROW",IF(P217&gt;=50,"PARTNER","WATCH"))))</x:f>
      </x:c>
      <x:c r="R217" s="12" t="str">
        <x:f>IF(Q217="","",IF(Q217="ATTACK","Grassroots + family acquisition",IF(Q217="GROW","Test local campaign",IF(Q217="PARTNER","Organisation-first partnership","Low priority / validate"))))</x:f>
      </x:c>
      <x:c r="S217" s="45" t="n">
        <x:v>10.19675719308608</x:v>
      </x:c>
      <x:c r="T217" t="str">
        <x:v>EXTENDED</x:v>
      </x:c>
      <x:c r="U217" s="32" t="n">
        <x:f>PERCENTRANK.INC($G$2:$G$941,G217)</x:f>
        <x:v>0.648</x:v>
      </x:c>
      <x:c r="V217" s="32" t="n">
        <x:f>PERCENTRANK.INC($H$2:$H$941,H217)</x:f>
        <x:v>0.733</x:v>
      </x:c>
      <x:c r="W217" t="n">
        <x:f>ROUND((U217*55+V217*45)*IF(S217&lt;=5,1,IF(S217&lt;=10,0.95,IF(S217&lt;=20,0.85,0.70))),0)</x:f>
        <x:v>58</x:v>
      </x:c>
      <x:c r="X217" t="n">
        <x:v>60</x:v>
      </x:c>
      <x:c r="Y217" t="str">
        <x:v>PARTNER</x:v>
      </x:c>
      <x:c r="Z217" s="12" t="str">
        <x:v>Family + verified grassroots + straight-line geo only; transport not yet routed</x:v>
      </x:c>
      <x:c r="AA217" s="12"/>
      <x:c r="AB217" s="12"/>
      <x:c r="AC217" s="12"/>
      <x:c r="AD217" s="12"/>
      <x:c r="AE217" t="str">
        <x:v>Crystal Palace Women</x:v>
      </x:c>
      <x:c r="AF217" s="45" t="n">
        <x:v>3.0790726505639987</x:v>
      </x:c>
      <x:c r="AG217" t="str">
        <x:v>AFC Wimbledon Women</x:v>
      </x:c>
      <x:c r="AH217" s="45" t="n">
        <x:v>4.90706665254081</x:v>
      </x:c>
      <x:c r="AI217" t="n">
        <x:v>85</x:v>
      </x:c>
      <x:c r="AJ217" t="str">
        <x:v>HIGH</x:v>
      </x:c>
    </x:row>
    <x:row r="218">
      <x:c r="A218" s="12" t="str">
        <x:v>E01001090</x:v>
      </x:c>
      <x:c r="B218" s="12" t="str">
        <x:v>Croydon 004D</x:v>
      </x:c>
      <x:c r="C218" s="12" t="str">
        <x:v>Croydon</x:v>
      </x:c>
      <x:c r="D218" s="44" t="n">
        <x:v>51.40611529023332</x:v>
      </x:c>
      <x:c r="E218" s="44" t="n">
        <x:v>-0.12240757388189528</x:v>
      </x:c>
      <x:c r="F218" s="33" t="n">
        <x:v>886</x:v>
      </x:c>
      <x:c r="G218" s="33" t="n">
        <x:v>318</x:v>
      </x:c>
      <x:c r="H218" s="26" t="n">
        <x:v>0.35891647855530473</x:v>
      </x:c>
      <x:c r="I218" s="12" t="n">
        <x:v>3</x:v>
      </x:c>
      <x:c r="J218" s="12" t="n">
        <x:v>61</x:v>
      </x:c>
      <x:c r="K218" s="12"/>
      <x:c r="L218" s="12"/>
      <x:c r="M218" s="12" t="str">
        <x:f>IF(K218="", "", MAX(0,IF(K218&lt;=20,100,IF(K218&lt;=30,85,IF(K218&lt;=40,70,IF(K218&lt;=50,55,IF(K218&lt;=60,40,20)))))-MIN(L218*5,20)))</x:f>
      </x:c>
      <x:c r="N218" s="12"/>
      <x:c r="O218" s="12"/>
      <x:c r="P218" s="12" t="str">
        <x:f>IF(OR(H218="",J218="",M218=""),"",ROUND(PERCENTRANK.INC($H$2:$H$941,H218)*35+J218*0.35+M218*0.30,0))</x:f>
      </x:c>
      <x:c r="Q218" s="12" t="str">
        <x:f>IF(P218="","",IF(P218&gt;=80,"ATTACK",IF(P218&gt;=65,"GROW",IF(P218&gt;=50,"PARTNER","WATCH"))))</x:f>
      </x:c>
      <x:c r="R218" s="12" t="str">
        <x:f>IF(Q218="","",IF(Q218="ATTACK","Grassroots + family acquisition",IF(Q218="GROW","Test local campaign",IF(Q218="PARTNER","Organisation-first partnership","Low priority / validate"))))</x:f>
      </x:c>
      <x:c r="S218" s="45" t="n">
        <x:v>9.865129305743189</x:v>
      </x:c>
      <x:c r="T218" t="str">
        <x:v>NEAR</x:v>
      </x:c>
      <x:c r="U218" s="32" t="n">
        <x:f>PERCENTRANK.INC($G$2:$G$941,G218)</x:f>
        <x:v>0.962</x:v>
      </x:c>
      <x:c r="V218" s="32" t="n">
        <x:f>PERCENTRANK.INC($H$2:$H$941,H218)</x:f>
        <x:v>0.732</x:v>
      </x:c>
      <x:c r="W218" t="n">
        <x:f>ROUND((U218*55+V218*45)*IF(S218&lt;=5,1,IF(S218&lt;=10,0.95,IF(S218&lt;=20,0.85,0.70))),0)</x:f>
        <x:v>82</x:v>
      </x:c>
      <x:c r="X218" t="n">
        <x:v>72</x:v>
      </x:c>
      <x:c r="Y218" t="str">
        <x:v>GROW</x:v>
      </x:c>
      <x:c r="Z218" s="12" t="str">
        <x:v>Family + verified grassroots + straight-line geo only; transport not yet routed</x:v>
      </x:c>
      <x:c r="AA218" s="12"/>
      <x:c r="AB218" s="12"/>
      <x:c r="AC218" s="12"/>
      <x:c r="AD218" s="12"/>
      <x:c r="AE218" t="str">
        <x:v>Crystal Palace Women</x:v>
      </x:c>
      <x:c r="AF218" s="45" t="n">
        <x:v>2.7274195705356252</x:v>
      </x:c>
      <x:c r="AG218" t="str">
        <x:v>AFC Wimbledon Women</x:v>
      </x:c>
      <x:c r="AH218" s="45" t="n">
        <x:v>5.270717102419724</x:v>
      </x:c>
      <x:c r="AI218" t="n">
        <x:v>96</x:v>
      </x:c>
      <x:c r="AJ218" t="str">
        <x:v>HIGH</x:v>
      </x:c>
    </x:row>
    <x:row r="219">
      <x:c r="A219" s="12" t="str">
        <x:v>E01001091</x:v>
      </x:c>
      <x:c r="B219" s="12" t="str">
        <x:v>Croydon 004E</x:v>
      </x:c>
      <x:c r="C219" s="12" t="str">
        <x:v>Croydon</x:v>
      </x:c>
      <x:c r="D219" s="44" t="n">
        <x:v>51.40246782233212</x:v>
      </x:c>
      <x:c r="E219" s="44" t="n">
        <x:v>-0.12335080345373108</x:v>
      </x:c>
      <x:c r="F219" s="33" t="n">
        <x:v>565</x:v>
      </x:c>
      <x:c r="G219" s="33" t="n">
        <x:v>165</x:v>
      </x:c>
      <x:c r="H219" s="26" t="n">
        <x:v>0.2920353982300885</x:v>
      </x:c>
      <x:c r="I219" s="12" t="n">
        <x:v>3</x:v>
      </x:c>
      <x:c r="J219" s="12" t="n">
        <x:v>61</x:v>
      </x:c>
      <x:c r="K219" s="12"/>
      <x:c r="L219" s="12"/>
      <x:c r="M219" s="12" t="str">
        <x:f>IF(K219="", "", MAX(0,IF(K219&lt;=20,100,IF(K219&lt;=30,85,IF(K219&lt;=40,70,IF(K219&lt;=50,55,IF(K219&lt;=60,40,20)))))-MIN(L219*5,20)))</x:f>
      </x:c>
      <x:c r="N219" s="12"/>
      <x:c r="O219" s="12"/>
      <x:c r="P219" s="12" t="str">
        <x:f>IF(OR(H219="",J219="",M219=""),"",ROUND(PERCENTRANK.INC($H$2:$H$941,H219)*35+J219*0.35+M219*0.30,0))</x:f>
      </x:c>
      <x:c r="Q219" s="12" t="str">
        <x:f>IF(P219="","",IF(P219&gt;=80,"ATTACK",IF(P219&gt;=65,"GROW",IF(P219&gt;=50,"PARTNER","WATCH"))))</x:f>
      </x:c>
      <x:c r="R219" s="12" t="str">
        <x:f>IF(Q219="","",IF(Q219="ATTACK","Grassroots + family acquisition",IF(Q219="GROW","Test local campaign",IF(Q219="PARTNER","Organisation-first partnership","Low priority / validate"))))</x:f>
      </x:c>
      <x:c r="S219" s="45" t="n">
        <x:v>9.869374237634709</x:v>
      </x:c>
      <x:c r="T219" t="str">
        <x:v>NEAR</x:v>
      </x:c>
      <x:c r="U219" s="32" t="n">
        <x:f>PERCENTRANK.INC($G$2:$G$941,G219)</x:f>
        <x:v>0.145</x:v>
      </x:c>
      <x:c r="V219" s="32" t="n">
        <x:f>PERCENTRANK.INC($H$2:$H$941,H219)</x:f>
        <x:v>0.355</x:v>
      </x:c>
      <x:c r="W219" t="n">
        <x:f>ROUND((U219*55+V219*45)*IF(S219&lt;=5,1,IF(S219&lt;=10,0.95,IF(S219&lt;=20,0.85,0.70))),0)</x:f>
        <x:v>23</x:v>
      </x:c>
      <x:c r="X219" t="n">
        <x:v>40</x:v>
      </x:c>
      <x:c r="Y219" t="str">
        <x:v>WATCH</x:v>
      </x:c>
      <x:c r="Z219" s="12" t="str">
        <x:v>Family + verified grassroots + straight-line geo only; transport not yet routed</x:v>
      </x:c>
      <x:c r="AA219" s="12"/>
      <x:c r="AB219" s="12"/>
      <x:c r="AC219" s="12"/>
      <x:c r="AD219" s="12"/>
      <x:c r="AE219" t="str">
        <x:v>Crystal Palace Women</x:v>
      </x:c>
      <x:c r="AF219" s="45" t="n">
        <x:v>2.6906595573224155</x:v>
      </x:c>
      <x:c r="AG219" t="str">
        <x:v>AFC Wimbledon Women</x:v>
      </x:c>
      <x:c r="AH219" s="45" t="n">
        <x:v>5.443646446407725</x:v>
      </x:c>
      <x:c r="AI219" t="n">
        <x:v>96</x:v>
      </x:c>
      <x:c r="AJ219" t="str">
        <x:v>HIGH</x:v>
      </x:c>
    </x:row>
    <x:row r="220">
      <x:c r="A220" s="12" t="str">
        <x:v>E01001147</x:v>
      </x:c>
      <x:c r="B220" s="12" t="str">
        <x:v>Croydon 005A</x:v>
      </x:c>
      <x:c r="C220" s="12" t="str">
        <x:v>Croydon</x:v>
      </x:c>
      <x:c r="D220" s="44" t="n">
        <x:v>51.40631321957387</x:v>
      </x:c>
      <x:c r="E220" s="44" t="n">
        <x:v>-0.10252293892800984</x:v>
      </x:c>
      <x:c r="F220" s="33" t="n">
        <x:v>671</x:v>
      </x:c>
      <x:c r="G220" s="33" t="n">
        <x:v>262</x:v>
      </x:c>
      <x:c r="H220" s="26" t="n">
        <x:v>0.39046199701937406</x:v>
      </x:c>
      <x:c r="I220" s="12" t="n">
        <x:v>3</x:v>
      </x:c>
      <x:c r="J220" s="12" t="n">
        <x:v>76</x:v>
      </x:c>
      <x:c r="K220" s="12"/>
      <x:c r="L220" s="12"/>
      <x:c r="M220" s="12" t="str">
        <x:f>IF(K220="", "", MAX(0,IF(K220&lt;=20,100,IF(K220&lt;=30,85,IF(K220&lt;=40,70,IF(K220&lt;=50,55,IF(K220&lt;=60,40,20)))))-MIN(L220*5,20)))</x:f>
      </x:c>
      <x:c r="N220" s="12"/>
      <x:c r="O220" s="12"/>
      <x:c r="P220" s="12" t="str">
        <x:f>IF(OR(H220="",J220="",M220=""),"",ROUND(PERCENTRANK.INC($H$2:$H$941,H220)*35+J220*0.35+M220*0.30,0))</x:f>
      </x:c>
      <x:c r="Q220" s="12" t="str">
        <x:f>IF(P220="","",IF(P220&gt;=80,"ATTACK",IF(P220&gt;=65,"GROW",IF(P220&gt;=50,"PARTNER","WATCH"))))</x:f>
      </x:c>
      <x:c r="R220" s="12" t="str">
        <x:f>IF(Q220="","",IF(Q220="ATTACK","Grassroots + family acquisition",IF(Q220="GROW","Test local campaign",IF(Q220="PARTNER","Organisation-first partnership","Low priority / validate"))))</x:f>
      </x:c>
      <x:c r="S220" s="45" t="n">
        <x:v>8.513468704918797</x:v>
      </x:c>
      <x:c r="T220" t="str">
        <x:v>NEAR</x:v>
      </x:c>
      <x:c r="U220" s="32" t="n">
        <x:f>PERCENTRANK.INC($G$2:$G$941,G220)</x:f>
        <x:v>0.837</x:v>
      </x:c>
      <x:c r="V220" s="32" t="n">
        <x:f>PERCENTRANK.INC($H$2:$H$941,H220)</x:f>
        <x:v>0.874</x:v>
      </x:c>
      <x:c r="W220" t="n">
        <x:f>ROUND((U220*55+V220*45)*IF(S220&lt;=5,1,IF(S220&lt;=10,0.95,IF(S220&lt;=20,0.85,0.70))),0)</x:f>
        <x:v>81</x:v>
      </x:c>
      <x:c r="X220" t="n">
        <x:v>79</x:v>
      </x:c>
      <x:c r="Y220" t="str">
        <x:v>GROW</x:v>
      </x:c>
      <x:c r="Z220" s="12" t="str">
        <x:v>Family + verified grassroots + straight-line geo only; transport not yet routed</x:v>
      </x:c>
      <x:c r="AA220" s="12"/>
      <x:c r="AB220" s="12"/>
      <x:c r="AC220" s="12"/>
      <x:c r="AD220" s="12"/>
      <x:c r="AE220" t="str">
        <x:v>Crystal Palace Women</x:v>
      </x:c>
      <x:c r="AF220" s="45" t="n">
        <x:v>1.5000894178276187</x:v>
      </x:c>
      <x:c r="AG220" t="str">
        <x:v>Dulwich Hamlet Women</x:v>
      </x:c>
      <x:c r="AH220" s="45" t="n">
        <x:v>6.2500929420855575</x:v>
      </x:c>
      <x:c r="AI220" t="n">
        <x:v>92</x:v>
      </x:c>
      <x:c r="AJ220" t="str">
        <x:v>HIGH</x:v>
      </x:c>
    </x:row>
    <x:row r="221">
      <x:c r="A221" s="12" t="str">
        <x:v>E01001148</x:v>
      </x:c>
      <x:c r="B221" s="12" t="str">
        <x:v>Croydon 005B</x:v>
      </x:c>
      <x:c r="C221" s="12" t="str">
        <x:v>Croydon</x:v>
      </x:c>
      <x:c r="D221" s="44" t="n">
        <x:v>51.40793519919661</x:v>
      </x:c>
      <x:c r="E221" s="44" t="n">
        <x:v>-0.0961343008049431</x:v>
      </x:c>
      <x:c r="F221" s="33" t="n">
        <x:v>701</x:v>
      </x:c>
      <x:c r="G221" s="33" t="n">
        <x:v>235</x:v>
      </x:c>
      <x:c r="H221" s="26" t="n">
        <x:v>0.33523537803138376</x:v>
      </x:c>
      <x:c r="I221" s="12" t="n">
        <x:v>3</x:v>
      </x:c>
      <x:c r="J221" s="12" t="n">
        <x:v>76</x:v>
      </x:c>
      <x:c r="K221" s="12"/>
      <x:c r="L221" s="12"/>
      <x:c r="M221" s="12" t="str">
        <x:f>IF(K221="", "", MAX(0,IF(K221&lt;=20,100,IF(K221&lt;=30,85,IF(K221&lt;=40,70,IF(K221&lt;=50,55,IF(K221&lt;=60,40,20)))))-MIN(L221*5,20)))</x:f>
      </x:c>
      <x:c r="N221" s="12"/>
      <x:c r="O221" s="12"/>
      <x:c r="P221" s="12" t="str">
        <x:f>IF(OR(H221="",J221="",M221=""),"",ROUND(PERCENTRANK.INC($H$2:$H$941,H221)*35+J221*0.35+M221*0.30,0))</x:f>
      </x:c>
      <x:c r="Q221" s="12" t="str">
        <x:f>IF(P221="","",IF(P221&gt;=80,"ATTACK",IF(P221&gt;=65,"GROW",IF(P221&gt;=50,"PARTNER","WATCH"))))</x:f>
      </x:c>
      <x:c r="R221" s="12" t="str">
        <x:f>IF(Q221="","",IF(Q221="ATTACK","Grassroots + family acquisition",IF(Q221="GROW","Test local campaign",IF(Q221="PARTNER","Organisation-first partnership","Low priority / validate"))))</x:f>
      </x:c>
      <x:c r="S221" s="45" t="n">
        <x:v>8.119549079449868</x:v>
      </x:c>
      <x:c r="T221" t="str">
        <x:v>NEAR</x:v>
      </x:c>
      <x:c r="U221" s="32" t="n">
        <x:f>PERCENTRANK.INC($G$2:$G$941,G221)</x:f>
        <x:v>0.667</x:v>
      </x:c>
      <x:c r="V221" s="32" t="n">
        <x:f>PERCENTRANK.INC($H$2:$H$941,H221)</x:f>
        <x:v>0.599</x:v>
      </x:c>
      <x:c r="W221" t="n">
        <x:f>ROUND((U221*55+V221*45)*IF(S221&lt;=5,1,IF(S221&lt;=10,0.95,IF(S221&lt;=20,0.85,0.70))),0)</x:f>
        <x:v>60</x:v>
      </x:c>
      <x:c r="X221" t="n">
        <x:v>68</x:v>
      </x:c>
      <x:c r="Y221" t="str">
        <x:v>GROW</x:v>
      </x:c>
      <x:c r="Z221" s="12" t="str">
        <x:v>Family + verified grassroots + straight-line geo only; transport not yet routed</x:v>
      </x:c>
      <x:c r="AA221" s="12"/>
      <x:c r="AB221" s="12"/>
      <x:c r="AC221" s="12"/>
      <x:c r="AD221" s="12"/>
      <x:c r="AE221" t="str">
        <x:v>Crystal Palace Women</x:v>
      </x:c>
      <x:c r="AF221" s="45" t="n">
        <x:v>1.3165162669990516</x:v>
      </x:c>
      <x:c r="AG221" t="str">
        <x:v>Dulwich Hamlet Women</x:v>
      </x:c>
      <x:c r="AH221" s="45" t="n">
        <x:v>5.995620832181454</x:v>
      </x:c>
      <x:c r="AI221" t="n">
        <x:v>96</x:v>
      </x:c>
      <x:c r="AJ221" t="str">
        <x:v>HIGH</x:v>
      </x:c>
    </x:row>
    <x:row r="222">
      <x:c r="A222" s="12" t="str">
        <x:v>E01001151</x:v>
      </x:c>
      <x:c r="B222" s="12" t="str">
        <x:v>Croydon 005C</x:v>
      </x:c>
      <x:c r="C222" s="12" t="str">
        <x:v>Croydon</x:v>
      </x:c>
      <x:c r="D222" s="44" t="n">
        <x:v>51.40328442806742</x:v>
      </x:c>
      <x:c r="E222" s="44" t="n">
        <x:v>-0.10327816281514209</x:v>
      </x:c>
      <x:c r="F222" s="33" t="n">
        <x:v>672</x:v>
      </x:c>
      <x:c r="G222" s="33" t="n">
        <x:v>231</x:v>
      </x:c>
      <x:c r="H222" s="26" t="n">
        <x:v>0.34375</x:v>
      </x:c>
      <x:c r="I222" s="12" t="n">
        <x:v>3</x:v>
      </x:c>
      <x:c r="J222" s="12" t="n">
        <x:v>76</x:v>
      </x:c>
      <x:c r="K222" s="12"/>
      <x:c r="L222" s="12"/>
      <x:c r="M222" s="12" t="str">
        <x:f>IF(K222="", "", MAX(0,IF(K222&lt;=20,100,IF(K222&lt;=30,85,IF(K222&lt;=40,70,IF(K222&lt;=50,55,IF(K222&lt;=60,40,20)))))-MIN(L222*5,20)))</x:f>
      </x:c>
      <x:c r="N222" s="12"/>
      <x:c r="O222" s="12"/>
      <x:c r="P222" s="12" t="str">
        <x:f>IF(OR(H222="",J222="",M222=""),"",ROUND(PERCENTRANK.INC($H$2:$H$941,H222)*35+J222*0.35+M222*0.30,0))</x:f>
      </x:c>
      <x:c r="Q222" s="12" t="str">
        <x:f>IF(P222="","",IF(P222&gt;=80,"ATTACK",IF(P222&gt;=65,"GROW",IF(P222&gt;=50,"PARTNER","WATCH"))))</x:f>
      </x:c>
      <x:c r="R222" s="12" t="str">
        <x:f>IF(Q222="","",IF(Q222="ATTACK","Grassroots + family acquisition",IF(Q222="GROW","Test local campaign",IF(Q222="PARTNER","Organisation-first partnership","Low priority / validate"))))</x:f>
      </x:c>
      <x:c r="S222" s="45" t="n">
        <x:v>8.504462882472833</x:v>
      </x:c>
      <x:c r="T222" t="str">
        <x:v>NEAR</x:v>
      </x:c>
      <x:c r="U222" s="32" t="n">
        <x:f>PERCENTRANK.INC($G$2:$G$941,G222)</x:f>
        <x:v>0.638</x:v>
      </x:c>
      <x:c r="V222" s="32" t="n">
        <x:f>PERCENTRANK.INC($H$2:$H$941,H222)</x:f>
        <x:v>0.643</x:v>
      </x:c>
      <x:c r="W222" t="n">
        <x:f>ROUND((U222*55+V222*45)*IF(S222&lt;=5,1,IF(S222&lt;=10,0.95,IF(S222&lt;=20,0.85,0.70))),0)</x:f>
        <x:v>61</x:v>
      </x:c>
      <x:c r="X222" t="n">
        <x:v>68</x:v>
      </x:c>
      <x:c r="Y222" t="str">
        <x:v>GROW</x:v>
      </x:c>
      <x:c r="Z222" s="12" t="str">
        <x:v>Family + verified grassroots + straight-line geo only; transport not yet routed</x:v>
      </x:c>
      <x:c r="AA222" s="12"/>
      <x:c r="AB222" s="12"/>
      <x:c r="AC222" s="12"/>
      <x:c r="AD222" s="12"/>
      <x:c r="AE222" t="str">
        <x:v>Crystal Palace Women</x:v>
      </x:c>
      <x:c r="AF222" s="45" t="n">
        <x:v>1.3751882438382743</x:v>
      </x:c>
      <x:c r="AG222" t="str">
        <x:v>AFC Wimbledon Women</x:v>
      </x:c>
      <x:c r="AH222" s="45" t="n">
        <x:v>6.576952536096481</x:v>
      </x:c>
      <x:c r="AI222" t="n">
        <x:v>92</x:v>
      </x:c>
      <x:c r="AJ222" t="str">
        <x:v>HIGH</x:v>
      </x:c>
    </x:row>
    <x:row r="223">
      <x:c r="A223" s="12" t="str">
        <x:v>E01001152</x:v>
      </x:c>
      <x:c r="B223" s="12" t="str">
        <x:v>Croydon 005D</x:v>
      </x:c>
      <x:c r="C223" s="12" t="str">
        <x:v>Croydon</x:v>
      </x:c>
      <x:c r="D223" s="44" t="n">
        <x:v>51.40227147545074</x:v>
      </x:c>
      <x:c r="E223" s="44" t="n">
        <x:v>-0.09925443433276683</x:v>
      </x:c>
      <x:c r="F223" s="33" t="n">
        <x:v>784</x:v>
      </x:c>
      <x:c r="G223" s="33" t="n">
        <x:v>300</x:v>
      </x:c>
      <x:c r="H223" s="26" t="n">
        <x:v>0.3826530612244898</x:v>
      </x:c>
      <x:c r="I223" s="12" t="n">
        <x:v>3</x:v>
      </x:c>
      <x:c r="J223" s="12" t="n">
        <x:v>76</x:v>
      </x:c>
      <x:c r="K223" s="12"/>
      <x:c r="L223" s="12"/>
      <x:c r="M223" s="12" t="str">
        <x:f>IF(K223="", "", MAX(0,IF(K223&lt;=20,100,IF(K223&lt;=30,85,IF(K223&lt;=40,70,IF(K223&lt;=50,55,IF(K223&lt;=60,40,20)))))-MIN(L223*5,20)))</x:f>
      </x:c>
      <x:c r="N223" s="12"/>
      <x:c r="O223" s="12"/>
      <x:c r="P223" s="12" t="str">
        <x:f>IF(OR(H223="",J223="",M223=""),"",ROUND(PERCENTRANK.INC($H$2:$H$941,H223)*35+J223*0.35+M223*0.30,0))</x:f>
      </x:c>
      <x:c r="Q223" s="12" t="str">
        <x:f>IF(P223="","",IF(P223&gt;=80,"ATTACK",IF(P223&gt;=65,"GROW",IF(P223&gt;=50,"PARTNER","WATCH"))))</x:f>
      </x:c>
      <x:c r="R223" s="12" t="str">
        <x:f>IF(Q223="","",IF(Q223="ATTACK","Grassroots + family acquisition",IF(Q223="GROW","Test local campaign",IF(Q223="PARTNER","Organisation-first partnership","Low priority / validate"))))</x:f>
      </x:c>
      <x:c r="S223" s="45" t="n">
        <x:v>8.211185322597084</x:v>
      </x:c>
      <x:c r="T223" t="str">
        <x:v>NEAR</x:v>
      </x:c>
      <x:c r="U223" s="32" t="n">
        <x:f>PERCENTRANK.INC($G$2:$G$941,G223)</x:f>
        <x:v>0.941</x:v>
      </x:c>
      <x:c r="V223" s="32" t="n">
        <x:f>PERCENTRANK.INC($H$2:$H$941,H223)</x:f>
        <x:v>0.843</x:v>
      </x:c>
      <x:c r="W223" t="n">
        <x:f>ROUND((U223*55+V223*45)*IF(S223&lt;=5,1,IF(S223&lt;=10,0.95,IF(S223&lt;=20,0.85,0.70))),0)</x:f>
        <x:v>85</x:v>
      </x:c>
      <x:c r="X223" t="n">
        <x:v>81</x:v>
      </x:c>
      <x:c r="Y223" t="str">
        <x:v>ATTACK</x:v>
      </x:c>
      <x:c r="Z223" s="12" t="str">
        <x:v>Family + verified grassroots + straight-line geo only; transport not yet routed</x:v>
      </x:c>
      <x:c r="AA223" s="12"/>
      <x:c r="AB223" s="12"/>
      <x:c r="AC223" s="12"/>
      <x:c r="AD223" s="12"/>
      <x:c r="AE223" t="str">
        <x:v>Crystal Palace Women</x:v>
      </x:c>
      <x:c r="AF223" s="45" t="n">
        <x:v>1.0744091551610973</x:v>
      </x:c>
      <x:c r="AG223" t="str">
        <x:v>Dulwich Hamlet Women</x:v>
      </x:c>
      <x:c r="AH223" s="45" t="n">
        <x:v>6.650740869401797</x:v>
      </x:c>
      <x:c r="AI223" t="n">
        <x:v>92</x:v>
      </x:c>
      <x:c r="AJ223" t="str">
        <x:v>HIGH</x:v>
      </x:c>
    </x:row>
    <x:row r="224">
      <x:c r="A224" s="12" t="str">
        <x:v>E01001158</x:v>
      </x:c>
      <x:c r="B224" s="12" t="str">
        <x:v>Croydon 005E</x:v>
      </x:c>
      <x:c r="C224" s="12" t="str">
        <x:v>Croydon</x:v>
      </x:c>
      <x:c r="D224" s="44" t="n">
        <x:v>51.40988507851794</x:v>
      </x:c>
      <x:c r="E224" s="44" t="n">
        <x:v>-0.08983980642805958</x:v>
      </x:c>
      <x:c r="F224" s="33" t="n">
        <x:v>671</x:v>
      </x:c>
      <x:c r="G224" s="33" t="n">
        <x:v>215</x:v>
      </x:c>
      <x:c r="H224" s="26" t="n">
        <x:v>0.3204172876304024</x:v>
      </x:c>
      <x:c r="I224" s="12" t="n">
        <x:v>4</x:v>
      </x:c>
      <x:c r="J224" s="12" t="n">
        <x:v>92</x:v>
      </x:c>
      <x:c r="K224" s="12"/>
      <x:c r="L224" s="12"/>
      <x:c r="M224" s="12" t="str">
        <x:f>IF(K224="", "", MAX(0,IF(K224&lt;=20,100,IF(K224&lt;=30,85,IF(K224&lt;=40,70,IF(K224&lt;=50,55,IF(K224&lt;=60,40,20)))))-MIN(L224*5,20)))</x:f>
      </x:c>
      <x:c r="N224" s="12"/>
      <x:c r="O224" s="12"/>
      <x:c r="P224" s="12" t="str">
        <x:f>IF(OR(H224="",J224="",M224=""),"",ROUND(PERCENTRANK.INC($H$2:$H$941,H224)*35+J224*0.35+M224*0.30,0))</x:f>
      </x:c>
      <x:c r="Q224" s="12" t="str">
        <x:f>IF(P224="","",IF(P224&gt;=80,"ATTACK",IF(P224&gt;=65,"GROW",IF(P224&gt;=50,"PARTNER","WATCH"))))</x:f>
      </x:c>
      <x:c r="R224" s="12" t="str">
        <x:f>IF(Q224="","",IF(Q224="ATTACK","Grassroots + family acquisition",IF(Q224="GROW","Test local campaign",IF(Q224="PARTNER","Organisation-first partnership","Low priority / validate"))))</x:f>
      </x:c>
      <x:c r="S224" s="45" t="n">
        <x:v>7.751280726786443</x:v>
      </x:c>
      <x:c r="T224" t="str">
        <x:v>NEAR</x:v>
      </x:c>
      <x:c r="U224" s="32" t="n">
        <x:f>PERCENTRANK.INC($G$2:$G$941,G224)</x:f>
        <x:v>0.515</x:v>
      </x:c>
      <x:c r="V224" s="32" t="n">
        <x:f>PERCENTRANK.INC($H$2:$H$941,H224)</x:f>
        <x:v>0.513</x:v>
      </x:c>
      <x:c r="W224" t="n">
        <x:f>ROUND((U224*55+V224*45)*IF(S224&lt;=5,1,IF(S224&lt;=10,0.95,IF(S224&lt;=20,0.85,0.70))),0)</x:f>
        <x:v>49</x:v>
      </x:c>
      <x:c r="X224" t="n">
        <x:v>68</x:v>
      </x:c>
      <x:c r="Y224" t="str">
        <x:v>GROW</x:v>
      </x:c>
      <x:c r="Z224" s="12" t="str">
        <x:v>Family + verified grassroots + straight-line geo only; transport not yet routed</x:v>
      </x:c>
      <x:c r="AA224" s="12"/>
      <x:c r="AB224" s="12"/>
      <x:c r="AC224" s="12"/>
      <x:c r="AD224" s="12"/>
      <x:c r="AE224" t="str">
        <x:v>Crystal Palace Women</x:v>
      </x:c>
      <x:c r="AF224" s="45" t="n">
        <x:v>1.3308014734652238</x:v>
      </x:c>
      <x:c r="AG224" t="str">
        <x:v>Dulwich Hamlet Women</x:v>
      </x:c>
      <x:c r="AH224" s="45" t="n">
        <x:v>5.733716183776621</x:v>
      </x:c>
      <x:c r="AI224" t="n">
        <x:v>96</x:v>
      </x:c>
      <x:c r="AJ224" t="str">
        <x:v>HIGH</x:v>
      </x:c>
    </x:row>
    <x:row r="225">
      <x:c r="A225" s="12" t="str">
        <x:v>E01001146</x:v>
      </x:c>
      <x:c r="B225" s="12" t="str">
        <x:v>Croydon 006A</x:v>
      </x:c>
      <x:c r="C225" s="12" t="str">
        <x:v>Croydon</x:v>
      </x:c>
      <x:c r="D225" s="44" t="n">
        <x:v>51.405625266906</x:v>
      </x:c>
      <x:c r="E225" s="44" t="n">
        <x:v>-0.09472268701811538</x:v>
      </x:c>
      <x:c r="F225" s="33" t="n">
        <x:v>607</x:v>
      </x:c>
      <x:c r="G225" s="33" t="n">
        <x:v>200</x:v>
      </x:c>
      <x:c r="H225" s="26" t="n">
        <x:v>0.32948929159802304</x:v>
      </x:c>
      <x:c r="I225" s="12" t="n">
        <x:v>3</x:v>
      </x:c>
      <x:c r="J225" s="12" t="n">
        <x:v>84</x:v>
      </x:c>
      <x:c r="K225" s="12"/>
      <x:c r="L225" s="12"/>
      <x:c r="M225" s="12" t="str">
        <x:f>IF(K225="", "", MAX(0,IF(K225&lt;=20,100,IF(K225&lt;=30,85,IF(K225&lt;=40,70,IF(K225&lt;=50,55,IF(K225&lt;=60,40,20)))))-MIN(L225*5,20)))</x:f>
      </x:c>
      <x:c r="N225" s="12"/>
      <x:c r="O225" s="12"/>
      <x:c r="P225" s="12" t="str">
        <x:f>IF(OR(H225="",J225="",M225=""),"",ROUND(PERCENTRANK.INC($H$2:$H$941,H225)*35+J225*0.35+M225*0.30,0))</x:f>
      </x:c>
      <x:c r="Q225" s="12" t="str">
        <x:f>IF(P225="","",IF(P225&gt;=80,"ATTACK",IF(P225&gt;=65,"GROW",IF(P225&gt;=50,"PARTNER","WATCH"))))</x:f>
      </x:c>
      <x:c r="R225" s="12" t="str">
        <x:f>IF(Q225="","",IF(Q225="ATTACK","Grassroots + family acquisition",IF(Q225="GROW","Test local campaign",IF(Q225="PARTNER","Organisation-first partnership","Low priority / validate"))))</x:f>
      </x:c>
      <x:c r="S225" s="45" t="n">
        <x:v>7.968099735114122</x:v>
      </x:c>
      <x:c r="T225" t="str">
        <x:v>NEAR</x:v>
      </x:c>
      <x:c r="U225" s="32" t="n">
        <x:f>PERCENTRANK.INC($G$2:$G$941,G225)</x:f>
        <x:v>0.388</x:v>
      </x:c>
      <x:c r="V225" s="32" t="n">
        <x:f>PERCENTRANK.INC($H$2:$H$941,H225)</x:f>
        <x:v>0.563</x:v>
      </x:c>
      <x:c r="W225" t="n">
        <x:f>ROUND((U225*55+V225*45)*IF(S225&lt;=5,1,IF(S225&lt;=10,0.95,IF(S225&lt;=20,0.85,0.70))),0)</x:f>
        <x:v>44</x:v>
      </x:c>
      <x:c r="X225" t="n">
        <x:v>62</x:v>
      </x:c>
      <x:c r="Y225" t="str">
        <x:v>PARTNER</x:v>
      </x:c>
      <x:c r="Z225" s="12" t="str">
        <x:v>Family + verified grassroots + straight-line geo only; transport not yet routed</x:v>
      </x:c>
      <x:c r="AA225" s="12"/>
      <x:c r="AB225" s="12"/>
      <x:c r="AC225" s="12"/>
      <x:c r="AD225" s="12"/>
      <x:c r="AE225" t="str">
        <x:v>Crystal Palace Women</x:v>
      </x:c>
      <x:c r="AF225" s="45" t="n">
        <x:v>1.0526429097703658</x:v>
      </x:c>
      <x:c r="AG225" t="str">
        <x:v>Dulwich Hamlet Women</x:v>
      </x:c>
      <x:c r="AH225" s="45" t="n">
        <x:v>6.237594310517656</x:v>
      </x:c>
      <x:c r="AI225" t="n">
        <x:v>92</x:v>
      </x:c>
      <x:c r="AJ225" t="str">
        <x:v>HIGH</x:v>
      </x:c>
    </x:row>
    <x:row r="226">
      <x:c r="A226" s="12" t="str">
        <x:v>E01001149</x:v>
      </x:c>
      <x:c r="B226" s="12" t="str">
        <x:v>Croydon 006B</x:v>
      </x:c>
      <x:c r="C226" s="12" t="str">
        <x:v>Croydon</x:v>
      </x:c>
      <x:c r="D226" s="44" t="n">
        <x:v>51.40627600472001</x:v>
      </x:c>
      <x:c r="E226" s="44" t="n">
        <x:v>-0.09095889817410083</x:v>
      </x:c>
      <x:c r="F226" s="33" t="n">
        <x:v>626</x:v>
      </x:c>
      <x:c r="G226" s="33" t="n">
        <x:v>231</x:v>
      </x:c>
      <x:c r="H226" s="26" t="n">
        <x:v>0.36900958466453676</x:v>
      </x:c>
      <x:c r="I226" s="12" t="n">
        <x:v>3</x:v>
      </x:c>
      <x:c r="J226" s="12" t="n">
        <x:v>84</x:v>
      </x:c>
      <x:c r="K226" s="12"/>
      <x:c r="L226" s="12"/>
      <x:c r="M226" s="12" t="str">
        <x:f>IF(K226="", "", MAX(0,IF(K226&lt;=20,100,IF(K226&lt;=30,85,IF(K226&lt;=40,70,IF(K226&lt;=50,55,IF(K226&lt;=60,40,20)))))-MIN(L226*5,20)))</x:f>
      </x:c>
      <x:c r="N226" s="12"/>
      <x:c r="O226" s="12"/>
      <x:c r="P226" s="12" t="str">
        <x:f>IF(OR(H226="",J226="",M226=""),"",ROUND(PERCENTRANK.INC($H$2:$H$941,H226)*35+J226*0.35+M226*0.30,0))</x:f>
      </x:c>
      <x:c r="Q226" s="12" t="str">
        <x:f>IF(P226="","",IF(P226&gt;=80,"ATTACK",IF(P226&gt;=65,"GROW",IF(P226&gt;=50,"PARTNER","WATCH"))))</x:f>
      </x:c>
      <x:c r="R226" s="12" t="str">
        <x:f>IF(Q226="","",IF(Q226="ATTACK","Grassroots + family acquisition",IF(Q226="GROW","Test local campaign",IF(Q226="PARTNER","Organisation-first partnership","Low priority / validate"))))</x:f>
      </x:c>
      <x:c r="S226" s="45" t="n">
        <x:v>7.728225416538847</x:v>
      </x:c>
      <x:c r="T226" t="str">
        <x:v>NEAR</x:v>
      </x:c>
      <x:c r="U226" s="32" t="n">
        <x:f>PERCENTRANK.INC($G$2:$G$941,G226)</x:f>
        <x:v>0.638</x:v>
      </x:c>
      <x:c r="V226" s="32" t="n">
        <x:f>PERCENTRANK.INC($H$2:$H$941,H226)</x:f>
        <x:v>0.79</x:v>
      </x:c>
      <x:c r="W226" t="n">
        <x:f>ROUND((U226*55+V226*45)*IF(S226&lt;=5,1,IF(S226&lt;=10,0.95,IF(S226&lt;=20,0.85,0.70))),0)</x:f>
        <x:v>67</x:v>
      </x:c>
      <x:c r="X226" t="n">
        <x:v>75</x:v>
      </x:c>
      <x:c r="Y226" t="str">
        <x:v>GROW</x:v>
      </x:c>
      <x:c r="Z226" s="12" t="str">
        <x:v>Family + verified grassroots + straight-line geo only; transport not yet routed</x:v>
      </x:c>
      <x:c r="AA226" s="12"/>
      <x:c r="AB226" s="12"/>
      <x:c r="AC226" s="12"/>
      <x:c r="AD226" s="12"/>
      <x:c r="AE226" t="str">
        <x:v>Crystal Palace Women</x:v>
      </x:c>
      <x:c r="AF226" s="45" t="n">
        <x:v>0.9761670599696054</x:v>
      </x:c>
      <x:c r="AG226" t="str">
        <x:v>Dulwich Hamlet Women</x:v>
      </x:c>
      <x:c r="AH226" s="45" t="n">
        <x:v>6.139711288453979</x:v>
      </x:c>
      <x:c r="AI226" t="n">
        <x:v>92</x:v>
      </x:c>
      <x:c r="AJ226" t="str">
        <x:v>HIGH</x:v>
      </x:c>
    </x:row>
    <x:row r="227">
      <x:c r="A227" s="12" t="str">
        <x:v>E01001150</x:v>
      </x:c>
      <x:c r="B227" s="12" t="str">
        <x:v>Croydon 006C</x:v>
      </x:c>
      <x:c r="C227" s="12" t="str">
        <x:v>Croydon</x:v>
      </x:c>
      <x:c r="D227" s="44" t="n">
        <x:v>51.40358194811826</x:v>
      </x:c>
      <x:c r="E227" s="44" t="n">
        <x:v>-0.08694978969774349</x:v>
      </x:c>
      <x:c r="F227" s="33" t="n">
        <x:v>637</x:v>
      </x:c>
      <x:c r="G227" s="33" t="n">
        <x:v>228</x:v>
      </x:c>
      <x:c r="H227" s="26" t="n">
        <x:v>0.3579277864992151</x:v>
      </x:c>
      <x:c r="I227" s="12" t="n">
        <x:v>3</x:v>
      </x:c>
      <x:c r="J227" s="12" t="n">
        <x:v>84</x:v>
      </x:c>
      <x:c r="K227" s="12"/>
      <x:c r="L227" s="12"/>
      <x:c r="M227" s="12" t="str">
        <x:f>IF(K227="", "", MAX(0,IF(K227&lt;=20,100,IF(K227&lt;=30,85,IF(K227&lt;=40,70,IF(K227&lt;=50,55,IF(K227&lt;=60,40,20)))))-MIN(L227*5,20)))</x:f>
      </x:c>
      <x:c r="N227" s="12"/>
      <x:c r="O227" s="12"/>
      <x:c r="P227" s="12" t="str">
        <x:f>IF(OR(H227="",J227="",M227=""),"",ROUND(PERCENTRANK.INC($H$2:$H$941,H227)*35+J227*0.35+M227*0.30,0))</x:f>
      </x:c>
      <x:c r="Q227" s="12" t="str">
        <x:f>IF(P227="","",IF(P227&gt;=80,"ATTACK",IF(P227&gt;=65,"GROW",IF(P227&gt;=50,"PARTNER","WATCH"))))</x:f>
      </x:c>
      <x:c r="R227" s="12" t="str">
        <x:f>IF(Q227="","",IF(Q227="ATTACK","Grassroots + family acquisition",IF(Q227="GROW","Test local campaign",IF(Q227="PARTNER","Organisation-first partnership","Low priority / validate"))))</x:f>
      </x:c>
      <x:c r="S227" s="45" t="n">
        <x:v>7.394819835697795</x:v>
      </x:c>
      <x:c r="T227" t="str">
        <x:v>NEAR</x:v>
      </x:c>
      <x:c r="U227" s="32" t="n">
        <x:f>PERCENTRANK.INC($G$2:$G$941,G227)</x:f>
        <x:v>0.616</x:v>
      </x:c>
      <x:c r="V227" s="32" t="n">
        <x:f>PERCENTRANK.INC($H$2:$H$941,H227)</x:f>
        <x:v>0.727</x:v>
      </x:c>
      <x:c r="W227" t="n">
        <x:f>ROUND((U227*55+V227*45)*IF(S227&lt;=5,1,IF(S227&lt;=10,0.95,IF(S227&lt;=20,0.85,0.70))),0)</x:f>
        <x:v>63</x:v>
      </x:c>
      <x:c r="X227" t="n">
        <x:v>73</x:v>
      </x:c>
      <x:c r="Y227" t="str">
        <x:v>GROW</x:v>
      </x:c>
      <x:c r="Z227" s="12" t="str">
        <x:v>Family + verified grassroots + straight-line geo only; transport not yet routed</x:v>
      </x:c>
      <x:c r="AA227" s="12"/>
      <x:c r="AB227" s="12"/>
      <x:c r="AC227" s="12"/>
      <x:c r="AD227" s="12"/>
      <x:c r="AE227" t="str">
        <x:v>Crystal Palace Women</x:v>
      </x:c>
      <x:c r="AF227" s="45" t="n">
        <x:v>0.6026260361711847</x:v>
      </x:c>
      <x:c r="AG227" t="str">
        <x:v>Dulwich Hamlet Women</x:v>
      </x:c>
      <x:c r="AH227" s="45" t="n">
        <x:v>6.4234873422644405</x:v>
      </x:c>
      <x:c r="AI227" t="n">
        <x:v>92</x:v>
      </x:c>
      <x:c r="AJ227" t="str">
        <x:v>HIGH</x:v>
      </x:c>
    </x:row>
    <x:row r="228">
      <x:c r="A228" s="12" t="str">
        <x:v>E01001153</x:v>
      </x:c>
      <x:c r="B228" s="12" t="str">
        <x:v>Croydon 006D</x:v>
      </x:c>
      <x:c r="C228" s="12" t="str">
        <x:v>Croydon</x:v>
      </x:c>
      <x:c r="D228" s="44" t="n">
        <x:v>51.40182592090399</x:v>
      </x:c>
      <x:c r="E228" s="44" t="n">
        <x:v>-0.09458134497482985</x:v>
      </x:c>
      <x:c r="F228" s="33" t="n">
        <x:v>612</x:v>
      </x:c>
      <x:c r="G228" s="33" t="n">
        <x:v>184</x:v>
      </x:c>
      <x:c r="H228" s="26" t="n">
        <x:v>0.3006535947712418</x:v>
      </x:c>
      <x:c r="I228" s="12" t="n">
        <x:v>3</x:v>
      </x:c>
      <x:c r="J228" s="12" t="n">
        <x:v>84</x:v>
      </x:c>
      <x:c r="K228" s="12"/>
      <x:c r="L228" s="12"/>
      <x:c r="M228" s="12" t="str">
        <x:f>IF(K228="", "", MAX(0,IF(K228&lt;=20,100,IF(K228&lt;=30,85,IF(K228&lt;=40,70,IF(K228&lt;=50,55,IF(K228&lt;=60,40,20)))))-MIN(L228*5,20)))</x:f>
      </x:c>
      <x:c r="N228" s="12"/>
      <x:c r="O228" s="12"/>
      <x:c r="P228" s="12" t="str">
        <x:f>IF(OR(H228="",J228="",M228=""),"",ROUND(PERCENTRANK.INC($H$2:$H$941,H228)*35+J228*0.35+M228*0.30,0))</x:f>
      </x:c>
      <x:c r="Q228" s="12" t="str">
        <x:f>IF(P228="","",IF(P228&gt;=80,"ATTACK",IF(P228&gt;=65,"GROW",IF(P228&gt;=50,"PARTNER","WATCH"))))</x:f>
      </x:c>
      <x:c r="R228" s="12" t="str">
        <x:f>IF(Q228="","",IF(Q228="ATTACK","Grassroots + family acquisition",IF(Q228="GROW","Test local campaign",IF(Q228="PARTNER","Organisation-first partnership","Low priority / validate"))))</x:f>
      </x:c>
      <x:c r="S228" s="45" t="n">
        <x:v>7.883252801596273</x:v>
      </x:c>
      <x:c r="T228" t="str">
        <x:v>NEAR</x:v>
      </x:c>
      <x:c r="U228" s="32" t="n">
        <x:f>PERCENTRANK.INC($G$2:$G$941,G228)</x:f>
        <x:v>0.256</x:v>
      </x:c>
      <x:c r="V228" s="32" t="n">
        <x:f>PERCENTRANK.INC($H$2:$H$941,H228)</x:f>
        <x:v>0.397</x:v>
      </x:c>
      <x:c r="W228" t="n">
        <x:f>ROUND((U228*55+V228*45)*IF(S228&lt;=5,1,IF(S228&lt;=10,0.95,IF(S228&lt;=20,0.85,0.70))),0)</x:f>
        <x:v>30</x:v>
      </x:c>
      <x:c r="X228" t="n">
        <x:v>55</x:v>
      </x:c>
      <x:c r="Y228" t="str">
        <x:v>PARTNER</x:v>
      </x:c>
      <x:c r="Z228" s="12" t="str">
        <x:v>Family + verified grassroots + straight-line geo only; transport not yet routed</x:v>
      </x:c>
      <x:c r="AA228" s="12"/>
      <x:c r="AB228" s="12"/>
      <x:c r="AC228" s="12"/>
      <x:c r="AD228" s="12"/>
      <x:c r="AE228" t="str">
        <x:v>Crystal Palace Women</x:v>
      </x:c>
      <x:c r="AF228" s="45" t="n">
        <x:v>0.7638965215311558</x:v>
      </x:c>
      <x:c r="AG228" t="str">
        <x:v>Dulwich Hamlet Women</x:v>
      </x:c>
      <x:c r="AH228" s="45" t="n">
        <x:v>6.656146738631184</x:v>
      </x:c>
      <x:c r="AI228" t="n">
        <x:v>92</x:v>
      </x:c>
      <x:c r="AJ228" t="str">
        <x:v>HIGH</x:v>
      </x:c>
    </x:row>
    <x:row r="229">
      <x:c r="A229" s="12" t="str">
        <x:v>E01001154</x:v>
      </x:c>
      <x:c r="B229" s="12" t="str">
        <x:v>Croydon 006E</x:v>
      </x:c>
      <x:c r="C229" s="12" t="str">
        <x:v>Croydon</x:v>
      </x:c>
      <x:c r="D229" s="44" t="n">
        <x:v>51.39903293374955</x:v>
      </x:c>
      <x:c r="E229" s="44" t="n">
        <x:v>-0.09301349767316935</x:v>
      </x:c>
      <x:c r="F229" s="33" t="n">
        <x:v>726</x:v>
      </x:c>
      <x:c r="G229" s="33" t="n">
        <x:v>280</x:v>
      </x:c>
      <x:c r="H229" s="26" t="n">
        <x:v>0.3856749311294766</x:v>
      </x:c>
      <x:c r="I229" s="12" t="n">
        <x:v>3</x:v>
      </x:c>
      <x:c r="J229" s="12" t="n">
        <x:v>84</x:v>
      </x:c>
      <x:c r="K229" s="12"/>
      <x:c r="L229" s="12"/>
      <x:c r="M229" s="12" t="str">
        <x:f>IF(K229="", "", MAX(0,IF(K229&lt;=20,100,IF(K229&lt;=30,85,IF(K229&lt;=40,70,IF(K229&lt;=50,55,IF(K229&lt;=60,40,20)))))-MIN(L229*5,20)))</x:f>
      </x:c>
      <x:c r="N229" s="12"/>
      <x:c r="O229" s="12"/>
      <x:c r="P229" s="12" t="str">
        <x:f>IF(OR(H229="",J229="",M229=""),"",ROUND(PERCENTRANK.INC($H$2:$H$941,H229)*35+J229*0.35+M229*0.30,0))</x:f>
      </x:c>
      <x:c r="Q229" s="12" t="str">
        <x:f>IF(P229="","",IF(P229&gt;=80,"ATTACK",IF(P229&gt;=65,"GROW",IF(P229&gt;=50,"PARTNER","WATCH"))))</x:f>
      </x:c>
      <x:c r="R229" s="12" t="str">
        <x:f>IF(Q229="","",IF(Q229="ATTACK","Grassroots + family acquisition",IF(Q229="GROW","Test local campaign",IF(Q229="PARTNER","Organisation-first partnership","Low priority / validate"))))</x:f>
      </x:c>
      <x:c r="S229" s="45" t="n">
        <x:v>7.733946854095308</x:v>
      </x:c>
      <x:c r="T229" t="str">
        <x:v>NEAR</x:v>
      </x:c>
      <x:c r="U229" s="32" t="n">
        <x:f>PERCENTRANK.INC($G$2:$G$941,G229)</x:f>
        <x:v>0.9</x:v>
      </x:c>
      <x:c r="V229" s="32" t="n">
        <x:f>PERCENTRANK.INC($H$2:$H$941,H229)</x:f>
        <x:v>0.862</x:v>
      </x:c>
      <x:c r="W229" t="n">
        <x:f>ROUND((U229*55+V229*45)*IF(S229&lt;=5,1,IF(S229&lt;=10,0.95,IF(S229&lt;=20,0.85,0.70))),0)</x:f>
        <x:v>84</x:v>
      </x:c>
      <x:c r="X229" t="n">
        <x:v>84</x:v>
      </x:c>
      <x:c r="Y229" t="str">
        <x:v>ATTACK</x:v>
      </x:c>
      <x:c r="Z229" s="12" t="str">
        <x:v>Family + verified grassroots + straight-line geo only; transport not yet routed</x:v>
      </x:c>
      <x:c r="AA229" s="12"/>
      <x:c r="AB229" s="12"/>
      <x:c r="AC229" s="12"/>
      <x:c r="AD229" s="12"/>
      <x:c r="AE229" t="str">
        <x:v>Crystal Palace Women</x:v>
      </x:c>
      <x:c r="AF229" s="45" t="n">
        <x:v>0.5519123880181271</x:v>
      </x:c>
      <x:c r="AG229" t="str">
        <x:v>Dulwich Hamlet Women</x:v>
      </x:c>
      <x:c r="AH229" s="45" t="n">
        <x:v>6.954271449560211</x:v>
      </x:c>
      <x:c r="AI229" t="n">
        <x:v>92</x:v>
      </x:c>
      <x:c r="AJ229" t="str">
        <x:v>HIGH</x:v>
      </x:c>
    </x:row>
    <x:row r="230">
      <x:c r="A230" s="12" t="str">
        <x:v>E01001136</x:v>
      </x:c>
      <x:c r="B230" s="12" t="str">
        <x:v>Croydon 007A</x:v>
      </x:c>
      <x:c r="C230" s="12" t="str">
        <x:v>Croydon</x:v>
      </x:c>
      <x:c r="D230" s="44" t="n">
        <x:v>51.39802840014743</x:v>
      </x:c>
      <x:c r="E230" s="44" t="n">
        <x:v>-0.07814023229111673</x:v>
      </x:c>
      <x:c r="F230" s="33" t="n">
        <x:v>982</x:v>
      </x:c>
      <x:c r="G230" s="33" t="n">
        <x:v>249</x:v>
      </x:c>
      <x:c r="H230" s="26" t="n">
        <x:v>0.2535641547861507</x:v>
      </x:c>
      <x:c r="I230" s="12" t="n">
        <x:v>3</x:v>
      </x:c>
      <x:c r="J230" s="12" t="n">
        <x:v>84</x:v>
      </x:c>
      <x:c r="K230" s="12"/>
      <x:c r="L230" s="12"/>
      <x:c r="M230" s="12" t="str">
        <x:f>IF(K230="", "", MAX(0,IF(K230&lt;=20,100,IF(K230&lt;=30,85,IF(K230&lt;=40,70,IF(K230&lt;=50,55,IF(K230&lt;=60,40,20)))))-MIN(L230*5,20)))</x:f>
      </x:c>
      <x:c r="N230" s="12"/>
      <x:c r="O230" s="12"/>
      <x:c r="P230" s="12" t="str">
        <x:f>IF(OR(H230="",J230="",M230=""),"",ROUND(PERCENTRANK.INC($H$2:$H$941,H230)*35+J230*0.35+M230*0.30,0))</x:f>
      </x:c>
      <x:c r="Q230" s="12" t="str">
        <x:f>IF(P230="","",IF(P230&gt;=80,"ATTACK",IF(P230&gt;=65,"GROW",IF(P230&gt;=50,"PARTNER","WATCH"))))</x:f>
      </x:c>
      <x:c r="R230" s="12" t="str">
        <x:f>IF(Q230="","",IF(Q230="ATTACK","Grassroots + family acquisition",IF(Q230="GROW","Test local campaign",IF(Q230="PARTNER","Organisation-first partnership","Low priority / validate"))))</x:f>
      </x:c>
      <x:c r="S230" s="45" t="n">
        <x:v>6.696125813634237</x:v>
      </x:c>
      <x:c r="T230" t="str">
        <x:v>NEAR</x:v>
      </x:c>
      <x:c r="U230" s="32" t="n">
        <x:f>PERCENTRANK.INC($G$2:$G$941,G230)</x:f>
        <x:v>0.766</x:v>
      </x:c>
      <x:c r="V230" s="32" t="n">
        <x:f>PERCENTRANK.INC($H$2:$H$941,H230)</x:f>
        <x:v>0.197</x:v>
      </x:c>
      <x:c r="W230" t="n">
        <x:f>ROUND((U230*55+V230*45)*IF(S230&lt;=5,1,IF(S230&lt;=10,0.95,IF(S230&lt;=20,0.85,0.70))),0)</x:f>
        <x:v>48</x:v>
      </x:c>
      <x:c r="X230" t="n">
        <x:v>65</x:v>
      </x:c>
      <x:c r="Y230" t="str">
        <x:v>GROW</x:v>
      </x:c>
      <x:c r="Z230" s="12" t="str">
        <x:v>Family + verified grassroots + straight-line geo only; transport not yet routed</x:v>
      </x:c>
      <x:c r="AA230" s="12"/>
      <x:c r="AB230" s="12"/>
      <x:c r="AC230" s="12"/>
      <x:c r="AD230" s="12"/>
      <x:c r="AE230" t="str">
        <x:v>Crystal Palace Women</x:v>
      </x:c>
      <x:c r="AF230" s="45" t="n">
        <x:v>0.4871076983336226</x:v>
      </x:c>
      <x:c r="AG230" t="str">
        <x:v>Dulwich Hamlet Women</x:v>
      </x:c>
      <x:c r="AH230" s="45" t="n">
        <x:v>7.049349869169686</x:v>
      </x:c>
      <x:c r="AI230" t="n">
        <x:v>92</x:v>
      </x:c>
      <x:c r="AJ230" t="str">
        <x:v>HIGH</x:v>
      </x:c>
    </x:row>
    <x:row r="231">
      <x:c r="A231" s="12" t="str">
        <x:v>E01001139</x:v>
      </x:c>
      <x:c r="B231" s="12" t="str">
        <x:v>Croydon 007B</x:v>
      </x:c>
      <x:c r="C231" s="12" t="str">
        <x:v>Croydon</x:v>
      </x:c>
      <x:c r="D231" s="44" t="n">
        <x:v>51.40261765928087</x:v>
      </x:c>
      <x:c r="E231" s="44" t="n">
        <x:v>-0.08303191097613168</x:v>
      </x:c>
      <x:c r="F231" s="33" t="n">
        <x:v>712</x:v>
      </x:c>
      <x:c r="G231" s="33" t="n">
        <x:v>230</x:v>
      </x:c>
      <x:c r="H231" s="26" t="n">
        <x:v>0.32303370786516855</x:v>
      </x:c>
      <x:c r="I231" s="12" t="n">
        <x:v>3</x:v>
      </x:c>
      <x:c r="J231" s="12" t="n">
        <x:v>84</x:v>
      </x:c>
      <x:c r="K231" s="12"/>
      <x:c r="L231" s="12"/>
      <x:c r="M231" s="12" t="str">
        <x:f>IF(K231="", "", MAX(0,IF(K231&lt;=20,100,IF(K231&lt;=30,85,IF(K231&lt;=40,70,IF(K231&lt;=50,55,IF(K231&lt;=60,40,20)))))-MIN(L231*5,20)))</x:f>
      </x:c>
      <x:c r="N231" s="12"/>
      <x:c r="O231" s="12"/>
      <x:c r="P231" s="12" t="str">
        <x:f>IF(OR(H231="",J231="",M231=""),"",ROUND(PERCENTRANK.INC($H$2:$H$941,H231)*35+J231*0.35+M231*0.30,0))</x:f>
      </x:c>
      <x:c r="Q231" s="12" t="str">
        <x:f>IF(P231="","",IF(P231&gt;=80,"ATTACK",IF(P231&gt;=65,"GROW",IF(P231&gt;=50,"PARTNER","WATCH"))))</x:f>
      </x:c>
      <x:c r="R231" s="12" t="str">
        <x:f>IF(Q231="","",IF(Q231="ATTACK","Grassroots + family acquisition",IF(Q231="GROW","Test local campaign",IF(Q231="PARTNER","Organisation-first partnership","Low priority / validate"))))</x:f>
      </x:c>
      <x:c r="S231" s="45" t="n">
        <x:v>7.107896957377836</x:v>
      </x:c>
      <x:c r="T231" t="str">
        <x:v>NEAR</x:v>
      </x:c>
      <x:c r="U231" s="32" t="n">
        <x:f>PERCENTRANK.INC($G$2:$G$941,G231)</x:f>
        <x:v>0.632</x:v>
      </x:c>
      <x:c r="V231" s="32" t="n">
        <x:f>PERCENTRANK.INC($H$2:$H$941,H231)</x:f>
        <x:v>0.529</x:v>
      </x:c>
      <x:c r="W231" t="n">
        <x:f>ROUND((U231*55+V231*45)*IF(S231&lt;=5,1,IF(S231&lt;=10,0.95,IF(S231&lt;=20,0.85,0.70))),0)</x:f>
        <x:v>56</x:v>
      </x:c>
      <x:c r="X231" t="n">
        <x:v>69</x:v>
      </x:c>
      <x:c r="Y231" t="str">
        <x:v>GROW</x:v>
      </x:c>
      <x:c r="Z231" s="12" t="str">
        <x:v>Family + verified grassroots + straight-line geo only; transport not yet routed</x:v>
      </x:c>
      <x:c r="AA231" s="12"/>
      <x:c r="AB231" s="12"/>
      <x:c r="AC231" s="12"/>
      <x:c r="AD231" s="12"/>
      <x:c r="AE231" t="str">
        <x:v>Crystal Palace Women</x:v>
      </x:c>
      <x:c r="AF231" s="45" t="n">
        <x:v>0.5042109945779576</x:v>
      </x:c>
      <x:c r="AG231" t="str">
        <x:v>Dulwich Hamlet Women</x:v>
      </x:c>
      <x:c r="AH231" s="45" t="n">
        <x:v>6.527742374368991</x:v>
      </x:c>
      <x:c r="AI231" t="n">
        <x:v>92</x:v>
      </x:c>
      <x:c r="AJ231" t="str">
        <x:v>HIGH</x:v>
      </x:c>
    </x:row>
    <x:row r="232">
      <x:c r="A232" s="12" t="str">
        <x:v>E01001140</x:v>
      </x:c>
      <x:c r="B232" s="12" t="str">
        <x:v>Croydon 007C</x:v>
      </x:c>
      <x:c r="C232" s="12" t="str">
        <x:v>Croydon</x:v>
      </x:c>
      <x:c r="D232" s="44" t="n">
        <x:v>51.408025672734816</x:v>
      </x:c>
      <x:c r="E232" s="44" t="n">
        <x:v>-0.08128288163599988</x:v>
      </x:c>
      <x:c r="F232" s="33" t="n">
        <x:v>759</x:v>
      </x:c>
      <x:c r="G232" s="33" t="n">
        <x:v>221</x:v>
      </x:c>
      <x:c r="H232" s="26" t="n">
        <x:v>0.29117259552042163</x:v>
      </x:c>
      <x:c r="I232" s="12" t="n">
        <x:v>4</x:v>
      </x:c>
      <x:c r="J232" s="12" t="n">
        <x:v>92</x:v>
      </x:c>
      <x:c r="K232" s="12"/>
      <x:c r="L232" s="12"/>
      <x:c r="M232" s="12" t="str">
        <x:f>IF(K232="", "", MAX(0,IF(K232&lt;=20,100,IF(K232&lt;=30,85,IF(K232&lt;=40,70,IF(K232&lt;=50,55,IF(K232&lt;=60,40,20)))))-MIN(L232*5,20)))</x:f>
      </x:c>
      <x:c r="N232" s="12"/>
      <x:c r="O232" s="12"/>
      <x:c r="P232" s="12" t="str">
        <x:f>IF(OR(H232="",J232="",M232=""),"",ROUND(PERCENTRANK.INC($H$2:$H$941,H232)*35+J232*0.35+M232*0.30,0))</x:f>
      </x:c>
      <x:c r="Q232" s="12" t="str">
        <x:f>IF(P232="","",IF(P232&gt;=80,"ATTACK",IF(P232&gt;=65,"GROW",IF(P232&gt;=50,"PARTNER","WATCH"))))</x:f>
      </x:c>
      <x:c r="R232" s="12" t="str">
        <x:f>IF(Q232="","",IF(Q232="ATTACK","Grassroots + family acquisition",IF(Q232="GROW","Test local campaign",IF(Q232="PARTNER","Organisation-first partnership","Low priority / validate"))))</x:f>
      </x:c>
      <x:c r="S232" s="45" t="n">
        <x:v>7.1240853205054435</x:v>
      </x:c>
      <x:c r="T232" t="str">
        <x:v>NEAR</x:v>
      </x:c>
      <x:c r="U232" s="32" t="n">
        <x:f>PERCENTRANK.INC($G$2:$G$941,G232)</x:f>
        <x:v>0.552</x:v>
      </x:c>
      <x:c r="V232" s="32" t="n">
        <x:f>PERCENTRANK.INC($H$2:$H$941,H232)</x:f>
        <x:v>0.352</x:v>
      </x:c>
      <x:c r="W232" t="n">
        <x:f>ROUND((U232*55+V232*45)*IF(S232&lt;=5,1,IF(S232&lt;=10,0.95,IF(S232&lt;=20,0.85,0.70))),0)</x:f>
        <x:v>44</x:v>
      </x:c>
      <x:c r="X232" t="n">
        <x:v>66</x:v>
      </x:c>
      <x:c r="Y232" t="str">
        <x:v>GROW</x:v>
      </x:c>
      <x:c r="Z232" s="12" t="str">
        <x:v>Family + verified grassroots + straight-line geo only; transport not yet routed</x:v>
      </x:c>
      <x:c r="AA232" s="12"/>
      <x:c r="AB232" s="12"/>
      <x:c r="AC232" s="12"/>
      <x:c r="AD232" s="12"/>
      <x:c r="AE232" t="str">
        <x:v>Crystal Palace Women</x:v>
      </x:c>
      <x:c r="AF232" s="45" t="n">
        <x:v>1.1163789561122062</x:v>
      </x:c>
      <x:c r="AG232" t="str">
        <x:v>Dulwich Hamlet Women</x:v>
      </x:c>
      <x:c r="AH232" s="45" t="n">
        <x:v>5.929015550378923</x:v>
      </x:c>
      <x:c r="AI232" t="n">
        <x:v>96</x:v>
      </x:c>
      <x:c r="AJ232" t="str">
        <x:v>HIGH</x:v>
      </x:c>
    </x:row>
    <x:row r="233">
      <x:c r="A233" s="12" t="str">
        <x:v>E01001142</x:v>
      </x:c>
      <x:c r="B233" s="12" t="str">
        <x:v>Croydon 007D</x:v>
      </x:c>
      <x:c r="C233" s="12" t="str">
        <x:v>Croydon</x:v>
      </x:c>
      <x:c r="D233" s="44" t="n">
        <x:v>51.40268293916459</x:v>
      </x:c>
      <x:c r="E233" s="44" t="n">
        <x:v>-0.07695108692044776</x:v>
      </x:c>
      <x:c r="F233" s="33" t="n">
        <x:v>749</x:v>
      </x:c>
      <x:c r="G233" s="33" t="n">
        <x:v>247</x:v>
      </x:c>
      <x:c r="H233" s="26" t="n">
        <x:v>0.32977303070761016</x:v>
      </x:c>
      <x:c r="I233" s="12" t="n">
        <x:v>4</x:v>
      </x:c>
      <x:c r="J233" s="12" t="n">
        <x:v>92</x:v>
      </x:c>
      <x:c r="K233" s="12"/>
      <x:c r="L233" s="12"/>
      <x:c r="M233" s="12" t="str">
        <x:f>IF(K233="", "", MAX(0,IF(K233&lt;=20,100,IF(K233&lt;=30,85,IF(K233&lt;=40,70,IF(K233&lt;=50,55,IF(K233&lt;=60,40,20)))))-MIN(L233*5,20)))</x:f>
      </x:c>
      <x:c r="N233" s="12"/>
      <x:c r="O233" s="12"/>
      <x:c r="P233" s="12" t="str">
        <x:f>IF(OR(H233="",J233="",M233=""),"",ROUND(PERCENTRANK.INC($H$2:$H$941,H233)*35+J233*0.35+M233*0.30,0))</x:f>
      </x:c>
      <x:c r="Q233" s="12" t="str">
        <x:f>IF(P233="","",IF(P233&gt;=80,"ATTACK",IF(P233&gt;=65,"GROW",IF(P233&gt;=50,"PARTNER","WATCH"))))</x:f>
      </x:c>
      <x:c r="R233" s="12" t="str">
        <x:f>IF(Q233="","",IF(Q233="ATTACK","Grassroots + family acquisition",IF(Q233="GROW","Test local campaign",IF(Q233="PARTNER","Organisation-first partnership","Low priority / validate"))))</x:f>
      </x:c>
      <x:c r="S233" s="45" t="n">
        <x:v>6.694914462263257</x:v>
      </x:c>
      <x:c r="T233" t="str">
        <x:v>NEAR</x:v>
      </x:c>
      <x:c r="U233" s="32" t="n">
        <x:f>PERCENTRANK.INC($G$2:$G$941,G233)</x:f>
        <x:v>0.752</x:v>
      </x:c>
      <x:c r="V233" s="32" t="n">
        <x:f>PERCENTRANK.INC($H$2:$H$941,H233)</x:f>
        <x:v>0.564</x:v>
      </x:c>
      <x:c r="W233" t="n">
        <x:f>ROUND((U233*55+V233*45)*IF(S233&lt;=5,1,IF(S233&lt;=10,0.95,IF(S233&lt;=20,0.85,0.70))),0)</x:f>
        <x:v>63</x:v>
      </x:c>
      <x:c r="X233" t="n">
        <x:v>76</x:v>
      </x:c>
      <x:c r="Y233" t="str">
        <x:v>GROW</x:v>
      </x:c>
      <x:c r="Z233" s="12" t="str">
        <x:v>Family + verified grassroots + straight-line geo only; transport not yet routed</x:v>
      </x:c>
      <x:c r="AA233" s="12"/>
      <x:c r="AB233" s="12"/>
      <x:c r="AC233" s="12"/>
      <x:c r="AD233" s="12"/>
      <x:c r="AE233" t="str">
        <x:v>Crystal Palace Women</x:v>
      </x:c>
      <x:c r="AF233" s="45" t="n">
        <x:v>0.7504632014315521</x:v>
      </x:c>
      <x:c r="AG233" t="str">
        <x:v>Dulwich Hamlet Women</x:v>
      </x:c>
      <x:c r="AH233" s="45" t="n">
        <x:v>6.538334945442456</x:v>
      </x:c>
      <x:c r="AI233" t="n">
        <x:v>92</x:v>
      </x:c>
      <x:c r="AJ233" t="str">
        <x:v>HIGH</x:v>
      </x:c>
    </x:row>
    <x:row r="234">
      <x:c r="A234" s="12" t="str">
        <x:v>E01001144</x:v>
      </x:c>
      <x:c r="B234" s="12" t="str">
        <x:v>Croydon 007E</x:v>
      </x:c>
      <x:c r="C234" s="12" t="str">
        <x:v>Croydon</x:v>
      </x:c>
      <x:c r="D234" s="44" t="n">
        <x:v>51.39967020526046</x:v>
      </x:c>
      <x:c r="E234" s="44" t="n">
        <x:v>-0.08184705821840513</x:v>
      </x:c>
      <x:c r="F234" s="33" t="n">
        <x:v>799</x:v>
      </x:c>
      <x:c r="G234" s="33" t="n">
        <x:v>219</x:v>
      </x:c>
      <x:c r="H234" s="26" t="n">
        <x:v>0.27409261576971217</x:v>
      </x:c>
      <x:c r="I234" s="12" t="n">
        <x:v>3</x:v>
      </x:c>
      <x:c r="J234" s="12" t="n">
        <x:v>84</x:v>
      </x:c>
      <x:c r="K234" s="12"/>
      <x:c r="L234" s="12"/>
      <x:c r="M234" s="12" t="str">
        <x:f>IF(K234="", "", MAX(0,IF(K234&lt;=20,100,IF(K234&lt;=30,85,IF(K234&lt;=40,70,IF(K234&lt;=50,55,IF(K234&lt;=60,40,20)))))-MIN(L234*5,20)))</x:f>
      </x:c>
      <x:c r="N234" s="12"/>
      <x:c r="O234" s="12"/>
      <x:c r="P234" s="12" t="str">
        <x:f>IF(OR(H234="",J234="",M234=""),"",ROUND(PERCENTRANK.INC($H$2:$H$941,H234)*35+J234*0.35+M234*0.30,0))</x:f>
      </x:c>
      <x:c r="Q234" s="12" t="str">
        <x:f>IF(P234="","",IF(P234&gt;=80,"ATTACK",IF(P234&gt;=65,"GROW",IF(P234&gt;=50,"PARTNER","WATCH"))))</x:f>
      </x:c>
      <x:c r="R234" s="12" t="str">
        <x:f>IF(Q234="","",IF(Q234="ATTACK","Grassroots + family acquisition",IF(Q234="GROW","Test local campaign",IF(Q234="PARTNER","Organisation-first partnership","Low priority / validate"))))</x:f>
      </x:c>
      <x:c r="S234" s="45" t="n">
        <x:v>6.97441464549118</x:v>
      </x:c>
      <x:c r="T234" t="str">
        <x:v>NEAR</x:v>
      </x:c>
      <x:c r="U234" s="32" t="n">
        <x:f>PERCENTRANK.INC($G$2:$G$941,G234)</x:f>
        <x:v>0.544</x:v>
      </x:c>
      <x:c r="V234" s="32" t="n">
        <x:f>PERCENTRANK.INC($H$2:$H$941,H234)</x:f>
        <x:v>0.268</x:v>
      </x:c>
      <x:c r="W234" t="n">
        <x:f>ROUND((U234*55+V234*45)*IF(S234&lt;=5,1,IF(S234&lt;=10,0.95,IF(S234&lt;=20,0.85,0.70))),0)</x:f>
        <x:v>40</x:v>
      </x:c>
      <x:c r="X234" t="n">
        <x:v>60</x:v>
      </x:c>
      <x:c r="Y234" t="str">
        <x:v>PARTNER</x:v>
      </x:c>
      <x:c r="Z234" s="12" t="str">
        <x:v>Family + verified grassroots + straight-line geo only; transport not yet routed</x:v>
      </x:c>
      <x:c r="AA234" s="12"/>
      <x:c r="AB234" s="12"/>
      <x:c r="AC234" s="12"/>
      <x:c r="AD234" s="12"/>
      <x:c r="AE234" t="str">
        <x:v>Crystal Palace Women</x:v>
      </x:c>
      <x:c r="AF234" s="45" t="n">
        <x:v>0.27640623065976727</x:v>
      </x:c>
      <x:c r="AG234" t="str">
        <x:v>Dulwich Hamlet Women</x:v>
      </x:c>
      <x:c r="AH234" s="45" t="n">
        <x:v>6.856748478230399</x:v>
      </x:c>
      <x:c r="AI234" t="n">
        <x:v>92</x:v>
      </x:c>
      <x:c r="AJ234" t="str">
        <x:v>HIGH</x:v>
      </x:c>
    </x:row>
    <x:row r="235">
      <x:c r="A235" s="12" t="str">
        <x:v>E01001141</x:v>
      </x:c>
      <x:c r="B235" s="12" t="str">
        <x:v>Croydon 008A</x:v>
      </x:c>
      <x:c r="C235" s="12" t="str">
        <x:v>Croydon</x:v>
      </x:c>
      <x:c r="D235" s="44" t="n">
        <x:v>51.40478749477395</x:v>
      </x:c>
      <x:c r="E235" s="44" t="n">
        <x:v>-0.07371578519957392</x:v>
      </x:c>
      <x:c r="F235" s="33" t="n">
        <x:v>571</x:v>
      </x:c>
      <x:c r="G235" s="33" t="n">
        <x:v>166</x:v>
      </x:c>
      <x:c r="H235" s="26" t="n">
        <x:v>0.29071803852889666</x:v>
      </x:c>
      <x:c r="I235" s="12" t="n">
        <x:v>4</x:v>
      </x:c>
      <x:c r="J235" s="12" t="n">
        <x:v>92</x:v>
      </x:c>
      <x:c r="K235" s="12"/>
      <x:c r="L235" s="12"/>
      <x:c r="M235" s="12" t="str">
        <x:f>IF(K235="", "", MAX(0,IF(K235&lt;=20,100,IF(K235&lt;=30,85,IF(K235&lt;=40,70,IF(K235&lt;=50,55,IF(K235&lt;=60,40,20)))))-MIN(L235*5,20)))</x:f>
      </x:c>
      <x:c r="N235" s="12"/>
      <x:c r="O235" s="12"/>
      <x:c r="P235" s="12" t="str">
        <x:f>IF(OR(H235="",J235="",M235=""),"",ROUND(PERCENTRANK.INC($H$2:$H$941,H235)*35+J235*0.35+M235*0.30,0))</x:f>
      </x:c>
      <x:c r="Q235" s="12" t="str">
        <x:f>IF(P235="","",IF(P235&gt;=80,"ATTACK",IF(P235&gt;=65,"GROW",IF(P235&gt;=50,"PARTNER","WATCH"))))</x:f>
      </x:c>
      <x:c r="R235" s="12" t="str">
        <x:f>IF(Q235="","",IF(Q235="ATTACK","Grassroots + family acquisition",IF(Q235="GROW","Test local campaign",IF(Q235="PARTNER","Organisation-first partnership","Low priority / validate"))))</x:f>
      </x:c>
      <x:c r="S235" s="45" t="n">
        <x:v>6.525785260607208</x:v>
      </x:c>
      <x:c r="T235" t="str">
        <x:v>NEAR</x:v>
      </x:c>
      <x:c r="U235" s="32" t="n">
        <x:f>PERCENTRANK.INC($G$2:$G$941,G235)</x:f>
        <x:v>0.154</x:v>
      </x:c>
      <x:c r="V235" s="32" t="n">
        <x:f>PERCENTRANK.INC($H$2:$H$941,H235)</x:f>
        <x:v>0.35</x:v>
      </x:c>
      <x:c r="W235" t="n">
        <x:f>ROUND((U235*55+V235*45)*IF(S235&lt;=5,1,IF(S235&lt;=10,0.95,IF(S235&lt;=20,0.85,0.70))),0)</x:f>
        <x:v>23</x:v>
      </x:c>
      <x:c r="X235" t="n">
        <x:v>54</x:v>
      </x:c>
      <x:c r="Y235" t="str">
        <x:v>PARTNER</x:v>
      </x:c>
      <x:c r="Z235" s="12" t="str">
        <x:v>Family + verified grassroots + straight-line geo only; transport not yet routed</x:v>
      </x:c>
      <x:c r="AA235" s="12"/>
      <x:c r="AB235" s="12"/>
      <x:c r="AC235" s="12"/>
      <x:c r="AD235" s="12"/>
      <x:c r="AE235" t="str">
        <x:v>Crystal Palace Women</x:v>
      </x:c>
      <x:c r="AF235" s="45" t="n">
        <x:v>1.0736628860339084</x:v>
      </x:c>
      <x:c r="AG235" t="str">
        <x:v>Dulwich Hamlet Women</x:v>
      </x:c>
      <x:c r="AH235" s="45" t="n">
        <x:v>6.32627832959126</x:v>
      </x:c>
      <x:c r="AI235" t="n">
        <x:v>92</x:v>
      </x:c>
      <x:c r="AJ235" t="str">
        <x:v>HIGH</x:v>
      </x:c>
    </x:row>
    <x:row r="236">
      <x:c r="A236" s="12" t="str">
        <x:v>E01001143</x:v>
      </x:c>
      <x:c r="B236" s="12" t="str">
        <x:v>Croydon 008B</x:v>
      </x:c>
      <x:c r="C236" s="12" t="str">
        <x:v>Croydon</x:v>
      </x:c>
      <x:c r="D236" s="44" t="n">
        <x:v>51.401553871156814</x:v>
      </x:c>
      <x:c r="E236" s="44" t="n">
        <x:v>-0.06805601626602971</x:v>
      </x:c>
      <x:c r="F236" s="33" t="n">
        <x:v>826</x:v>
      </x:c>
      <x:c r="G236" s="33" t="n">
        <x:v>257</x:v>
      </x:c>
      <x:c r="H236" s="26" t="n">
        <x:v>0.31113801452784506</x:v>
      </x:c>
      <x:c r="I236" s="12" t="n">
        <x:v>4</x:v>
      </x:c>
      <x:c r="J236" s="12" t="n">
        <x:v>92</x:v>
      </x:c>
      <x:c r="K236" s="12"/>
      <x:c r="L236" s="12"/>
      <x:c r="M236" s="12" t="str">
        <x:f>IF(K236="", "", MAX(0,IF(K236&lt;=20,100,IF(K236&lt;=30,85,IF(K236&lt;=40,70,IF(K236&lt;=50,55,IF(K236&lt;=60,40,20)))))-MIN(L236*5,20)))</x:f>
      </x:c>
      <x:c r="N236" s="12"/>
      <x:c r="O236" s="12"/>
      <x:c r="P236" s="12" t="str">
        <x:f>IF(OR(H236="",J236="",M236=""),"",ROUND(PERCENTRANK.INC($H$2:$H$941,H236)*35+J236*0.35+M236*0.30,0))</x:f>
      </x:c>
      <x:c r="Q236" s="12" t="str">
        <x:f>IF(P236="","",IF(P236&gt;=80,"ATTACK",IF(P236&gt;=65,"GROW",IF(P236&gt;=50,"PARTNER","WATCH"))))</x:f>
      </x:c>
      <x:c r="R236" s="12" t="str">
        <x:f>IF(Q236="","",IF(Q236="ATTACK","Grassroots + family acquisition",IF(Q236="GROW","Test local campaign",IF(Q236="PARTNER","Organisation-first partnership","Low priority / validate"))))</x:f>
      </x:c>
      <x:c r="S236" s="45" t="n">
        <x:v>6.065240009614644</x:v>
      </x:c>
      <x:c r="T236" t="str">
        <x:v>NEAR</x:v>
      </x:c>
      <x:c r="U236" s="32" t="n">
        <x:f>PERCENTRANK.INC($G$2:$G$941,G236)</x:f>
        <x:v>0.816</x:v>
      </x:c>
      <x:c r="V236" s="32" t="n">
        <x:f>PERCENTRANK.INC($H$2:$H$941,H236)</x:f>
        <x:v>0.456</x:v>
      </x:c>
      <x:c r="W236" t="n">
        <x:f>ROUND((U236*55+V236*45)*IF(S236&lt;=5,1,IF(S236&lt;=10,0.95,IF(S236&lt;=20,0.85,0.70))),0)</x:f>
        <x:v>62</x:v>
      </x:c>
      <x:c r="X236" t="n">
        <x:v>76</x:v>
      </x:c>
      <x:c r="Y236" t="str">
        <x:v>GROW</x:v>
      </x:c>
      <x:c r="Z236" s="12" t="str">
        <x:v>Family + verified grassroots + straight-line geo only; transport not yet routed</x:v>
      </x:c>
      <x:c r="AA236" s="12"/>
      <x:c r="AB236" s="12"/>
      <x:c r="AC236" s="12"/>
      <x:c r="AD236" s="12"/>
      <x:c r="AE236" t="str">
        <x:v>Crystal Palace Women</x:v>
      </x:c>
      <x:c r="AF236" s="45" t="n">
        <x:v>1.2404710800862366</x:v>
      </x:c>
      <x:c r="AG236" t="str">
        <x:v>Dulwich Hamlet Women</x:v>
      </x:c>
      <x:c r="AH236" s="45" t="n">
        <x:v>6.736762623195745</x:v>
      </x:c>
      <x:c r="AI236" t="n">
        <x:v>92</x:v>
      </x:c>
      <x:c r="AJ236" t="str">
        <x:v>HIGH</x:v>
      </x:c>
    </x:row>
    <x:row r="237">
      <x:c r="A237" s="12" t="str">
        <x:v>E01001145</x:v>
      </x:c>
      <x:c r="B237" s="12" t="str">
        <x:v>Croydon 008C</x:v>
      </x:c>
      <x:c r="C237" s="12" t="str">
        <x:v>Croydon</x:v>
      </x:c>
      <x:c r="D237" s="44" t="n">
        <x:v>51.39934499970465</x:v>
      </x:c>
      <x:c r="E237" s="44" t="n">
        <x:v>-0.07148710787054935</x:v>
      </x:c>
      <x:c r="F237" s="33" t="n">
        <x:v>871</x:v>
      </x:c>
      <x:c r="G237" s="33" t="n">
        <x:v>284</x:v>
      </x:c>
      <x:c r="H237" s="26" t="n">
        <x:v>0.32606199770378874</x:v>
      </x:c>
      <x:c r="I237" s="12" t="n">
        <x:v>4</x:v>
      </x:c>
      <x:c r="J237" s="12" t="n">
        <x:v>92</x:v>
      </x:c>
      <x:c r="K237" s="12"/>
      <x:c r="L237" s="12"/>
      <x:c r="M237" s="12" t="str">
        <x:f>IF(K237="", "", MAX(0,IF(K237&lt;=20,100,IF(K237&lt;=30,85,IF(K237&lt;=40,70,IF(K237&lt;=50,55,IF(K237&lt;=60,40,20)))))-MIN(L237*5,20)))</x:f>
      </x:c>
      <x:c r="N237" s="12"/>
      <x:c r="O237" s="12"/>
      <x:c r="P237" s="12" t="str">
        <x:f>IF(OR(H237="",J237="",M237=""),"",ROUND(PERCENTRANK.INC($H$2:$H$941,H237)*35+J237*0.35+M237*0.30,0))</x:f>
      </x:c>
      <x:c r="Q237" s="12" t="str">
        <x:f>IF(P237="","",IF(P237&gt;=80,"ATTACK",IF(P237&gt;=65,"GROW",IF(P237&gt;=50,"PARTNER","WATCH"))))</x:f>
      </x:c>
      <x:c r="R237" s="12" t="str">
        <x:f>IF(Q237="","",IF(Q237="ATTACK","Grassroots + family acquisition",IF(Q237="GROW","Test local campaign",IF(Q237="PARTNER","Organisation-first partnership","Low priority / validate"))))</x:f>
      </x:c>
      <x:c r="S237" s="45" t="n">
        <x:v>6.257911574992849</x:v>
      </x:c>
      <x:c r="T237" t="str">
        <x:v>NEAR</x:v>
      </x:c>
      <x:c r="U237" s="32" t="n">
        <x:f>PERCENTRANK.INC($G$2:$G$941,G237)</x:f>
        <x:v>0.912</x:v>
      </x:c>
      <x:c r="V237" s="32" t="n">
        <x:f>PERCENTRANK.INC($H$2:$H$941,H237)</x:f>
        <x:v>0.547</x:v>
      </x:c>
      <x:c r="W237" t="n">
        <x:f>ROUND((U237*55+V237*45)*IF(S237&lt;=5,1,IF(S237&lt;=10,0.95,IF(S237&lt;=20,0.85,0.70))),0)</x:f>
        <x:v>71</x:v>
      </x:c>
      <x:c r="X237" t="n">
        <x:v>81</x:v>
      </x:c>
      <x:c r="Y237" t="str">
        <x:v>ATTACK</x:v>
      </x:c>
      <x:c r="Z237" s="12" t="str">
        <x:v>Family + verified grassroots + straight-line geo only; transport not yet routed</x:v>
      </x:c>
      <x:c r="AA237" s="12"/>
      <x:c r="AB237" s="12"/>
      <x:c r="AC237" s="12"/>
      <x:c r="AD237" s="12"/>
      <x:c r="AE237" t="str">
        <x:v>Crystal Palace Women</x:v>
      </x:c>
      <x:c r="AF237" s="45" t="n">
        <x:v>0.9552205372489768</x:v>
      </x:c>
      <x:c r="AG237" t="str">
        <x:v>Dulwich Hamlet Women</x:v>
      </x:c>
      <x:c r="AH237" s="45" t="n">
        <x:v>6.945525848684269</x:v>
      </x:c>
      <x:c r="AI237" t="n">
        <x:v>92</x:v>
      </x:c>
      <x:c r="AJ237" t="str">
        <x:v>HIGH</x:v>
      </x:c>
    </x:row>
    <x:row r="238">
      <x:c r="A238" s="12" t="str">
        <x:v>E01001191</x:v>
      </x:c>
      <x:c r="B238" s="12" t="str">
        <x:v>Croydon 008D</x:v>
      </x:c>
      <x:c r="C238" s="12" t="str">
        <x:v>Croydon</x:v>
      </x:c>
      <x:c r="D238" s="44" t="n">
        <x:v>51.39598139216255</x:v>
      </x:c>
      <x:c r="E238" s="44" t="n">
        <x:v>-0.07127098927408701</x:v>
      </x:c>
      <x:c r="F238" s="33" t="n">
        <x:v>863</x:v>
      </x:c>
      <x:c r="G238" s="33" t="n">
        <x:v>306</x:v>
      </x:c>
      <x:c r="H238" s="26" t="n">
        <x:v>0.354577056778679</x:v>
      </x:c>
      <x:c r="I238" s="12" t="n">
        <x:v>3</x:v>
      </x:c>
      <x:c r="J238" s="12" t="n">
        <x:v>84</x:v>
      </x:c>
      <x:c r="K238" s="12"/>
      <x:c r="L238" s="12"/>
      <x:c r="M238" s="12" t="str">
        <x:f>IF(K238="", "", MAX(0,IF(K238&lt;=20,100,IF(K238&lt;=30,85,IF(K238&lt;=40,70,IF(K238&lt;=50,55,IF(K238&lt;=60,40,20)))))-MIN(L238*5,20)))</x:f>
      </x:c>
      <x:c r="N238" s="12"/>
      <x:c r="O238" s="12"/>
      <x:c r="P238" s="12" t="str">
        <x:f>IF(OR(H238="",J238="",M238=""),"",ROUND(PERCENTRANK.INC($H$2:$H$941,H238)*35+J238*0.35+M238*0.30,0))</x:f>
      </x:c>
      <x:c r="Q238" s="12" t="str">
        <x:f>IF(P238="","",IF(P238&gt;=80,"ATTACK",IF(P238&gt;=65,"GROW",IF(P238&gt;=50,"PARTNER","WATCH"))))</x:f>
      </x:c>
      <x:c r="R238" s="12" t="str">
        <x:f>IF(Q238="","",IF(Q238="ATTACK","Grassroots + family acquisition",IF(Q238="GROW","Test local campaign",IF(Q238="PARTNER","Organisation-first partnership","Low priority / validate"))))</x:f>
      </x:c>
      <x:c r="S238" s="45" t="n">
        <x:v>6.198656500178588</x:v>
      </x:c>
      <x:c r="T238" t="str">
        <x:v>NEAR</x:v>
      </x:c>
      <x:c r="U238" s="32" t="n">
        <x:f>PERCENTRANK.INC($G$2:$G$941,G238)</x:f>
        <x:v>0.946</x:v>
      </x:c>
      <x:c r="V238" s="32" t="n">
        <x:f>PERCENTRANK.INC($H$2:$H$941,H238)</x:f>
        <x:v>0.713</x:v>
      </x:c>
      <x:c r="W238" t="n">
        <x:f>ROUND((U238*55+V238*45)*IF(S238&lt;=5,1,IF(S238&lt;=10,0.95,IF(S238&lt;=20,0.85,0.70))),0)</x:f>
        <x:v>80</x:v>
      </x:c>
      <x:c r="X238" t="n">
        <x:v>82</x:v>
      </x:c>
      <x:c r="Y238" t="str">
        <x:v>ATTACK</x:v>
      </x:c>
      <x:c r="Z238" s="12" t="str">
        <x:v>Family + verified grassroots + straight-line geo only; transport not yet routed</x:v>
      </x:c>
      <x:c r="AA238" s="12"/>
      <x:c r="AB238" s="12"/>
      <x:c r="AC238" s="12"/>
      <x:c r="AD238" s="12"/>
      <x:c r="AE238" t="str">
        <x:v>Crystal Palace Women</x:v>
      </x:c>
      <x:c r="AF238" s="45" t="n">
        <x:v>0.9962258194524564</x:v>
      </x:c>
      <x:c r="AG238" t="str">
        <x:v>Dulwich Hamlet Women</x:v>
      </x:c>
      <x:c r="AH238" s="45" t="n">
        <x:v>7.318564381069674</x:v>
      </x:c>
      <x:c r="AI238" t="n">
        <x:v>92</x:v>
      </x:c>
      <x:c r="AJ238" t="str">
        <x:v>HIGH</x:v>
      </x:c>
    </x:row>
    <x:row r="239">
      <x:c r="A239" s="12" t="str">
        <x:v>E01001192</x:v>
      </x:c>
      <x:c r="B239" s="12" t="str">
        <x:v>Croydon 008E</x:v>
      </x:c>
      <x:c r="C239" s="12" t="str">
        <x:v>Croydon</x:v>
      </x:c>
      <x:c r="D239" s="44" t="n">
        <x:v>51.39701685638881</x:v>
      </x:c>
      <x:c r="E239" s="44" t="n">
        <x:v>-0.0672077926211082</x:v>
      </x:c>
      <x:c r="F239" s="33" t="n">
        <x:v>693</x:v>
      </x:c>
      <x:c r="G239" s="33" t="n">
        <x:v>208</x:v>
      </x:c>
      <x:c r="H239" s="26" t="n">
        <x:v>0.30014430014430016</x:v>
      </x:c>
      <x:c r="I239" s="12" t="n">
        <x:v>5</x:v>
      </x:c>
      <x:c r="J239" s="12" t="n">
        <x:v>100</x:v>
      </x:c>
      <x:c r="K239" s="12"/>
      <x:c r="L239" s="12"/>
      <x:c r="M239" s="12" t="str">
        <x:f>IF(K239="", "", MAX(0,IF(K239&lt;=20,100,IF(K239&lt;=30,85,IF(K239&lt;=40,70,IF(K239&lt;=50,55,IF(K239&lt;=60,40,20)))))-MIN(L239*5,20)))</x:f>
      </x:c>
      <x:c r="N239" s="12"/>
      <x:c r="O239" s="12"/>
      <x:c r="P239" s="12" t="str">
        <x:f>IF(OR(H239="",J239="",M239=""),"",ROUND(PERCENTRANK.INC($H$2:$H$941,H239)*35+J239*0.35+M239*0.30,0))</x:f>
      </x:c>
      <x:c r="Q239" s="12" t="str">
        <x:f>IF(P239="","",IF(P239&gt;=80,"ATTACK",IF(P239&gt;=65,"GROW",IF(P239&gt;=50,"PARTNER","WATCH"))))</x:f>
      </x:c>
      <x:c r="R239" s="12" t="str">
        <x:f>IF(Q239="","",IF(Q239="ATTACK","Grassroots + family acquisition",IF(Q239="GROW","Test local campaign",IF(Q239="PARTNER","Organisation-first partnership","Low priority / validate"))))</x:f>
      </x:c>
      <x:c r="S239" s="45" t="n">
        <x:v>5.929785106084963</x:v>
      </x:c>
      <x:c r="T239" t="str">
        <x:v>NEAR</x:v>
      </x:c>
      <x:c r="U239" s="32" t="n">
        <x:f>PERCENTRANK.INC($G$2:$G$941,G239)</x:f>
        <x:v>0.448</x:v>
      </x:c>
      <x:c r="V239" s="32" t="n">
        <x:f>PERCENTRANK.INC($H$2:$H$941,H239)</x:f>
        <x:v>0.395</x:v>
      </x:c>
      <x:c r="W239" t="n">
        <x:f>ROUND((U239*55+V239*45)*IF(S239&lt;=5,1,IF(S239&lt;=10,0.95,IF(S239&lt;=20,0.85,0.70))),0)</x:f>
        <x:v>40</x:v>
      </x:c>
      <x:c r="X239" t="n">
        <x:v>68</x:v>
      </x:c>
      <x:c r="Y239" t="str">
        <x:v>GROW</x:v>
      </x:c>
      <x:c r="Z239" s="12" t="str">
        <x:v>Family + verified grassroots + straight-line geo only; transport not yet routed</x:v>
      </x:c>
      <x:c r="AA239" s="12"/>
      <x:c r="AB239" s="12"/>
      <x:c r="AC239" s="12"/>
      <x:c r="AD239" s="12"/>
      <x:c r="AE239" t="str">
        <x:v>Crystal Palace Women</x:v>
      </x:c>
      <x:c r="AF239" s="45" t="n">
        <x:v>1.2526561890706398</x:v>
      </x:c>
      <x:c r="AG239" t="str">
        <x:v>Dulwich Hamlet Women</x:v>
      </x:c>
      <x:c r="AH239" s="45" t="n">
        <x:v>7.244123926874031</x:v>
      </x:c>
      <x:c r="AI239" t="n">
        <x:v>92</x:v>
      </x:c>
      <x:c r="AJ239" t="str">
        <x:v>HIGH</x:v>
      </x:c>
    </x:row>
    <x:row r="240">
      <x:c r="A240" s="12" t="str">
        <x:v>E01000994</x:v>
      </x:c>
      <x:c r="B240" s="12" t="str">
        <x:v>Croydon 009A</x:v>
      </x:c>
      <x:c r="C240" s="12" t="str">
        <x:v>Croydon</x:v>
      </x:c>
      <x:c r="D240" s="44" t="n">
        <x:v>51.40235930654252</x:v>
      </x:c>
      <x:c r="E240" s="44" t="n">
        <x:v>-0.11095398491060172</x:v>
      </x:c>
      <x:c r="F240" s="33" t="n">
        <x:v>535</x:v>
      </x:c>
      <x:c r="G240" s="33" t="n">
        <x:v>202</x:v>
      </x:c>
      <x:c r="H240" s="26" t="n">
        <x:v>0.3775700934579439</x:v>
      </x:c>
      <x:c r="I240" s="12" t="n">
        <x:v>3</x:v>
      </x:c>
      <x:c r="J240" s="12" t="n">
        <x:v>76</x:v>
      </x:c>
      <x:c r="K240" s="12"/>
      <x:c r="L240" s="12"/>
      <x:c r="M240" s="12" t="str">
        <x:f>IF(K240="", "", MAX(0,IF(K240&lt;=20,100,IF(K240&lt;=30,85,IF(K240&lt;=40,70,IF(K240&lt;=50,55,IF(K240&lt;=60,40,20)))))-MIN(L240*5,20)))</x:f>
      </x:c>
      <x:c r="N240" s="12"/>
      <x:c r="O240" s="12"/>
      <x:c r="P240" s="12" t="str">
        <x:f>IF(OR(H240="",J240="",M240=""),"",ROUND(PERCENTRANK.INC($H$2:$H$941,H240)*35+J240*0.35+M240*0.30,0))</x:f>
      </x:c>
      <x:c r="Q240" s="12" t="str">
        <x:f>IF(P240="","",IF(P240&gt;=80,"ATTACK",IF(P240&gt;=65,"GROW",IF(P240&gt;=50,"PARTNER","WATCH"))))</x:f>
      </x:c>
      <x:c r="R240" s="12" t="str">
        <x:f>IF(Q240="","",IF(Q240="ATTACK","Grassroots + family acquisition",IF(Q240="GROW","Test local campaign",IF(Q240="PARTNER","Organisation-first partnership","Low priority / validate"))))</x:f>
      </x:c>
      <x:c r="S240" s="45" t="n">
        <x:v>9.015542235628207</x:v>
      </x:c>
      <x:c r="T240" t="str">
        <x:v>NEAR</x:v>
      </x:c>
      <x:c r="U240" s="32" t="n">
        <x:f>PERCENTRANK.INC($G$2:$G$941,G240)</x:f>
        <x:v>0.41</x:v>
      </x:c>
      <x:c r="V240" s="32" t="n">
        <x:f>PERCENTRANK.INC($H$2:$H$941,H240)</x:f>
        <x:v>0.822</x:v>
      </x:c>
      <x:c r="W240" t="n">
        <x:f>ROUND((U240*55+V240*45)*IF(S240&lt;=5,1,IF(S240&lt;=10,0.95,IF(S240&lt;=20,0.85,0.70))),0)</x:f>
        <x:v>57</x:v>
      </x:c>
      <x:c r="X240" t="n">
        <x:v>65</x:v>
      </x:c>
      <x:c r="Y240" t="str">
        <x:v>GROW</x:v>
      </x:c>
      <x:c r="Z240" s="12" t="str">
        <x:v>Family + verified grassroots + straight-line geo only; transport not yet routed</x:v>
      </x:c>
      <x:c r="AA240" s="12"/>
      <x:c r="AB240" s="12"/>
      <x:c r="AC240" s="12"/>
      <x:c r="AD240" s="12"/>
      <x:c r="AE240" t="str">
        <x:v>Crystal Palace Women</x:v>
      </x:c>
      <x:c r="AF240" s="45" t="n">
        <x:v>1.846646611711841</x:v>
      </x:c>
      <x:c r="AG240" t="str">
        <x:v>AFC Wimbledon Women</x:v>
      </x:c>
      <x:c r="AH240" s="45" t="n">
        <x:v>6.166110101633276</x:v>
      </x:c>
      <x:c r="AI240" t="n">
        <x:v>92</x:v>
      </x:c>
      <x:c r="AJ240" t="str">
        <x:v>HIGH</x:v>
      </x:c>
    </x:row>
    <x:row r="241">
      <x:c r="A241" s="12" t="str">
        <x:v>E01000995</x:v>
      </x:c>
      <x:c r="B241" s="12" t="str">
        <x:v>Croydon 009B</x:v>
      </x:c>
      <x:c r="C241" s="12" t="str">
        <x:v>Croydon</x:v>
      </x:c>
      <x:c r="D241" s="44" t="n">
        <x:v>51.40034195825361</x:v>
      </x:c>
      <x:c r="E241" s="44" t="n">
        <x:v>-0.11578709856438552</x:v>
      </x:c>
      <x:c r="F241" s="33" t="n">
        <x:v>606</x:v>
      </x:c>
      <x:c r="G241" s="33" t="n">
        <x:v>232</x:v>
      </x:c>
      <x:c r="H241" s="26" t="n">
        <x:v>0.38283828382838286</x:v>
      </x:c>
      <x:c r="I241" s="12" t="n">
        <x:v>3</x:v>
      </x:c>
      <x:c r="J241" s="12" t="n">
        <x:v>68</x:v>
      </x:c>
      <x:c r="K241" s="12"/>
      <x:c r="L241" s="12"/>
      <x:c r="M241" s="12" t="str">
        <x:f>IF(K241="", "", MAX(0,IF(K241&lt;=20,100,IF(K241&lt;=30,85,IF(K241&lt;=40,70,IF(K241&lt;=50,55,IF(K241&lt;=60,40,20)))))-MIN(L241*5,20)))</x:f>
      </x:c>
      <x:c r="N241" s="12"/>
      <x:c r="O241" s="12"/>
      <x:c r="P241" s="12" t="str">
        <x:f>IF(OR(H241="",J241="",M241=""),"",ROUND(PERCENTRANK.INC($H$2:$H$941,H241)*35+J241*0.35+M241*0.30,0))</x:f>
      </x:c>
      <x:c r="Q241" s="12" t="str">
        <x:f>IF(P241="","",IF(P241&gt;=80,"ATTACK",IF(P241&gt;=65,"GROW",IF(P241&gt;=50,"PARTNER","WATCH"))))</x:f>
      </x:c>
      <x:c r="R241" s="12" t="str">
        <x:f>IF(Q241="","",IF(Q241="ATTACK","Grassroots + family acquisition",IF(Q241="GROW","Test local campaign",IF(Q241="PARTNER","Organisation-first partnership","Low priority / validate"))))</x:f>
      </x:c>
      <x:c r="S241" s="45" t="n">
        <x:v>9.320152468986779</x:v>
      </x:c>
      <x:c r="T241" t="str">
        <x:v>NEAR</x:v>
      </x:c>
      <x:c r="U241" s="32" t="n">
        <x:f>PERCENTRANK.INC($G$2:$G$941,G241)</x:f>
        <x:v>0.648</x:v>
      </x:c>
      <x:c r="V241" s="32" t="n">
        <x:f>PERCENTRANK.INC($H$2:$H$941,H241)</x:f>
        <x:v>0.845</x:v>
      </x:c>
      <x:c r="W241" t="n">
        <x:f>ROUND((U241*55+V241*45)*IF(S241&lt;=5,1,IF(S241&lt;=10,0.95,IF(S241&lt;=20,0.85,0.70))),0)</x:f>
        <x:v>70</x:v>
      </x:c>
      <x:c r="X241" t="n">
        <x:v>69</x:v>
      </x:c>
      <x:c r="Y241" t="str">
        <x:v>GROW</x:v>
      </x:c>
      <x:c r="Z241" s="12" t="str">
        <x:v>Family + verified grassroots + straight-line geo only; transport not yet routed</x:v>
      </x:c>
      <x:c r="AA241" s="12"/>
      <x:c r="AB241" s="12"/>
      <x:c r="AC241" s="12"/>
      <x:c r="AD241" s="12"/>
      <x:c r="AE241" t="str">
        <x:v>Crystal Palace Women</x:v>
      </x:c>
      <x:c r="AF241" s="45" t="n">
        <x:v>2.1377303894297524</x:v>
      </x:c>
      <x:c r="AG241" t="str">
        <x:v>AFC Wimbledon Women</x:v>
      </x:c>
      <x:c r="AH241" s="45" t="n">
        <x:v>6.008151400271568</x:v>
      </x:c>
      <x:c r="AI241" t="n">
        <x:v>92</x:v>
      </x:c>
      <x:c r="AJ241" t="str">
        <x:v>HIGH</x:v>
      </x:c>
    </x:row>
    <x:row r="242">
      <x:c r="A242" s="12" t="str">
        <x:v>E01000996</x:v>
      </x:c>
      <x:c r="B242" s="12" t="str">
        <x:v>Croydon 009C</x:v>
      </x:c>
      <x:c r="C242" s="12" t="str">
        <x:v>Croydon</x:v>
      </x:c>
      <x:c r="D242" s="44" t="n">
        <x:v>51.399712300007536</x:v>
      </x:c>
      <x:c r="E242" s="44" t="n">
        <x:v>-0.10980870589010905</x:v>
      </x:c>
      <x:c r="F242" s="33" t="n">
        <x:v>450</x:v>
      </x:c>
      <x:c r="G242" s="33" t="n">
        <x:v>143</x:v>
      </x:c>
      <x:c r="H242" s="26" t="n">
        <x:v>0.31777777777777777</x:v>
      </x:c>
      <x:c r="I242" s="12" t="n">
        <x:v>3</x:v>
      </x:c>
      <x:c r="J242" s="12" t="n">
        <x:v>76</x:v>
      </x:c>
      <x:c r="K242" s="12"/>
      <x:c r="L242" s="12"/>
      <x:c r="M242" s="12" t="str">
        <x:f>IF(K242="", "", MAX(0,IF(K242&lt;=20,100,IF(K242&lt;=30,85,IF(K242&lt;=40,70,IF(K242&lt;=50,55,IF(K242&lt;=60,40,20)))))-MIN(L242*5,20)))</x:f>
      </x:c>
      <x:c r="N242" s="12"/>
      <x:c r="O242" s="12"/>
      <x:c r="P242" s="12" t="str">
        <x:f>IF(OR(H242="",J242="",M242=""),"",ROUND(PERCENTRANK.INC($H$2:$H$941,H242)*35+J242*0.35+M242*0.30,0))</x:f>
      </x:c>
      <x:c r="Q242" s="12" t="str">
        <x:f>IF(P242="","",IF(P242&gt;=80,"ATTACK",IF(P242&gt;=65,"GROW",IF(P242&gt;=50,"PARTNER","WATCH"))))</x:f>
      </x:c>
      <x:c r="R242" s="12" t="str">
        <x:f>IF(Q242="","",IF(Q242="ATTACK","Grassroots + family acquisition",IF(Q242="GROW","Test local campaign",IF(Q242="PARTNER","Organisation-first partnership","Low priority / validate"))))</x:f>
      </x:c>
      <x:c r="S242" s="45" t="n">
        <x:v>8.900245425542124</x:v>
      </x:c>
      <x:c r="T242" t="str">
        <x:v>NEAR</x:v>
      </x:c>
      <x:c r="U242" s="32" t="n">
        <x:f>PERCENTRANK.INC($G$2:$G$941,G242)</x:f>
        <x:v>0.073</x:v>
      </x:c>
      <x:c r="V242" s="32" t="n">
        <x:f>PERCENTRANK.INC($H$2:$H$941,H242)</x:f>
        <x:v>0.499</x:v>
      </x:c>
      <x:c r="W242" t="n">
        <x:f>ROUND((U242*55+V242*45)*IF(S242&lt;=5,1,IF(S242&lt;=10,0.95,IF(S242&lt;=20,0.85,0.70))),0)</x:f>
        <x:v>25</x:v>
      </x:c>
      <x:c r="X242" t="n">
        <x:v>48</x:v>
      </x:c>
      <x:c r="Y242" t="str">
        <x:v>WATCH</x:v>
      </x:c>
      <x:c r="Z242" s="12" t="str">
        <x:v>Family + verified grassroots + straight-line geo only; transport not yet routed</x:v>
      </x:c>
      <x:c r="AA242" s="12"/>
      <x:c r="AB242" s="12"/>
      <x:c r="AC242" s="12"/>
      <x:c r="AD242" s="12"/>
      <x:c r="AE242" t="str">
        <x:v>Crystal Palace Women</x:v>
      </x:c>
      <x:c r="AF242" s="45" t="n">
        <x:v>1.7180675491089126</x:v>
      </x:c>
      <x:c r="AG242" t="str">
        <x:v>AFC Wimbledon Women</x:v>
      </x:c>
      <x:c r="AH242" s="45" t="n">
        <x:v>6.390823018240781</x:v>
      </x:c>
      <x:c r="AI242" t="n">
        <x:v>92</x:v>
      </x:c>
      <x:c r="AJ242" t="str">
        <x:v>HIGH</x:v>
      </x:c>
    </x:row>
    <x:row r="243">
      <x:c r="A243" s="12" t="str">
        <x:v>E01000997</x:v>
      </x:c>
      <x:c r="B243" s="12" t="str">
        <x:v>Croydon 009D</x:v>
      </x:c>
      <x:c r="C243" s="12" t="str">
        <x:v>Croydon</x:v>
      </x:c>
      <x:c r="D243" s="44" t="n">
        <x:v>51.39771771703163</x:v>
      </x:c>
      <x:c r="E243" s="44" t="n">
        <x:v>-0.10753231724789042</x:v>
      </x:c>
      <x:c r="F243" s="33" t="n">
        <x:v>492</x:v>
      </x:c>
      <x:c r="G243" s="33" t="n">
        <x:v>182</x:v>
      </x:c>
      <x:c r="H243" s="26" t="n">
        <x:v>0.3699186991869919</x:v>
      </x:c>
      <x:c r="I243" s="12" t="n">
        <x:v>3</x:v>
      </x:c>
      <x:c r="J243" s="12" t="n">
        <x:v>83</x:v>
      </x:c>
      <x:c r="K243" s="12"/>
      <x:c r="L243" s="12"/>
      <x:c r="M243" s="12" t="str">
        <x:f>IF(K243="", "", MAX(0,IF(K243&lt;=20,100,IF(K243&lt;=30,85,IF(K243&lt;=40,70,IF(K243&lt;=50,55,IF(K243&lt;=60,40,20)))))-MIN(L243*5,20)))</x:f>
      </x:c>
      <x:c r="N243" s="12"/>
      <x:c r="O243" s="12"/>
      <x:c r="P243" s="12" t="str">
        <x:f>IF(OR(H243="",J243="",M243=""),"",ROUND(PERCENTRANK.INC($H$2:$H$941,H243)*35+J243*0.35+M243*0.30,0))</x:f>
      </x:c>
      <x:c r="Q243" s="12" t="str">
        <x:f>IF(P243="","",IF(P243&gt;=80,"ATTACK",IF(P243&gt;=65,"GROW",IF(P243&gt;=50,"PARTNER","WATCH"))))</x:f>
      </x:c>
      <x:c r="R243" s="12" t="str">
        <x:f>IF(Q243="","",IF(Q243="ATTACK","Grassroots + family acquisition",IF(Q243="GROW","Test local campaign",IF(Q243="PARTNER","Organisation-first partnership","Low priority / validate"))))</x:f>
      </x:c>
      <x:c r="S243" s="45" t="n">
        <x:v>8.721624809296657</x:v>
      </x:c>
      <x:c r="T243" t="str">
        <x:v>NEAR</x:v>
      </x:c>
      <x:c r="U243" s="32" t="n">
        <x:f>PERCENTRANK.INC($G$2:$G$941,G243)</x:f>
        <x:v>0.238</x:v>
      </x:c>
      <x:c r="V243" s="32" t="n">
        <x:f>PERCENTRANK.INC($H$2:$H$941,H243)</x:f>
        <x:v>0.796</x:v>
      </x:c>
      <x:c r="W243" t="n">
        <x:f>ROUND((U243*55+V243*45)*IF(S243&lt;=5,1,IF(S243&lt;=10,0.95,IF(S243&lt;=20,0.85,0.70))),0)</x:f>
        <x:v>46</x:v>
      </x:c>
      <x:c r="X243" t="n">
        <x:v>63</x:v>
      </x:c>
      <x:c r="Y243" t="str">
        <x:v>PARTNER</x:v>
      </x:c>
      <x:c r="Z243" s="12" t="str">
        <x:v>Family + verified grassroots + straight-line geo only; transport not yet routed</x:v>
      </x:c>
      <x:c r="AA243" s="12"/>
      <x:c r="AB243" s="12"/>
      <x:c r="AC243" s="12"/>
      <x:c r="AD243" s="12"/>
      <x:c r="AE243" t="str">
        <x:v>Crystal Palace Women</x:v>
      </x:c>
      <x:c r="AF243" s="45" t="n">
        <x:v>1.5540399329587076</x:v>
      </x:c>
      <x:c r="AG243" t="str">
        <x:v>AFC Wimbledon Women</x:v>
      </x:c>
      <x:c r="AH243" s="45" t="n">
        <x:v>6.64533331444365</x:v>
      </x:c>
      <x:c r="AI243" t="n">
        <x:v>92</x:v>
      </x:c>
      <x:c r="AJ243" t="str">
        <x:v>HIGH</x:v>
      </x:c>
    </x:row>
    <x:row r="244">
      <x:c r="A244" s="12" t="str">
        <x:v>E01000999</x:v>
      </x:c>
      <x:c r="B244" s="12" t="str">
        <x:v>Croydon 009E</x:v>
      </x:c>
      <x:c r="C244" s="12" t="str">
        <x:v>Croydon</x:v>
      </x:c>
      <x:c r="D244" s="44" t="n">
        <x:v>51.39740162506951</x:v>
      </x:c>
      <x:c r="E244" s="44" t="n">
        <x:v>-0.11249676966264613</x:v>
      </x:c>
      <x:c r="F244" s="33" t="n">
        <x:v>433</x:v>
      </x:c>
      <x:c r="G244" s="33" t="n">
        <x:v>153</x:v>
      </x:c>
      <x:c r="H244" s="26" t="n">
        <x:v>0.3533487297921478</x:v>
      </x:c>
      <x:c r="I244" s="12" t="n">
        <x:v>3</x:v>
      </x:c>
      <x:c r="J244" s="12" t="n">
        <x:v>83</x:v>
      </x:c>
      <x:c r="K244" s="12"/>
      <x:c r="L244" s="12"/>
      <x:c r="M244" s="12" t="str">
        <x:f>IF(K244="", "", MAX(0,IF(K244&lt;=20,100,IF(K244&lt;=30,85,IF(K244&lt;=40,70,IF(K244&lt;=50,55,IF(K244&lt;=60,40,20)))))-MIN(L244*5,20)))</x:f>
      </x:c>
      <x:c r="N244" s="12"/>
      <x:c r="O244" s="12"/>
      <x:c r="P244" s="12" t="str">
        <x:f>IF(OR(H244="",J244="",M244=""),"",ROUND(PERCENTRANK.INC($H$2:$H$941,H244)*35+J244*0.35+M244*0.30,0))</x:f>
      </x:c>
      <x:c r="Q244" s="12" t="str">
        <x:f>IF(P244="","",IF(P244&gt;=80,"ATTACK",IF(P244&gt;=65,"GROW",IF(P244&gt;=50,"PARTNER","WATCH"))))</x:f>
      </x:c>
      <x:c r="R244" s="12" t="str">
        <x:f>IF(Q244="","",IF(Q244="ATTACK","Grassroots + family acquisition",IF(Q244="GROW","Test local campaign",IF(Q244="PARTNER","Organisation-first partnership","Low priority / validate"))))</x:f>
      </x:c>
      <x:c r="S244" s="45" t="n">
        <x:v>9.062035072482901</x:v>
      </x:c>
      <x:c r="T244" t="str">
        <x:v>NEAR</x:v>
      </x:c>
      <x:c r="U244" s="32" t="n">
        <x:f>PERCENTRANK.INC($G$2:$G$941,G244)</x:f>
        <x:v>0.101</x:v>
      </x:c>
      <x:c r="V244" s="32" t="n">
        <x:f>PERCENTRANK.INC($H$2:$H$941,H244)</x:f>
        <x:v>0.703</x:v>
      </x:c>
      <x:c r="W244" t="n">
        <x:f>ROUND((U244*55+V244*45)*IF(S244&lt;=5,1,IF(S244&lt;=10,0.95,IF(S244&lt;=20,0.85,0.70))),0)</x:f>
        <x:v>35</x:v>
      </x:c>
      <x:c r="X244" t="n">
        <x:v>57</x:v>
      </x:c>
      <x:c r="Y244" t="str">
        <x:v>PARTNER</x:v>
      </x:c>
      <x:c r="Z244" s="12" t="str">
        <x:v>Family + verified grassroots + straight-line geo only; transport not yet routed</x:v>
      </x:c>
      <x:c r="AA244" s="12"/>
      <x:c r="AB244" s="12"/>
      <x:c r="AC244" s="12"/>
      <x:c r="AD244" s="12"/>
      <x:c r="AE244" t="str">
        <x:v>Crystal Palace Women</x:v>
      </x:c>
      <x:c r="AF244" s="45" t="n">
        <x:v>1.899711465736329</x:v>
      </x:c>
      <x:c r="AG244" t="str">
        <x:v>AFC Wimbledon Women</x:v>
      </x:c>
      <x:c r="AH244" s="45" t="n">
        <x:v>6.383954318914514</x:v>
      </x:c>
      <x:c r="AI244" t="n">
        <x:v>92</x:v>
      </x:c>
      <x:c r="AJ244" t="str">
        <x:v>HIGH</x:v>
      </x:c>
    </x:row>
    <x:row r="245">
      <x:c r="A245" s="12" t="str">
        <x:v>E01001002</x:v>
      </x:c>
      <x:c r="B245" s="12" t="str">
        <x:v>Croydon 009F</x:v>
      </x:c>
      <x:c r="C245" s="12" t="str">
        <x:v>Croydon</x:v>
      </x:c>
      <x:c r="D245" s="44" t="n">
        <x:v>51.39419918648628</x:v>
      </x:c>
      <x:c r="E245" s="44" t="n">
        <x:v>-0.10741159223917308</x:v>
      </x:c>
      <x:c r="F245" s="33" t="n">
        <x:v>521</x:v>
      </x:c>
      <x:c r="G245" s="33" t="n">
        <x:v>198</x:v>
      </x:c>
      <x:c r="H245" s="26" t="n">
        <x:v>0.3800383877159309</x:v>
      </x:c>
      <x:c r="I245" s="12" t="n">
        <x:v>3</x:v>
      </x:c>
      <x:c r="J245" s="12" t="n">
        <x:v>91</x:v>
      </x:c>
      <x:c r="K245" s="12"/>
      <x:c r="L245" s="12"/>
      <x:c r="M245" s="12" t="str">
        <x:f>IF(K245="", "", MAX(0,IF(K245&lt;=20,100,IF(K245&lt;=30,85,IF(K245&lt;=40,70,IF(K245&lt;=50,55,IF(K245&lt;=60,40,20)))))-MIN(L245*5,20)))</x:f>
      </x:c>
      <x:c r="N245" s="12"/>
      <x:c r="O245" s="12"/>
      <x:c r="P245" s="12" t="str">
        <x:f>IF(OR(H245="",J245="",M245=""),"",ROUND(PERCENTRANK.INC($H$2:$H$941,H245)*35+J245*0.35+M245*0.30,0))</x:f>
      </x:c>
      <x:c r="Q245" s="12" t="str">
        <x:f>IF(P245="","",IF(P245&gt;=80,"ATTACK",IF(P245&gt;=65,"GROW",IF(P245&gt;=50,"PARTNER","WATCH"))))</x:f>
      </x:c>
      <x:c r="R245" s="12" t="str">
        <x:f>IF(Q245="","",IF(Q245="ATTACK","Grassroots + family acquisition",IF(Q245="GROW","Test local campaign",IF(Q245="PARTNER","Organisation-first partnership","Low priority / validate"))))</x:f>
      </x:c>
      <x:c r="S245" s="45" t="n">
        <x:v>8.688741003902019</x:v>
      </x:c>
      <x:c r="T245" t="str">
        <x:v>NEAR</x:v>
      </x:c>
      <x:c r="U245" s="32" t="n">
        <x:f>PERCENTRANK.INC($G$2:$G$941,G245)</x:f>
        <x:v>0.365</x:v>
      </x:c>
      <x:c r="V245" s="32" t="n">
        <x:f>PERCENTRANK.INC($H$2:$H$941,H245)</x:f>
        <x:v>0.828</x:v>
      </x:c>
      <x:c r="W245" t="n">
        <x:f>ROUND((U245*55+V245*45)*IF(S245&lt;=5,1,IF(S245&lt;=10,0.95,IF(S245&lt;=20,0.85,0.70))),0)</x:f>
        <x:v>54</x:v>
      </x:c>
      <x:c r="X245" t="n">
        <x:v>71</x:v>
      </x:c>
      <x:c r="Y245" t="str">
        <x:v>GROW</x:v>
      </x:c>
      <x:c r="Z245" s="12" t="str">
        <x:v>Family + verified grassroots + straight-line geo only; transport not yet routed</x:v>
      </x:c>
      <x:c r="AA245" s="12"/>
      <x:c r="AB245" s="12"/>
      <x:c r="AC245" s="12"/>
      <x:c r="AD245" s="12"/>
      <x:c r="AE245" t="str">
        <x:v>Crystal Palace Women</x:v>
      </x:c>
      <x:c r="AF245" s="45" t="n">
        <x:v>1.6097448134482968</x:v>
      </x:c>
      <x:c r="AG245" t="str">
        <x:v>AFC Wimbledon Women</x:v>
      </x:c>
      <x:c r="AH245" s="45" t="n">
        <x:v>6.879363159520088</x:v>
      </x:c>
      <x:c r="AI245" t="n">
        <x:v>92</x:v>
      </x:c>
      <x:c r="AJ245" t="str">
        <x:v>HIGH</x:v>
      </x:c>
    </x:row>
    <x:row r="246">
      <x:c r="A246" s="12" t="str">
        <x:v>E01000998</x:v>
      </x:c>
      <x:c r="B246" s="12" t="str">
        <x:v>Croydon 010A</x:v>
      </x:c>
      <x:c r="C246" s="12" t="str">
        <x:v>Croydon</x:v>
      </x:c>
      <x:c r="D246" s="44" t="n">
        <x:v>51.398961117438084</x:v>
      </x:c>
      <x:c r="E246" s="44" t="n">
        <x:v>-0.10421852454979393</x:v>
      </x:c>
      <x:c r="F246" s="33" t="n">
        <x:v>586</x:v>
      </x:c>
      <x:c r="G246" s="33" t="n">
        <x:v>170</x:v>
      </x:c>
      <x:c r="H246" s="26" t="n">
        <x:v>0.2901023890784983</x:v>
      </x:c>
      <x:c r="I246" s="12" t="n">
        <x:v>3</x:v>
      </x:c>
      <x:c r="J246" s="12" t="n">
        <x:v>76</x:v>
      </x:c>
      <x:c r="K246" s="12"/>
      <x:c r="L246" s="12"/>
      <x:c r="M246" s="12" t="str">
        <x:f>IF(K246="", "", MAX(0,IF(K246&lt;=20,100,IF(K246&lt;=30,85,IF(K246&lt;=40,70,IF(K246&lt;=50,55,IF(K246&lt;=60,40,20)))))-MIN(L246*5,20)))</x:f>
      </x:c>
      <x:c r="N246" s="12"/>
      <x:c r="O246" s="12"/>
      <x:c r="P246" s="12" t="str">
        <x:f>IF(OR(H246="",J246="",M246=""),"",ROUND(PERCENTRANK.INC($H$2:$H$941,H246)*35+J246*0.35+M246*0.30,0))</x:f>
      </x:c>
      <x:c r="Q246" s="12" t="str">
        <x:f>IF(P246="","",IF(P246&gt;=80,"ATTACK",IF(P246&gt;=65,"GROW",IF(P246&gt;=50,"PARTNER","WATCH"))))</x:f>
      </x:c>
      <x:c r="R246" s="12" t="str">
        <x:f>IF(Q246="","",IF(Q246="ATTACK","Grassroots + family acquisition",IF(Q246="GROW","Test local campaign",IF(Q246="PARTNER","Organisation-first partnership","Low priority / validate"))))</x:f>
      </x:c>
      <x:c r="S246" s="45" t="n">
        <x:v>8.505773205180551</x:v>
      </x:c>
      <x:c r="T246" t="str">
        <x:v>NEAR</x:v>
      </x:c>
      <x:c r="U246" s="32" t="n">
        <x:f>PERCENTRANK.INC($G$2:$G$941,G246)</x:f>
        <x:v>0.172</x:v>
      </x:c>
      <x:c r="V246" s="32" t="n">
        <x:f>PERCENTRANK.INC($H$2:$H$941,H246)</x:f>
        <x:v>0.347</x:v>
      </x:c>
      <x:c r="W246" t="n">
        <x:f>ROUND((U246*55+V246*45)*IF(S246&lt;=5,1,IF(S246&lt;=10,0.95,IF(S246&lt;=20,0.85,0.70))),0)</x:f>
        <x:v>24</x:v>
      </x:c>
      <x:c r="X246" t="n">
        <x:v>47</x:v>
      </x:c>
      <x:c r="Y246" t="str">
        <x:v>WATCH</x:v>
      </x:c>
      <x:c r="Z246" s="12" t="str">
        <x:v>Family + verified grassroots + straight-line geo only; transport not yet routed</x:v>
      </x:c>
      <x:c r="AA246" s="12"/>
      <x:c r="AB246" s="12"/>
      <x:c r="AC246" s="12"/>
      <x:c r="AD246" s="12"/>
      <x:c r="AE246" t="str">
        <x:v>Crystal Palace Women</x:v>
      </x:c>
      <x:c r="AF246" s="45" t="n">
        <x:v>1.3250343671058142</x:v>
      </x:c>
      <x:c r="AG246" t="str">
        <x:v>AFC Wimbledon Women</x:v>
      </x:c>
      <x:c r="AH246" s="45" t="n">
        <x:v>6.76230126825512</x:v>
      </x:c>
      <x:c r="AI246" t="n">
        <x:v>92</x:v>
      </x:c>
      <x:c r="AJ246" t="str">
        <x:v>HIGH</x:v>
      </x:c>
    </x:row>
    <x:row r="247">
      <x:c r="A247" s="12" t="str">
        <x:v>E01001000</x:v>
      </x:c>
      <x:c r="B247" s="12" t="str">
        <x:v>Croydon 010B</x:v>
      </x:c>
      <x:c r="C247" s="12" t="str">
        <x:v>Croydon</x:v>
      </x:c>
      <x:c r="D247" s="44" t="n">
        <x:v>51.39664291005262</x:v>
      </x:c>
      <x:c r="E247" s="44" t="n">
        <x:v>-0.10162138056877473</x:v>
      </x:c>
      <x:c r="F247" s="33" t="n">
        <x:v>515</x:v>
      </x:c>
      <x:c r="G247" s="33" t="n">
        <x:v>158</x:v>
      </x:c>
      <x:c r="H247" s="26" t="n">
        <x:v>0.3067961165048544</x:v>
      </x:c>
      <x:c r="I247" s="12" t="n">
        <x:v>3</x:v>
      </x:c>
      <x:c r="J247" s="12" t="n">
        <x:v>91</x:v>
      </x:c>
      <x:c r="K247" s="12"/>
      <x:c r="L247" s="12"/>
      <x:c r="M247" s="12" t="str">
        <x:f>IF(K247="", "", MAX(0,IF(K247&lt;=20,100,IF(K247&lt;=30,85,IF(K247&lt;=40,70,IF(K247&lt;=50,55,IF(K247&lt;=60,40,20)))))-MIN(L247*5,20)))</x:f>
      </x:c>
      <x:c r="N247" s="12"/>
      <x:c r="O247" s="12"/>
      <x:c r="P247" s="12" t="str">
        <x:f>IF(OR(H247="",J247="",M247=""),"",ROUND(PERCENTRANK.INC($H$2:$H$941,H247)*35+J247*0.35+M247*0.30,0))</x:f>
      </x:c>
      <x:c r="Q247" s="12" t="str">
        <x:f>IF(P247="","",IF(P247&gt;=80,"ATTACK",IF(P247&gt;=65,"GROW",IF(P247&gt;=50,"PARTNER","WATCH"))))</x:f>
      </x:c>
      <x:c r="R247" s="12" t="str">
        <x:f>IF(Q247="","",IF(Q247="ATTACK","Grassroots + family acquisition",IF(Q247="GROW","Test local campaign",IF(Q247="PARTNER","Organisation-first partnership","Low priority / validate"))))</x:f>
      </x:c>
      <x:c r="S247" s="45" t="n">
        <x:v>8.303293133498698</x:v>
      </x:c>
      <x:c r="T247" t="str">
        <x:v>NEAR</x:v>
      </x:c>
      <x:c r="U247" s="32" t="n">
        <x:f>PERCENTRANK.INC($G$2:$G$941,G247)</x:f>
        <x:v>0.118</x:v>
      </x:c>
      <x:c r="V247" s="32" t="n">
        <x:f>PERCENTRANK.INC($H$2:$H$941,H247)</x:f>
        <x:v>0.428</x:v>
      </x:c>
      <x:c r="W247" t="n">
        <x:f>ROUND((U247*55+V247*45)*IF(S247&lt;=5,1,IF(S247&lt;=10,0.95,IF(S247&lt;=20,0.85,0.70))),0)</x:f>
        <x:v>24</x:v>
      </x:c>
      <x:c r="X247" t="n">
        <x:v>55</x:v>
      </x:c>
      <x:c r="Y247" t="str">
        <x:v>PARTNER</x:v>
      </x:c>
      <x:c r="Z247" s="12" t="str">
        <x:v>Family + verified grassroots + straight-line geo only; transport not yet routed</x:v>
      </x:c>
      <x:c r="AA247" s="12"/>
      <x:c r="AB247" s="12"/>
      <x:c r="AC247" s="12"/>
      <x:c r="AD247" s="12"/>
      <x:c r="AE247" t="str">
        <x:v>Crystal Palace Women</x:v>
      </x:c>
      <x:c r="AF247" s="45" t="n">
        <x:v>1.1571300789862888</x:v>
      </x:c>
      <x:c r="AG247" t="str">
        <x:v>AFC Wimbledon Women</x:v>
      </x:c>
      <x:c r="AH247" s="45" t="n">
        <x:v>7.052985302614386</x:v>
      </x:c>
      <x:c r="AI247" t="n">
        <x:v>92</x:v>
      </x:c>
      <x:c r="AJ247" t="str">
        <x:v>HIGH</x:v>
      </x:c>
    </x:row>
    <x:row r="248">
      <x:c r="A248" s="12" t="str">
        <x:v>E01001003</x:v>
      </x:c>
      <x:c r="B248" s="12" t="str">
        <x:v>Croydon 010C</x:v>
      </x:c>
      <x:c r="C248" s="12" t="str">
        <x:v>Croydon</x:v>
      </x:c>
      <x:c r="D248" s="44" t="n">
        <x:v>51.39377125097252</x:v>
      </x:c>
      <x:c r="E248" s="44" t="n">
        <x:v>-0.10162701488595248</x:v>
      </x:c>
      <x:c r="F248" s="33" t="n">
        <x:v>599</x:v>
      </x:c>
      <x:c r="G248" s="33" t="n">
        <x:v>231</x:v>
      </x:c>
      <x:c r="H248" s="26" t="n">
        <x:v>0.38564273789649417</x:v>
      </x:c>
      <x:c r="I248" s="12" t="n">
        <x:v>3</x:v>
      </x:c>
      <x:c r="J248" s="12" t="n">
        <x:v>91</x:v>
      </x:c>
      <x:c r="K248" s="12"/>
      <x:c r="L248" s="12"/>
      <x:c r="M248" s="12" t="str">
        <x:f>IF(K248="", "", MAX(0,IF(K248&lt;=20,100,IF(K248&lt;=30,85,IF(K248&lt;=40,70,IF(K248&lt;=50,55,IF(K248&lt;=60,40,20)))))-MIN(L248*5,20)))</x:f>
      </x:c>
      <x:c r="N248" s="12"/>
      <x:c r="O248" s="12"/>
      <x:c r="P248" s="12" t="str">
        <x:f>IF(OR(H248="",J248="",M248=""),"",ROUND(PERCENTRANK.INC($H$2:$H$941,H248)*35+J248*0.35+M248*0.30,0))</x:f>
      </x:c>
      <x:c r="Q248" s="12" t="str">
        <x:f>IF(P248="","",IF(P248&gt;=80,"ATTACK",IF(P248&gt;=65,"GROW",IF(P248&gt;=50,"PARTNER","WATCH"))))</x:f>
      </x:c>
      <x:c r="R248" s="12" t="str">
        <x:f>IF(Q248="","",IF(Q248="ATTACK","Grassroots + family acquisition",IF(Q248="GROW","Test local campaign",IF(Q248="PARTNER","Organisation-first partnership","Low priority / validate"))))</x:f>
      </x:c>
      <x:c r="S248" s="45" t="n">
        <x:v>8.285865235068837</x:v>
      </x:c>
      <x:c r="T248" t="str">
        <x:v>NEAR</x:v>
      </x:c>
      <x:c r="U248" s="32" t="n">
        <x:f>PERCENTRANK.INC($G$2:$G$941,G248)</x:f>
        <x:v>0.638</x:v>
      </x:c>
      <x:c r="V248" s="32" t="n">
        <x:f>PERCENTRANK.INC($H$2:$H$941,H248)</x:f>
        <x:v>0.861</x:v>
      </x:c>
      <x:c r="W248" t="n">
        <x:f>ROUND((U248*55+V248*45)*IF(S248&lt;=5,1,IF(S248&lt;=10,0.95,IF(S248&lt;=20,0.85,0.70))),0)</x:f>
        <x:v>70</x:v>
      </x:c>
      <x:c r="X248" t="n">
        <x:v>80</x:v>
      </x:c>
      <x:c r="Y248" t="str">
        <x:v>ATTACK</x:v>
      </x:c>
      <x:c r="Z248" s="12" t="str">
        <x:v>Family + verified grassroots + straight-line geo only; transport not yet routed</x:v>
      </x:c>
      <x:c r="AA248" s="12"/>
      <x:c r="AB248" s="12"/>
      <x:c r="AC248" s="12"/>
      <x:c r="AD248" s="12"/>
      <x:c r="AE248" t="str">
        <x:v>Crystal Palace Women</x:v>
      </x:c>
      <x:c r="AF248" s="45" t="n">
        <x:v>1.2482551245585303</x:v>
      </x:c>
      <x:c r="AG248" t="str">
        <x:v>AFC Wimbledon Women</x:v>
      </x:c>
      <x:c r="AH248" s="45" t="n">
        <x:v>7.231989290151618</x:v>
      </x:c>
      <x:c r="AI248" t="n">
        <x:v>92</x:v>
      </x:c>
      <x:c r="AJ248" t="str">
        <x:v>HIGH</x:v>
      </x:c>
    </x:row>
    <x:row r="249">
      <x:c r="A249" s="12" t="str">
        <x:v>E01001111</x:v>
      </x:c>
      <x:c r="B249" s="12" t="str">
        <x:v>Croydon 010D</x:v>
      </x:c>
      <x:c r="C249" s="12" t="str">
        <x:v>Croydon</x:v>
      </x:c>
      <x:c r="D249" s="44" t="n">
        <x:v>51.39712584465632</x:v>
      </x:c>
      <x:c r="E249" s="44" t="n">
        <x:v>-0.08929820098759612</x:v>
      </x:c>
      <x:c r="F249" s="33" t="n">
        <x:v>643</x:v>
      </x:c>
      <x:c r="G249" s="33" t="n">
        <x:v>235</x:v>
      </x:c>
      <x:c r="H249" s="26" t="n">
        <x:v>0.3654743390357698</x:v>
      </x:c>
      <x:c r="I249" s="12" t="n">
        <x:v>3</x:v>
      </x:c>
      <x:c r="J249" s="12" t="n">
        <x:v>84</x:v>
      </x:c>
      <x:c r="K249" s="12"/>
      <x:c r="L249" s="12"/>
      <x:c r="M249" s="12" t="str">
        <x:f>IF(K249="", "", MAX(0,IF(K249&lt;=20,100,IF(K249&lt;=30,85,IF(K249&lt;=40,70,IF(K249&lt;=50,55,IF(K249&lt;=60,40,20)))))-MIN(L249*5,20)))</x:f>
      </x:c>
      <x:c r="N249" s="12"/>
      <x:c r="O249" s="12"/>
      <x:c r="P249" s="12" t="str">
        <x:f>IF(OR(H249="",J249="",M249=""),"",ROUND(PERCENTRANK.INC($H$2:$H$941,H249)*35+J249*0.35+M249*0.30,0))</x:f>
      </x:c>
      <x:c r="Q249" s="12" t="str">
        <x:f>IF(P249="","",IF(P249&gt;=80,"ATTACK",IF(P249&gt;=65,"GROW",IF(P249&gt;=50,"PARTNER","WATCH"))))</x:f>
      </x:c>
      <x:c r="R249" s="12" t="str">
        <x:f>IF(Q249="","",IF(Q249="ATTACK","Grassroots + family acquisition",IF(Q249="GROW","Test local campaign",IF(Q249="PARTNER","Organisation-first partnership","Low priority / validate"))))</x:f>
      </x:c>
      <x:c r="S249" s="45" t="n">
        <x:v>7.45571829934347</x:v>
      </x:c>
      <x:c r="T249" t="str">
        <x:v>NEAR</x:v>
      </x:c>
      <x:c r="U249" s="32" t="n">
        <x:f>PERCENTRANK.INC($G$2:$G$941,G249)</x:f>
        <x:v>0.667</x:v>
      </x:c>
      <x:c r="V249" s="32" t="n">
        <x:f>PERCENTRANK.INC($H$2:$H$941,H249)</x:f>
        <x:v>0.775</x:v>
      </x:c>
      <x:c r="W249" t="n">
        <x:f>ROUND((U249*55+V249*45)*IF(S249&lt;=5,1,IF(S249&lt;=10,0.95,IF(S249&lt;=20,0.85,0.70))),0)</x:f>
        <x:v>68</x:v>
      </x:c>
      <x:c r="X249" t="n">
        <x:v>76</x:v>
      </x:c>
      <x:c r="Y249" t="str">
        <x:v>GROW</x:v>
      </x:c>
      <x:c r="Z249" s="12" t="str">
        <x:v>Family + verified grassroots + straight-line geo only; transport not yet routed</x:v>
      </x:c>
      <x:c r="AA249" s="12"/>
      <x:c r="AB249" s="12"/>
      <x:c r="AC249" s="12"/>
      <x:c r="AD249" s="12"/>
      <x:c r="AE249" t="str">
        <x:v>Crystal Palace Women</x:v>
      </x:c>
      <x:c r="AF249" s="45" t="n">
        <x:v>0.31510373102383826</x:v>
      </x:c>
      <x:c r="AG249" t="str">
        <x:v>Dulwich Hamlet Women</x:v>
      </x:c>
      <x:c r="AH249" s="45" t="n">
        <x:v>7.147590074883423</x:v>
      </x:c>
      <x:c r="AI249" t="n">
        <x:v>92</x:v>
      </x:c>
      <x:c r="AJ249" t="str">
        <x:v>HIGH</x:v>
      </x:c>
    </x:row>
    <x:row r="250">
      <x:c r="A250" s="12" t="str">
        <x:v>E01001155</x:v>
      </x:c>
      <x:c r="B250" s="12" t="str">
        <x:v>Croydon 010E</x:v>
      </x:c>
      <x:c r="C250" s="12" t="str">
        <x:v>Croydon</x:v>
      </x:c>
      <x:c r="D250" s="44" t="n">
        <x:v>51.397767390967346</x:v>
      </x:c>
      <x:c r="E250" s="44" t="n">
        <x:v>-0.09675941292967563</x:v>
      </x:c>
      <x:c r="F250" s="33" t="n">
        <x:v>782</x:v>
      </x:c>
      <x:c r="G250" s="33" t="n">
        <x:v>239</x:v>
      </x:c>
      <x:c r="H250" s="26" t="n">
        <x:v>0.30562659846547313</x:v>
      </x:c>
      <x:c r="I250" s="12" t="n">
        <x:v>3</x:v>
      </x:c>
      <x:c r="J250" s="12" t="n">
        <x:v>84</x:v>
      </x:c>
      <x:c r="K250" s="12"/>
      <x:c r="L250" s="12"/>
      <x:c r="M250" s="12" t="str">
        <x:f>IF(K250="", "", MAX(0,IF(K250&lt;=20,100,IF(K250&lt;=30,85,IF(K250&lt;=40,70,IF(K250&lt;=50,55,IF(K250&lt;=60,40,20)))))-MIN(L250*5,20)))</x:f>
      </x:c>
      <x:c r="N250" s="12"/>
      <x:c r="O250" s="12"/>
      <x:c r="P250" s="12" t="str">
        <x:f>IF(OR(H250="",J250="",M250=""),"",ROUND(PERCENTRANK.INC($H$2:$H$941,H250)*35+J250*0.35+M250*0.30,0))</x:f>
      </x:c>
      <x:c r="Q250" s="12" t="str">
        <x:f>IF(P250="","",IF(P250&gt;=80,"ATTACK",IF(P250&gt;=65,"GROW",IF(P250&gt;=50,"PARTNER","WATCH"))))</x:f>
      </x:c>
      <x:c r="R250" s="12" t="str">
        <x:f>IF(Q250="","",IF(Q250="ATTACK","Grassroots + family acquisition",IF(Q250="GROW","Test local campaign",IF(Q250="PARTNER","Organisation-first partnership","Low priority / validate"))))</x:f>
      </x:c>
      <x:c r="S250" s="45" t="n">
        <x:v>7.977724796197283</x:v>
      </x:c>
      <x:c r="T250" t="str">
        <x:v>NEAR</x:v>
      </x:c>
      <x:c r="U250" s="32" t="n">
        <x:f>PERCENTRANK.INC($G$2:$G$941,G250)</x:f>
        <x:v>0.699</x:v>
      </x:c>
      <x:c r="V250" s="32" t="n">
        <x:f>PERCENTRANK.INC($H$2:$H$941,H250)</x:f>
        <x:v>0.422</x:v>
      </x:c>
      <x:c r="W250" t="n">
        <x:f>ROUND((U250*55+V250*45)*IF(S250&lt;=5,1,IF(S250&lt;=10,0.95,IF(S250&lt;=20,0.85,0.70))),0)</x:f>
        <x:v>55</x:v>
      </x:c>
      <x:c r="X250" t="n">
        <x:v>68</x:v>
      </x:c>
      <x:c r="Y250" t="str">
        <x:v>GROW</x:v>
      </x:c>
      <x:c r="Z250" s="12" t="str">
        <x:v>Family + verified grassroots + straight-line geo only; transport not yet routed</x:v>
      </x:c>
      <x:c r="AA250" s="12"/>
      <x:c r="AB250" s="12"/>
      <x:c r="AC250" s="12"/>
      <x:c r="AD250" s="12"/>
      <x:c r="AE250" t="str">
        <x:v>Crystal Palace Women</x:v>
      </x:c>
      <x:c r="AF250" s="45" t="n">
        <x:v>0.8074214051166518</x:v>
      </x:c>
      <x:c r="AG250" t="str">
        <x:v>Dulwich Hamlet Women</x:v>
      </x:c>
      <x:c r="AH250" s="45" t="n">
        <x:v>7.122058125160724</x:v>
      </x:c>
      <x:c r="AI250" t="n">
        <x:v>92</x:v>
      </x:c>
      <x:c r="AJ250" t="str">
        <x:v>HIGH</x:v>
      </x:c>
    </x:row>
    <x:row r="251">
      <x:c r="A251" s="12" t="str">
        <x:v>E01001174</x:v>
      </x:c>
      <x:c r="B251" s="12" t="str">
        <x:v>Croydon 011A</x:v>
      </x:c>
      <x:c r="C251" s="12" t="str">
        <x:v>Croydon</x:v>
      </x:c>
      <x:c r="D251" s="44" t="n">
        <x:v>51.39422216304837</x:v>
      </x:c>
      <x:c r="E251" s="44" t="n">
        <x:v>-0.11926295389883204</x:v>
      </x:c>
      <x:c r="F251" s="33" t="n">
        <x:v>508</x:v>
      </x:c>
      <x:c r="G251" s="33" t="n">
        <x:v>194</x:v>
      </x:c>
      <x:c r="H251" s="26" t="n">
        <x:v>0.38188976377952755</x:v>
      </x:c>
      <x:c r="I251" s="12" t="n">
        <x:v>3</x:v>
      </x:c>
      <x:c r="J251" s="12" t="n">
        <x:v>76</x:v>
      </x:c>
      <x:c r="K251" s="12"/>
      <x:c r="L251" s="12"/>
      <x:c r="M251" s="12" t="str">
        <x:f>IF(K251="", "", MAX(0,IF(K251&lt;=20,100,IF(K251&lt;=30,85,IF(K251&lt;=40,70,IF(K251&lt;=50,55,IF(K251&lt;=60,40,20)))))-MIN(L251*5,20)))</x:f>
      </x:c>
      <x:c r="N251" s="12"/>
      <x:c r="O251" s="12"/>
      <x:c r="P251" s="12" t="str">
        <x:f>IF(OR(H251="",J251="",M251=""),"",ROUND(PERCENTRANK.INC($H$2:$H$941,H251)*35+J251*0.35+M251*0.30,0))</x:f>
      </x:c>
      <x:c r="Q251" s="12" t="str">
        <x:f>IF(P251="","",IF(P251&gt;=80,"ATTACK",IF(P251&gt;=65,"GROW",IF(P251&gt;=50,"PARTNER","WATCH"))))</x:f>
      </x:c>
      <x:c r="R251" s="12" t="str">
        <x:f>IF(Q251="","",IF(Q251="ATTACK","Grassroots + family acquisition",IF(Q251="GROW","Test local campaign",IF(Q251="PARTNER","Organisation-first partnership","Low priority / validate"))))</x:f>
      </x:c>
      <x:c r="S251" s="45" t="n">
        <x:v>9.510488349225014</x:v>
      </x:c>
      <x:c r="T251" t="str">
        <x:v>NEAR</x:v>
      </x:c>
      <x:c r="U251" s="32" t="n">
        <x:f>PERCENTRANK.INC($G$2:$G$941,G251)</x:f>
        <x:v>0.343</x:v>
      </x:c>
      <x:c r="V251" s="32" t="n">
        <x:f>PERCENTRANK.INC($H$2:$H$941,H251)</x:f>
        <x:v>0.839</x:v>
      </x:c>
      <x:c r="W251" t="n">
        <x:f>ROUND((U251*55+V251*45)*IF(S251&lt;=5,1,IF(S251&lt;=10,0.95,IF(S251&lt;=20,0.85,0.70))),0)</x:f>
        <x:v>54</x:v>
      </x:c>
      <x:c r="X251" t="n">
        <x:v>64</x:v>
      </x:c>
      <x:c r="Y251" t="str">
        <x:v>PARTNER</x:v>
      </x:c>
      <x:c r="Z251" s="12" t="str">
        <x:v>Family + verified grassroots + straight-line geo only; transport not yet routed</x:v>
      </x:c>
      <x:c r="AA251" s="12"/>
      <x:c r="AB251" s="12"/>
      <x:c r="AC251" s="12"/>
      <x:c r="AD251" s="12"/>
      <x:c r="AE251" t="str">
        <x:v>Crystal Palace Women</x:v>
      </x:c>
      <x:c r="AF251" s="45" t="n">
        <x:v>2.4093174780514266</x:v>
      </x:c>
      <x:c r="AG251" t="str">
        <x:v>AFC Wimbledon Women</x:v>
      </x:c>
      <x:c r="AH251" s="45" t="n">
        <x:v>6.238883124275785</x:v>
      </x:c>
      <x:c r="AI251" t="n">
        <x:v>92</x:v>
      </x:c>
      <x:c r="AJ251" t="str">
        <x:v>HIGH</x:v>
      </x:c>
    </x:row>
    <x:row r="252">
      <x:c r="A252" s="12" t="str">
        <x:v>E01001175</x:v>
      </x:c>
      <x:c r="B252" s="12" t="str">
        <x:v>Croydon 011B</x:v>
      </x:c>
      <x:c r="C252" s="12" t="str">
        <x:v>Croydon</x:v>
      </x:c>
      <x:c r="D252" s="44" t="n">
        <x:v>51.392546548281366</x:v>
      </x:c>
      <x:c r="E252" s="44" t="n">
        <x:v>-0.11063560787429072</x:v>
      </x:c>
      <x:c r="F252" s="33" t="n">
        <x:v>556</x:v>
      </x:c>
      <x:c r="G252" s="33" t="n">
        <x:v>197</x:v>
      </x:c>
      <x:c r="H252" s="26" t="n">
        <x:v>0.35431654676258995</x:v>
      </x:c>
      <x:c r="I252" s="12" t="n">
        <x:v>3</x:v>
      </x:c>
      <x:c r="J252" s="12" t="n">
        <x:v>84</x:v>
      </x:c>
      <x:c r="K252" s="12"/>
      <x:c r="L252" s="12"/>
      <x:c r="M252" s="12" t="str">
        <x:f>IF(K252="", "", MAX(0,IF(K252&lt;=20,100,IF(K252&lt;=30,85,IF(K252&lt;=40,70,IF(K252&lt;=50,55,IF(K252&lt;=60,40,20)))))-MIN(L252*5,20)))</x:f>
      </x:c>
      <x:c r="N252" s="12"/>
      <x:c r="O252" s="12"/>
      <x:c r="P252" s="12" t="str">
        <x:f>IF(OR(H252="",J252="",M252=""),"",ROUND(PERCENTRANK.INC($H$2:$H$941,H252)*35+J252*0.35+M252*0.30,0))</x:f>
      </x:c>
      <x:c r="Q252" s="12" t="str">
        <x:f>IF(P252="","",IF(P252&gt;=80,"ATTACK",IF(P252&gt;=65,"GROW",IF(P252&gt;=50,"PARTNER","WATCH"))))</x:f>
      </x:c>
      <x:c r="R252" s="12" t="str">
        <x:f>IF(Q252="","",IF(Q252="ATTACK","Grassroots + family acquisition",IF(Q252="GROW","Test local campaign",IF(Q252="PARTNER","Organisation-first partnership","Low priority / validate"))))</x:f>
      </x:c>
      <x:c r="S252" s="45" t="n">
        <x:v>8.90693195965156</x:v>
      </x:c>
      <x:c r="T252" t="str">
        <x:v>NEAR</x:v>
      </x:c>
      <x:c r="U252" s="32" t="n">
        <x:f>PERCENTRANK.INC($G$2:$G$941,G252)</x:f>
        <x:v>0.356</x:v>
      </x:c>
      <x:c r="V252" s="32" t="n">
        <x:f>PERCENTRANK.INC($H$2:$H$941,H252)</x:f>
        <x:v>0.71</x:v>
      </x:c>
      <x:c r="W252" t="n">
        <x:f>ROUND((U252*55+V252*45)*IF(S252&lt;=5,1,IF(S252&lt;=10,0.95,IF(S252&lt;=20,0.85,0.70))),0)</x:f>
        <x:v>49</x:v>
      </x:c>
      <x:c r="X252" t="n">
        <x:v>65</x:v>
      </x:c>
      <x:c r="Y252" t="str">
        <x:v>GROW</x:v>
      </x:c>
      <x:c r="Z252" s="12" t="str">
        <x:v>Family + verified grassroots + straight-line geo only; transport not yet routed</x:v>
      </x:c>
      <x:c r="AA252" s="12"/>
      <x:c r="AB252" s="12"/>
      <x:c r="AC252" s="12"/>
      <x:c r="AD252" s="12"/>
      <x:c r="AE252" t="str">
        <x:v>Crystal Palace Women</x:v>
      </x:c>
      <x:c r="AF252" s="45" t="n">
        <x:v>1.879596865381997</x:v>
      </x:c>
      <x:c r="AG252" t="str">
        <x:v>AFC Wimbledon Women</x:v>
      </x:c>
      <x:c r="AH252" s="45" t="n">
        <x:v>6.816222167523372</x:v>
      </x:c>
      <x:c r="AI252" t="n">
        <x:v>92</x:v>
      </x:c>
      <x:c r="AJ252" t="str">
        <x:v>HIGH</x:v>
      </x:c>
    </x:row>
    <x:row r="253">
      <x:c r="A253" s="12" t="str">
        <x:v>E01001176</x:v>
      </x:c>
      <x:c r="B253" s="12" t="str">
        <x:v>Croydon 011C</x:v>
      </x:c>
      <x:c r="C253" s="12" t="str">
        <x:v>Croydon</x:v>
      </x:c>
      <x:c r="D253" s="44" t="n">
        <x:v>51.39175647307943</x:v>
      </x:c>
      <x:c r="E253" s="44" t="n">
        <x:v>-0.11760138897257268</x:v>
      </x:c>
      <x:c r="F253" s="33" t="n">
        <x:v>620</x:v>
      </x:c>
      <x:c r="G253" s="33" t="n">
        <x:v>244</x:v>
      </x:c>
      <x:c r="H253" s="26" t="n">
        <x:v>0.3935483870967742</x:v>
      </x:c>
      <x:c r="I253" s="12" t="n">
        <x:v>3</x:v>
      </x:c>
      <x:c r="J253" s="12" t="n">
        <x:v>76</x:v>
      </x:c>
      <x:c r="K253" s="12"/>
      <x:c r="L253" s="12"/>
      <x:c r="M253" s="12" t="str">
        <x:f>IF(K253="", "", MAX(0,IF(K253&lt;=20,100,IF(K253&lt;=30,85,IF(K253&lt;=40,70,IF(K253&lt;=50,55,IF(K253&lt;=60,40,20)))))-MIN(L253*5,20)))</x:f>
      </x:c>
      <x:c r="N253" s="12"/>
      <x:c r="O253" s="12"/>
      <x:c r="P253" s="12" t="str">
        <x:f>IF(OR(H253="",J253="",M253=""),"",ROUND(PERCENTRANK.INC($H$2:$H$941,H253)*35+J253*0.35+M253*0.30,0))</x:f>
      </x:c>
      <x:c r="Q253" s="12" t="str">
        <x:f>IF(P253="","",IF(P253&gt;=80,"ATTACK",IF(P253&gt;=65,"GROW",IF(P253&gt;=50,"PARTNER","WATCH"))))</x:f>
      </x:c>
      <x:c r="R253" s="12" t="str">
        <x:f>IF(Q253="","",IF(Q253="ATTACK","Grassroots + family acquisition",IF(Q253="GROW","Test local campaign",IF(Q253="PARTNER","Organisation-first partnership","Low priority / validate"))))</x:f>
      </x:c>
      <x:c r="S253" s="45" t="n">
        <x:v>9.389030473877362</x:v>
      </x:c>
      <x:c r="T253" t="str">
        <x:v>NEAR</x:v>
      </x:c>
      <x:c r="U253" s="32" t="n">
        <x:f>PERCENTRANK.INC($G$2:$G$941,G253)</x:f>
        <x:v>0.739</x:v>
      </x:c>
      <x:c r="V253" s="32" t="n">
        <x:f>PERCENTRANK.INC($H$2:$H$941,H253)</x:f>
        <x:v>0.887</x:v>
      </x:c>
      <x:c r="W253" t="n">
        <x:f>ROUND((U253*55+V253*45)*IF(S253&lt;=5,1,IF(S253&lt;=10,0.95,IF(S253&lt;=20,0.85,0.70))),0)</x:f>
        <x:v>77</x:v>
      </x:c>
      <x:c r="X253" t="n">
        <x:v>76</x:v>
      </x:c>
      <x:c r="Y253" t="str">
        <x:v>GROW</x:v>
      </x:c>
      <x:c r="Z253" s="12" t="str">
        <x:v>Family + verified grassroots + straight-line geo only; transport not yet routed</x:v>
      </x:c>
      <x:c r="AA253" s="12"/>
      <x:c r="AB253" s="12"/>
      <x:c r="AC253" s="12"/>
      <x:c r="AD253" s="12"/>
      <x:c r="AE253" t="str">
        <x:v>Crystal Palace Women</x:v>
      </x:c>
      <x:c r="AF253" s="45" t="n">
        <x:v>2.365442310960878</x:v>
      </x:c>
      <x:c r="AG253" t="str">
        <x:v>AFC Wimbledon Women</x:v>
      </x:c>
      <x:c r="AH253" s="45" t="n">
        <x:v>6.50779203487328</x:v>
      </x:c>
      <x:c r="AI253" t="n">
        <x:v>92</x:v>
      </x:c>
      <x:c r="AJ253" t="str">
        <x:v>HIGH</x:v>
      </x:c>
    </x:row>
    <x:row r="254">
      <x:c r="A254" s="12" t="str">
        <x:v>E01001182</x:v>
      </x:c>
      <x:c r="B254" s="12" t="str">
        <x:v>Croydon 011D</x:v>
      </x:c>
      <x:c r="C254" s="12" t="str">
        <x:v>Croydon</x:v>
      </x:c>
      <x:c r="D254" s="44" t="n">
        <x:v>51.39981865421677</x:v>
      </x:c>
      <x:c r="E254" s="44" t="n">
        <x:v>-0.11996929767166327</x:v>
      </x:c>
      <x:c r="F254" s="33" t="n">
        <x:v>460</x:v>
      </x:c>
      <x:c r="G254" s="33" t="n">
        <x:v>158</x:v>
      </x:c>
      <x:c r="H254" s="26" t="n">
        <x:v>0.34347826086956523</x:v>
      </x:c>
      <x:c r="I254" s="12" t="n">
        <x:v>3</x:v>
      </x:c>
      <x:c r="J254" s="12" t="n">
        <x:v>61</x:v>
      </x:c>
      <x:c r="K254" s="12"/>
      <x:c r="L254" s="12"/>
      <x:c r="M254" s="12" t="str">
        <x:f>IF(K254="", "", MAX(0,IF(K254&lt;=20,100,IF(K254&lt;=30,85,IF(K254&lt;=40,70,IF(K254&lt;=50,55,IF(K254&lt;=60,40,20)))))-MIN(L254*5,20)))</x:f>
      </x:c>
      <x:c r="N254" s="12"/>
      <x:c r="O254" s="12"/>
      <x:c r="P254" s="12" t="str">
        <x:f>IF(OR(H254="",J254="",M254=""),"",ROUND(PERCENTRANK.INC($H$2:$H$941,H254)*35+J254*0.35+M254*0.30,0))</x:f>
      </x:c>
      <x:c r="Q254" s="12" t="str">
        <x:f>IF(P254="","",IF(P254&gt;=80,"ATTACK",IF(P254&gt;=65,"GROW",IF(P254&gt;=50,"PARTNER","WATCH"))))</x:f>
      </x:c>
      <x:c r="R254" s="12" t="str">
        <x:f>IF(Q254="","",IF(Q254="ATTACK","Grassroots + family acquisition",IF(Q254="GROW","Test local campaign",IF(Q254="PARTNER","Organisation-first partnership","Low priority / validate"))))</x:f>
      </x:c>
      <x:c r="S254" s="45" t="n">
        <x:v>9.602476387403211</x:v>
      </x:c>
      <x:c r="T254" t="str">
        <x:v>NEAR</x:v>
      </x:c>
      <x:c r="U254" s="32" t="n">
        <x:f>PERCENTRANK.INC($G$2:$G$941,G254)</x:f>
        <x:v>0.118</x:v>
      </x:c>
      <x:c r="V254" s="32" t="n">
        <x:f>PERCENTRANK.INC($H$2:$H$941,H254)</x:f>
        <x:v>0.641</x:v>
      </x:c>
      <x:c r="W254" t="n">
        <x:f>ROUND((U254*55+V254*45)*IF(S254&lt;=5,1,IF(S254&lt;=10,0.95,IF(S254&lt;=20,0.85,0.70))),0)</x:f>
        <x:v>34</x:v>
      </x:c>
      <x:c r="X254" t="n">
        <x:v>46</x:v>
      </x:c>
      <x:c r="Y254" t="str">
        <x:v>WATCH</x:v>
      </x:c>
      <x:c r="Z254" s="12" t="str">
        <x:v>Family + verified grassroots + straight-line geo only; transport not yet routed</x:v>
      </x:c>
      <x:c r="AA254" s="12"/>
      <x:c r="AB254" s="12"/>
      <x:c r="AC254" s="12"/>
      <x:c r="AD254" s="12"/>
      <x:c r="AE254" t="str">
        <x:v>Crystal Palace Women</x:v>
      </x:c>
      <x:c r="AF254" s="45" t="n">
        <x:v>2.4215979178276106</x:v>
      </x:c>
      <x:c r="AG254" t="str">
        <x:v>AFC Wimbledon Women</x:v>
      </x:c>
      <x:c r="AH254" s="45" t="n">
        <x:v>5.807497098666463</x:v>
      </x:c>
      <x:c r="AI254" t="n">
        <x:v>96</x:v>
      </x:c>
      <x:c r="AJ254" t="str">
        <x:v>HIGH</x:v>
      </x:c>
    </x:row>
    <x:row r="255">
      <x:c r="A255" s="12" t="str">
        <x:v>E01001183</x:v>
      </x:c>
      <x:c r="B255" s="12" t="str">
        <x:v>Croydon 011E</x:v>
      </x:c>
      <x:c r="C255" s="12" t="str">
        <x:v>Croydon</x:v>
      </x:c>
      <x:c r="D255" s="44" t="n">
        <x:v>51.395717542314124</x:v>
      </x:c>
      <x:c r="E255" s="44" t="n">
        <x:v>-0.11530260915572199</x:v>
      </x:c>
      <x:c r="F255" s="33" t="n">
        <x:v>637</x:v>
      </x:c>
      <x:c r="G255" s="33" t="n">
        <x:v>253</x:v>
      </x:c>
      <x:c r="H255" s="26" t="n">
        <x:v>0.39717425431711145</x:v>
      </x:c>
      <x:c r="I255" s="12" t="n">
        <x:v>3</x:v>
      </x:c>
      <x:c r="J255" s="12" t="n">
        <x:v>76</x:v>
      </x:c>
      <x:c r="K255" s="12"/>
      <x:c r="L255" s="12"/>
      <x:c r="M255" s="12" t="str">
        <x:f>IF(K255="", "", MAX(0,IF(K255&lt;=20,100,IF(K255&lt;=30,85,IF(K255&lt;=40,70,IF(K255&lt;=50,55,IF(K255&lt;=60,40,20)))))-MIN(L255*5,20)))</x:f>
      </x:c>
      <x:c r="N255" s="12"/>
      <x:c r="O255" s="12"/>
      <x:c r="P255" s="12" t="str">
        <x:f>IF(OR(H255="",J255="",M255=""),"",ROUND(PERCENTRANK.INC($H$2:$H$941,H255)*35+J255*0.35+M255*0.30,0))</x:f>
      </x:c>
      <x:c r="Q255" s="12" t="str">
        <x:f>IF(P255="","",IF(P255&gt;=80,"ATTACK",IF(P255&gt;=65,"GROW",IF(P255&gt;=50,"PARTNER","WATCH"))))</x:f>
      </x:c>
      <x:c r="R255" s="12" t="str">
        <x:f>IF(Q255="","",IF(Q255="ATTACK","Grassroots + family acquisition",IF(Q255="GROW","Test local campaign",IF(Q255="PARTNER","Organisation-first partnership","Low priority / validate"))))</x:f>
      </x:c>
      <x:c r="S255" s="45" t="n">
        <x:v>9.243733767278995</x:v>
      </x:c>
      <x:c r="T255" t="str">
        <x:v>NEAR</x:v>
      </x:c>
      <x:c r="U255" s="32" t="n">
        <x:f>PERCENTRANK.INC($G$2:$G$941,G255)</x:f>
        <x:v>0.8</x:v>
      </x:c>
      <x:c r="V255" s="32" t="n">
        <x:f>PERCENTRANK.INC($H$2:$H$941,H255)</x:f>
        <x:v>0.894</x:v>
      </x:c>
      <x:c r="W255" t="n">
        <x:f>ROUND((U255*55+V255*45)*IF(S255&lt;=5,1,IF(S255&lt;=10,0.95,IF(S255&lt;=20,0.85,0.70))),0)</x:f>
        <x:v>80</x:v>
      </x:c>
      <x:c r="X255" t="n">
        <x:v>78</x:v>
      </x:c>
      <x:c r="Y255" t="str">
        <x:v>GROW</x:v>
      </x:c>
      <x:c r="Z255" s="12" t="str">
        <x:v>Family + verified grassroots + straight-line geo only; transport not yet routed</x:v>
      </x:c>
      <x:c r="AA255" s="12"/>
      <x:c r="AB255" s="12"/>
      <x:c r="AC255" s="12"/>
      <x:c r="AD255" s="12"/>
      <x:c r="AE255" t="str">
        <x:v>Crystal Palace Women</x:v>
      </x:c>
      <x:c r="AF255" s="45" t="n">
        <x:v>2.1112102186457946</x:v>
      </x:c>
      <x:c r="AG255" t="str">
        <x:v>AFC Wimbledon Women</x:v>
      </x:c>
      <x:c r="AH255" s="45" t="n">
        <x:v>6.3428370685542586</x:v>
      </x:c>
      <x:c r="AI255" t="n">
        <x:v>92</x:v>
      </x:c>
      <x:c r="AJ255" t="str">
        <x:v>HIGH</x:v>
      </x:c>
    </x:row>
    <x:row r="256">
      <x:c r="A256" s="12" t="str">
        <x:v>E01001184</x:v>
      </x:c>
      <x:c r="B256" s="12" t="str">
        <x:v>Croydon 011F</x:v>
      </x:c>
      <x:c r="C256" s="12" t="str">
        <x:v>Croydon</x:v>
      </x:c>
      <x:c r="D256" s="44" t="n">
        <x:v>51.397242484357804</x:v>
      </x:c>
      <x:c r="E256" s="44" t="n">
        <x:v>-0.12124331414108494</x:v>
      </x:c>
      <x:c r="F256" s="33" t="n">
        <x:v>449</x:v>
      </x:c>
      <x:c r="G256" s="33" t="n">
        <x:v>127</x:v>
      </x:c>
      <x:c r="H256" s="26" t="n">
        <x:v>0.2828507795100223</x:v>
      </x:c>
      <x:c r="I256" s="12" t="n">
        <x:v>3</x:v>
      </x:c>
      <x:c r="J256" s="12" t="n">
        <x:v>69</x:v>
      </x:c>
      <x:c r="K256" s="12"/>
      <x:c r="L256" s="12"/>
      <x:c r="M256" s="12" t="str">
        <x:f>IF(K256="", "", MAX(0,IF(K256&lt;=20,100,IF(K256&lt;=30,85,IF(K256&lt;=40,70,IF(K256&lt;=50,55,IF(K256&lt;=60,40,20)))))-MIN(L256*5,20)))</x:f>
      </x:c>
      <x:c r="N256" s="12"/>
      <x:c r="O256" s="12"/>
      <x:c r="P256" s="12" t="str">
        <x:f>IF(OR(H256="",J256="",M256=""),"",ROUND(PERCENTRANK.INC($H$2:$H$941,H256)*35+J256*0.35+M256*0.30,0))</x:f>
      </x:c>
      <x:c r="Q256" s="12" t="str">
        <x:f>IF(P256="","",IF(P256&gt;=80,"ATTACK",IF(P256&gt;=65,"GROW",IF(P256&gt;=50,"PARTNER","WATCH"))))</x:f>
      </x:c>
      <x:c r="R256" s="12" t="str">
        <x:f>IF(Q256="","",IF(Q256="ATTACK","Grassroots + family acquisition",IF(Q256="GROW","Test local campaign",IF(Q256="PARTNER","Organisation-first partnership","Low priority / validate"))))</x:f>
      </x:c>
      <x:c r="S256" s="45" t="n">
        <x:v>9.665840334116899</x:v>
      </x:c>
      <x:c r="T256" t="str">
        <x:v>NEAR</x:v>
      </x:c>
      <x:c r="U256" s="32" t="n">
        <x:f>PERCENTRANK.INC($G$2:$G$941,G256)</x:f>
        <x:v>0.044</x:v>
      </x:c>
      <x:c r="V256" s="32" t="n">
        <x:f>PERCENTRANK.INC($H$2:$H$941,H256)</x:f>
        <x:v>0.306</x:v>
      </x:c>
      <x:c r="W256" t="n">
        <x:f>ROUND((U256*55+V256*45)*IF(S256&lt;=5,1,IF(S256&lt;=10,0.95,IF(S256&lt;=20,0.85,0.70))),0)</x:f>
        <x:v>15</x:v>
      </x:c>
      <x:c r="X256" t="n">
        <x:v>40</x:v>
      </x:c>
      <x:c r="Y256" t="str">
        <x:v>WATCH</x:v>
      </x:c>
      <x:c r="Z256" s="12" t="str">
        <x:v>Family + verified grassroots + straight-line geo only; transport not yet routed</x:v>
      </x:c>
      <x:c r="AA256" s="12"/>
      <x:c r="AB256" s="12"/>
      <x:c r="AC256" s="12"/>
      <x:c r="AD256" s="12"/>
      <x:c r="AE256" t="str">
        <x:v>Crystal Palace Women</x:v>
      </x:c>
      <x:c r="AF256" s="45" t="n">
        <x:v>2.5066564858148555</x:v>
      </x:c>
      <x:c r="AG256" t="str">
        <x:v>AFC Wimbledon Women</x:v>
      </x:c>
      <x:c r="AH256" s="45" t="n">
        <x:v>5.916150027187244</x:v>
      </x:c>
      <x:c r="AI256" t="n">
        <x:v>96</x:v>
      </x:c>
      <x:c r="AJ256" t="str">
        <x:v>HIGH</x:v>
      </x:c>
    </x:row>
    <x:row r="257">
      <x:c r="A257" s="12" t="str">
        <x:v>E01001001</x:v>
      </x:c>
      <x:c r="B257" s="12" t="str">
        <x:v>Croydon 013A</x:v>
      </x:c>
      <x:c r="C257" s="12" t="str">
        <x:v>Croydon</x:v>
      </x:c>
      <x:c r="D257" s="44" t="n">
        <x:v>51.394558993504454</x:v>
      </x:c>
      <x:c r="E257" s="44" t="n">
        <x:v>-0.09649879476268848</x:v>
      </x:c>
      <x:c r="F257" s="33" t="n">
        <x:v>580</x:v>
      </x:c>
      <x:c r="G257" s="33" t="n">
        <x:v>199</x:v>
      </x:c>
      <x:c r="H257" s="26" t="n">
        <x:v>0.3431034482758621</x:v>
      </x:c>
      <x:c r="I257" s="12" t="n">
        <x:v>3</x:v>
      </x:c>
      <x:c r="J257" s="12" t="n">
        <x:v>100</x:v>
      </x:c>
      <x:c r="K257" s="12"/>
      <x:c r="L257" s="12"/>
      <x:c r="M257" s="12" t="str">
        <x:f>IF(K257="", "", MAX(0,IF(K257&lt;=20,100,IF(K257&lt;=30,85,IF(K257&lt;=40,70,IF(K257&lt;=50,55,IF(K257&lt;=60,40,20)))))-MIN(L257*5,20)))</x:f>
      </x:c>
      <x:c r="N257" s="12"/>
      <x:c r="O257" s="12"/>
      <x:c r="P257" s="12" t="str">
        <x:f>IF(OR(H257="",J257="",M257=""),"",ROUND(PERCENTRANK.INC($H$2:$H$941,H257)*35+J257*0.35+M257*0.30,0))</x:f>
      </x:c>
      <x:c r="Q257" s="12" t="str">
        <x:f>IF(P257="","",IF(P257&gt;=80,"ATTACK",IF(P257&gt;=65,"GROW",IF(P257&gt;=50,"PARTNER","WATCH"))))</x:f>
      </x:c>
      <x:c r="R257" s="12" t="str">
        <x:f>IF(Q257="","",IF(Q257="ATTACK","Grassroots + family acquisition",IF(Q257="GROW","Test local campaign",IF(Q257="PARTNER","Organisation-first partnership","Low priority / validate"))))</x:f>
      </x:c>
      <x:c r="S257" s="45" t="n">
        <x:v>7.934147511283962</x:v>
      </x:c>
      <x:c r="T257" t="str">
        <x:v>NEAR</x:v>
      </x:c>
      <x:c r="U257" s="32" t="n">
        <x:f>PERCENTRANK.INC($G$2:$G$941,G257)</x:f>
        <x:v>0.376</x:v>
      </x:c>
      <x:c r="V257" s="32" t="n">
        <x:f>PERCENTRANK.INC($H$2:$H$941,H257)</x:f>
        <x:v>0.637</x:v>
      </x:c>
      <x:c r="W257" t="n">
        <x:f>ROUND((U257*55+V257*45)*IF(S257&lt;=5,1,IF(S257&lt;=10,0.95,IF(S257&lt;=20,0.85,0.70))),0)</x:f>
        <x:v>47</x:v>
      </x:c>
      <x:c r="X257" t="n">
        <x:v>71</x:v>
      </x:c>
      <x:c r="Y257" t="str">
        <x:v>GROW</x:v>
      </x:c>
      <x:c r="Z257" s="12" t="str">
        <x:v>Family + verified grassroots + straight-line geo only; transport not yet routed</x:v>
      </x:c>
      <x:c r="AA257" s="12"/>
      <x:c r="AB257" s="12"/>
      <x:c r="AC257" s="12"/>
      <x:c r="AD257" s="12"/>
      <x:c r="AE257" t="str">
        <x:v>Crystal Palace Women</x:v>
      </x:c>
      <x:c r="AF257" s="45" t="n">
        <x:v>0.8894503014492435</x:v>
      </x:c>
      <x:c r="AG257" t="str">
        <x:v>Dulwich Hamlet Women</x:v>
      </x:c>
      <x:c r="AH257" s="45" t="n">
        <x:v>7.474060657874317</x:v>
      </x:c>
      <x:c r="AI257" t="n">
        <x:v>92</x:v>
      </x:c>
      <x:c r="AJ257" t="str">
        <x:v>HIGH</x:v>
      </x:c>
    </x:row>
    <x:row r="258">
      <x:c r="A258" s="12" t="str">
        <x:v>E01001109</x:v>
      </x:c>
      <x:c r="B258" s="12" t="str">
        <x:v>Croydon 013B</x:v>
      </x:c>
      <x:c r="C258" s="12" t="str">
        <x:v>Croydon</x:v>
      </x:c>
      <x:c r="D258" s="44" t="n">
        <x:v>51.38681501205794</x:v>
      </x:c>
      <x:c r="E258" s="44" t="n">
        <x:v>-0.09007632689256087</x:v>
      </x:c>
      <x:c r="F258" s="33" t="n">
        <x:v>965</x:v>
      </x:c>
      <x:c r="G258" s="33" t="n">
        <x:v>335</x:v>
      </x:c>
      <x:c r="H258" s="26" t="n">
        <x:v>0.3471502590673575</x:v>
      </x:c>
      <x:c r="I258" s="12" t="n">
        <x:v>3</x:v>
      </x:c>
      <x:c r="J258" s="12" t="n">
        <x:v>100</x:v>
      </x:c>
      <x:c r="K258" s="12" t="n">
        <x:v>40</x:v>
      </x:c>
      <x:c r="L258" s="12" t="n">
        <x:v>1</x:v>
      </x:c>
      <x:c r="M258" s="12" t="n">
        <x:f>IF(K258="", "", MAX(0,IF(K258&lt;=20,100,IF(K258&lt;=30,85,IF(K258&lt;=40,70,IF(K258&lt;=50,55,IF(K258&lt;=60,40,20)))))-MIN(L258*5,20)))</x:f>
        <x:v>65</x:v>
      </x:c>
      <x:c r="N258" s="12"/>
      <x:c r="O258" s="12"/>
      <x:c r="P258" s="12" t="n">
        <x:f>IF(OR(H258="",J258="",M258=""),"",ROUND(PERCENTRANK.INC($H$2:$H$941,H258)*35+J258*0.35+M258*0.30,0))</x:f>
        <x:v>78</x:v>
      </x:c>
      <x:c r="Q258" s="12" t="str">
        <x:f>IF(P258="","",IF(P258&gt;=80,"ATTACK",IF(P258&gt;=65,"GROW",IF(P258&gt;=50,"PARTNER","WATCH"))))</x:f>
        <x:v>GROW</x:v>
      </x:c>
      <x:c r="R258" s="12" t="str">
        <x:f>IF(Q258="","",IF(Q258="ATTACK","Grassroots + family acquisition",IF(Q258="GROW","Test local campaign",IF(Q258="PARTNER","Organisation-first partnership","Low priority / validate"))))</x:f>
        <x:v>Test local campaign</x:v>
      </x:c>
      <x:c r="S258" s="45" t="n">
        <x:v>7.493556406338718</x:v>
      </x:c>
      <x:c r="T258" t="str">
        <x:v>NEAR</x:v>
      </x:c>
      <x:c r="U258" s="32" t="n">
        <x:f>PERCENTRANK.INC($G$2:$G$941,G258)</x:f>
        <x:v>0.979</x:v>
      </x:c>
      <x:c r="V258" s="32" t="n">
        <x:f>PERCENTRANK.INC($H$2:$H$941,H258)</x:f>
        <x:v>0.668</x:v>
      </x:c>
      <x:c r="W258" t="n">
        <x:f>ROUND((U258*55+V258*45)*IF(S258&lt;=5,1,IF(S258&lt;=10,0.95,IF(S258&lt;=20,0.85,0.70))),0)</x:f>
        <x:v>80</x:v>
      </x:c>
      <x:c r="X258" t="n">
        <x:v>89</x:v>
      </x:c>
      <x:c r="Y258" t="str">
        <x:v>ATTACK</x:v>
      </x:c>
      <x:c r="Z258" s="12" t="str">
        <x:v>Family + verified grassroots + straight-line geo only; transport not yet routed</x:v>
      </x:c>
      <x:c r="AA258" s="12" t="str">
        <x:v>MEDIUM</x:v>
      </x:c>
      <x:c r="AB258" s="12" t="str">
        <x:v>CR0 2ED / Selhurst</x:v>
      </x:c>
      <x:c r="AC258" s="12" t="str">
        <x:v>119 gives Hayes Lane–East Croydon corridor; Selhurst needs a local first/last leg.</x:v>
      </x:c>
      <x:c r="AD258" s="12" t="str">
        <x:v>TfL / route 119 + Selhurst location</x:v>
      </x:c>
      <x:c r="AE258" t="str">
        <x:v>Crystal Palace Women</x:v>
      </x:c>
      <x:c r="AF258" s="45" t="n">
        <x:v>1.3198768355539363</x:v>
      </x:c>
      <x:c r="AG258" t="str">
        <x:v>Dulwich Hamlet Women</x:v>
      </x:c>
      <x:c r="AH258" s="45" t="n">
        <x:v>8.295364378588996</x:v>
      </x:c>
      <x:c r="AI258" t="n">
        <x:v>92</x:v>
      </x:c>
      <x:c r="AJ258" t="str">
        <x:v>HIGH</x:v>
      </x:c>
    </x:row>
    <x:row r="259">
      <x:c r="A259" s="12" t="str">
        <x:v>E01001112</x:v>
      </x:c>
      <x:c r="B259" s="12" t="str">
        <x:v>Croydon 013C</x:v>
      </x:c>
      <x:c r="C259" s="12" t="str">
        <x:v>Croydon</x:v>
      </x:c>
      <x:c r="D259" s="44" t="n">
        <x:v>51.39514980111536</x:v>
      </x:c>
      <x:c r="E259" s="44" t="n">
        <x:v>-0.08365479830681806</x:v>
      </x:c>
      <x:c r="F259" s="33" t="n">
        <x:v>854</x:v>
      </x:c>
      <x:c r="G259" s="33" t="n">
        <x:v>292</x:v>
      </x:c>
      <x:c r="H259" s="26" t="n">
        <x:v>0.34192037470725994</x:v>
      </x:c>
      <x:c r="I259" s="12" t="n">
        <x:v>3</x:v>
      </x:c>
      <x:c r="J259" s="12" t="n">
        <x:v>84</x:v>
      </x:c>
      <x:c r="K259" s="12"/>
      <x:c r="L259" s="12"/>
      <x:c r="M259" s="12" t="str">
        <x:f>IF(K259="", "", MAX(0,IF(K259&lt;=20,100,IF(K259&lt;=30,85,IF(K259&lt;=40,70,IF(K259&lt;=50,55,IF(K259&lt;=60,40,20)))))-MIN(L259*5,20)))</x:f>
      </x:c>
      <x:c r="N259" s="12"/>
      <x:c r="O259" s="12"/>
      <x:c r="P259" s="12" t="str">
        <x:f>IF(OR(H259="",J259="",M259=""),"",ROUND(PERCENTRANK.INC($H$2:$H$941,H259)*35+J259*0.35+M259*0.30,0))</x:f>
      </x:c>
      <x:c r="Q259" s="12" t="str">
        <x:f>IF(P259="","",IF(P259&gt;=80,"ATTACK",IF(P259&gt;=65,"GROW",IF(P259&gt;=50,"PARTNER","WATCH"))))</x:f>
      </x:c>
      <x:c r="R259" s="12" t="str">
        <x:f>IF(Q259="","",IF(Q259="ATTACK","Grassroots + family acquisition",IF(Q259="GROW","Test local campaign",IF(Q259="PARTNER","Organisation-first partnership","Low priority / validate"))))</x:f>
      </x:c>
      <x:c r="S259" s="45" t="n">
        <x:v>7.048216743961582</x:v>
      </x:c>
      <x:c r="T259" t="str">
        <x:v>NEAR</x:v>
      </x:c>
      <x:c r="U259" s="32" t="n">
        <x:f>PERCENTRANK.INC($G$2:$G$941,G259)</x:f>
        <x:v>0.931</x:v>
      </x:c>
      <x:c r="V259" s="32" t="n">
        <x:f>PERCENTRANK.INC($H$2:$H$941,H259)</x:f>
        <x:v>0.63</x:v>
      </x:c>
      <x:c r="W259" t="n">
        <x:f>ROUND((U259*55+V259*45)*IF(S259&lt;=5,1,IF(S259&lt;=10,0.95,IF(S259&lt;=20,0.85,0.70))),0)</x:f>
        <x:v>76</x:v>
      </x:c>
      <x:c r="X259" t="n">
        <x:v>79</x:v>
      </x:c>
      <x:c r="Y259" t="str">
        <x:v>GROW</x:v>
      </x:c>
      <x:c r="Z259" s="12" t="str">
        <x:v>Family + verified grassroots + straight-line geo only; transport not yet routed</x:v>
      </x:c>
      <x:c r="AA259" s="12"/>
      <x:c r="AB259" s="12"/>
      <x:c r="AC259" s="12"/>
      <x:c r="AD259" s="12"/>
      <x:c r="AE259" t="str">
        <x:v>Crystal Palace Women</x:v>
      </x:c>
      <x:c r="AF259" s="45" t="n">
        <x:v>0.36319169712252747</x:v>
      </x:c>
      <x:c r="AG259" t="str">
        <x:v>Dulwich Hamlet Women</x:v>
      </x:c>
      <x:c r="AH259" s="45" t="n">
        <x:v>7.357835117244692</x:v>
      </x:c>
      <x:c r="AI259" t="n">
        <x:v>92</x:v>
      </x:c>
      <x:c r="AJ259" t="str">
        <x:v>HIGH</x:v>
      </x:c>
    </x:row>
    <x:row r="260">
      <x:c r="A260" s="12" t="str">
        <x:v>E01001113</x:v>
      </x:c>
      <x:c r="B260" s="12" t="str">
        <x:v>Croydon 013D</x:v>
      </x:c>
      <x:c r="C260" s="12" t="str">
        <x:v>Croydon</x:v>
      </x:c>
      <x:c r="D260" s="44" t="n">
        <x:v>51.39348814832085</x:v>
      </x:c>
      <x:c r="E260" s="44" t="n">
        <x:v>-0.08946175814902332</x:v>
      </x:c>
      <x:c r="F260" s="33" t="n">
        <x:v>859</x:v>
      </x:c>
      <x:c r="G260" s="33" t="n">
        <x:v>277</x:v>
      </x:c>
      <x:c r="H260" s="26" t="n">
        <x:v>0.3224679860302678</x:v>
      </x:c>
      <x:c r="I260" s="12" t="n">
        <x:v>3</x:v>
      </x:c>
      <x:c r="J260" s="12" t="n">
        <x:v>100</x:v>
      </x:c>
      <x:c r="K260" s="12"/>
      <x:c r="L260" s="12"/>
      <x:c r="M260" s="12" t="str">
        <x:f>IF(K260="", "", MAX(0,IF(K260&lt;=20,100,IF(K260&lt;=30,85,IF(K260&lt;=40,70,IF(K260&lt;=50,55,IF(K260&lt;=60,40,20)))))-MIN(L260*5,20)))</x:f>
      </x:c>
      <x:c r="N260" s="12"/>
      <x:c r="O260" s="12"/>
      <x:c r="P260" s="12" t="str">
        <x:f>IF(OR(H260="",J260="",M260=""),"",ROUND(PERCENTRANK.INC($H$2:$H$941,H260)*35+J260*0.35+M260*0.30,0))</x:f>
      </x:c>
      <x:c r="Q260" s="12" t="str">
        <x:f>IF(P260="","",IF(P260&gt;=80,"ATTACK",IF(P260&gt;=65,"GROW",IF(P260&gt;=50,"PARTNER","WATCH"))))</x:f>
      </x:c>
      <x:c r="R260" s="12" t="str">
        <x:f>IF(Q260="","",IF(Q260="ATTACK","Grassroots + family acquisition",IF(Q260="GROW","Test local campaign",IF(Q260="PARTNER","Organisation-first partnership","Low priority / validate"))))</x:f>
      </x:c>
      <x:c r="S260" s="45" t="n">
        <x:v>7.441228693362119</x:v>
      </x:c>
      <x:c r="T260" t="str">
        <x:v>NEAR</x:v>
      </x:c>
      <x:c r="U260" s="32" t="n">
        <x:f>PERCENTRANK.INC($G$2:$G$941,G260)</x:f>
        <x:v>0.887</x:v>
      </x:c>
      <x:c r="V260" s="32" t="n">
        <x:f>PERCENTRANK.INC($H$2:$H$941,H260)</x:f>
        <x:v>0.526</x:v>
      </x:c>
      <x:c r="W260" t="n">
        <x:f>ROUND((U260*55+V260*45)*IF(S260&lt;=5,1,IF(S260&lt;=10,0.95,IF(S260&lt;=20,0.85,0.70))),0)</x:f>
        <x:v>69</x:v>
      </x:c>
      <x:c r="X260" t="n">
        <x:v>83</x:v>
      </x:c>
      <x:c r="Y260" t="str">
        <x:v>ATTACK</x:v>
      </x:c>
      <x:c r="Z260" s="12" t="str">
        <x:v>Family + verified grassroots + straight-line geo only; transport not yet routed</x:v>
      </x:c>
      <x:c r="AA260" s="12"/>
      <x:c r="AB260" s="12"/>
      <x:c r="AC260" s="12"/>
      <x:c r="AD260" s="12"/>
      <x:c r="AE260" t="str">
        <x:v>Crystal Palace Women</x:v>
      </x:c>
      <x:c r="AF260" s="45" t="n">
        <x:v>0.6110606363948584</x:v>
      </x:c>
      <x:c r="AG260" t="str">
        <x:v>Dulwich Hamlet Women</x:v>
      </x:c>
      <x:c r="AH260" s="45" t="n">
        <x:v>7.552137196469074</x:v>
      </x:c>
      <x:c r="AI260" t="n">
        <x:v>92</x:v>
      </x:c>
      <x:c r="AJ260" t="str">
        <x:v>HIGH</x:v>
      </x:c>
    </x:row>
    <x:row r="261">
      <x:c r="A261" s="12" t="str">
        <x:v>E01001114</x:v>
      </x:c>
      <x:c r="B261" s="12" t="str">
        <x:v>Croydon 013E</x:v>
      </x:c>
      <x:c r="C261" s="12" t="str">
        <x:v>Croydon</x:v>
      </x:c>
      <x:c r="D261" s="44" t="n">
        <x:v>51.392289544266596</x:v>
      </x:c>
      <x:c r="E261" s="44" t="n">
        <x:v>-0.09392911592651243</x:v>
      </x:c>
      <x:c r="F261" s="33" t="n">
        <x:v>602</x:v>
      </x:c>
      <x:c r="G261" s="33" t="n">
        <x:v>257</x:v>
      </x:c>
      <x:c r="H261" s="26" t="n">
        <x:v>0.4269102990033223</x:v>
      </x:c>
      <x:c r="I261" s="12" t="n">
        <x:v>3</x:v>
      </x:c>
      <x:c r="J261" s="12" t="n">
        <x:v>100</x:v>
      </x:c>
      <x:c r="K261" s="12" t="n">
        <x:v>40</x:v>
      </x:c>
      <x:c r="L261" s="12" t="n">
        <x:v>1</x:v>
      </x:c>
      <x:c r="M261" s="12" t="n">
        <x:f>IF(K261="", "", MAX(0,IF(K261&lt;=20,100,IF(K261&lt;=30,85,IF(K261&lt;=40,70,IF(K261&lt;=50,55,IF(K261&lt;=60,40,20)))))-MIN(L261*5,20)))</x:f>
        <x:v>65</x:v>
      </x:c>
      <x:c r="N261" s="12"/>
      <x:c r="O261" s="12"/>
      <x:c r="P261" s="12" t="n">
        <x:f>IF(OR(H261="",J261="",M261=""),"",ROUND(PERCENTRANK.INC($H$2:$H$941,H261)*35+J261*0.35+M261*0.30,0))</x:f>
        <x:v>88</x:v>
      </x:c>
      <x:c r="Q261" s="12" t="str">
        <x:f>IF(P261="","",IF(P261&gt;=80,"ATTACK",IF(P261&gt;=65,"GROW",IF(P261&gt;=50,"PARTNER","WATCH"))))</x:f>
        <x:v>ATTACK</x:v>
      </x:c>
      <x:c r="R261" s="12" t="str">
        <x:f>IF(Q261="","",IF(Q261="ATTACK","Grassroots + family acquisition",IF(Q261="GROW","Test local campaign",IF(Q261="PARTNER","Organisation-first partnership","Low priority / validate"))))</x:f>
        <x:v>Grassroots + family acquisition</x:v>
      </x:c>
      <x:c r="S261" s="45" t="n">
        <x:v>7.747442381206232</x:v>
      </x:c>
      <x:c r="T261" t="str">
        <x:v>NEAR</x:v>
      </x:c>
      <x:c r="U261" s="32" t="n">
        <x:f>PERCENTRANK.INC($G$2:$G$941,G261)</x:f>
        <x:v>0.816</x:v>
      </x:c>
      <x:c r="V261" s="32" t="n">
        <x:f>PERCENTRANK.INC($H$2:$H$941,H261)</x:f>
        <x:v>0.952</x:v>
      </x:c>
      <x:c r="W261" t="n">
        <x:f>ROUND((U261*55+V261*45)*IF(S261&lt;=5,1,IF(S261&lt;=10,0.95,IF(S261&lt;=20,0.85,0.70))),0)</x:f>
        <x:v>83</x:v>
      </x:c>
      <x:c r="X261" t="n">
        <x:v>91</x:v>
      </x:c>
      <x:c r="Y261" t="str">
        <x:v>ATTACK</x:v>
      </x:c>
      <x:c r="Z261" s="12" t="str">
        <x:v>Family + verified grassroots + straight-line geo only; transport not yet routed</x:v>
      </x:c>
      <x:c r="AA261" s="12" t="str">
        <x:v>MEDIUM</x:v>
      </x:c>
      <x:c r="AB261" s="12" t="str">
        <x:v>CR0 2GR / Selhurst</x:v>
      </x:c>
      <x:c r="AC261" s="12" t="str">
        <x:v>119 gives Hayes Lane–East Croydon corridor; Selhurst needs a local first/last leg.</x:v>
      </x:c>
      <x:c r="AD261" s="12" t="str">
        <x:v>TfL / route 119 + Selhurst location</x:v>
      </x:c>
      <x:c r="AE261" t="str">
        <x:v>Crystal Palace Women</x:v>
      </x:c>
      <x:c r="AF261" s="45" t="n">
        <x:v>0.9026033723628143</x:v>
      </x:c>
      <x:c r="AG261" t="str">
        <x:v>Dulwich Hamlet Women</x:v>
      </x:c>
      <x:c r="AH261" s="45" t="n">
        <x:v>7.70677861116793</x:v>
      </x:c>
      <x:c r="AI261" t="n">
        <x:v>92</x:v>
      </x:c>
      <x:c r="AJ261" t="str">
        <x:v>HIGH</x:v>
      </x:c>
    </x:row>
    <x:row r="262">
      <x:c r="A262" s="12" t="str">
        <x:v>E01001116</x:v>
      </x:c>
      <x:c r="B262" s="12" t="str">
        <x:v>Croydon 013F</x:v>
      </x:c>
      <x:c r="C262" s="12" t="str">
        <x:v>Croydon</x:v>
      </x:c>
      <x:c r="D262" s="44" t="n">
        <x:v>51.38927596169797</x:v>
      </x:c>
      <x:c r="E262" s="44" t="n">
        <x:v>-0.0946045016566842</x:v>
      </x:c>
      <x:c r="F262" s="33" t="n">
        <x:v>606</x:v>
      </x:c>
      <x:c r="G262" s="33" t="n">
        <x:v>224</x:v>
      </x:c>
      <x:c r="H262" s="26" t="n">
        <x:v>0.3696369636963696</x:v>
      </x:c>
      <x:c r="I262" s="12" t="n">
        <x:v>3</x:v>
      </x:c>
      <x:c r="J262" s="12" t="n">
        <x:v>100</x:v>
      </x:c>
      <x:c r="K262" s="12"/>
      <x:c r="L262" s="12"/>
      <x:c r="M262" s="12" t="str">
        <x:f>IF(K262="", "", MAX(0,IF(K262&lt;=20,100,IF(K262&lt;=30,85,IF(K262&lt;=40,70,IF(K262&lt;=50,55,IF(K262&lt;=60,40,20)))))-MIN(L262*5,20)))</x:f>
      </x:c>
      <x:c r="N262" s="12"/>
      <x:c r="O262" s="12"/>
      <x:c r="P262" s="12" t="str">
        <x:f>IF(OR(H262="",J262="",M262=""),"",ROUND(PERCENTRANK.INC($H$2:$H$941,H262)*35+J262*0.35+M262*0.30,0))</x:f>
      </x:c>
      <x:c r="Q262" s="12" t="str">
        <x:f>IF(P262="","",IF(P262&gt;=80,"ATTACK",IF(P262&gt;=65,"GROW",IF(P262&gt;=50,"PARTNER","WATCH"))))</x:f>
      </x:c>
      <x:c r="R262" s="12" t="str">
        <x:f>IF(Q262="","",IF(Q262="ATTACK","Grassroots + family acquisition",IF(Q262="GROW","Test local campaign",IF(Q262="PARTNER","Organisation-first partnership","Low priority / validate"))))</x:f>
      </x:c>
      <x:c r="S262" s="45" t="n">
        <x:v>7.795514427406047</x:v>
      </x:c>
      <x:c r="T262" t="str">
        <x:v>NEAR</x:v>
      </x:c>
      <x:c r="U262" s="32" t="n">
        <x:f>PERCENTRANK.INC($G$2:$G$941,G262)</x:f>
        <x:v>0.576</x:v>
      </x:c>
      <x:c r="V262" s="32" t="n">
        <x:f>PERCENTRANK.INC($H$2:$H$941,H262)</x:f>
        <x:v>0.793</x:v>
      </x:c>
      <x:c r="W262" t="n">
        <x:f>ROUND((U262*55+V262*45)*IF(S262&lt;=5,1,IF(S262&lt;=10,0.95,IF(S262&lt;=20,0.85,0.70))),0)</x:f>
        <x:v>64</x:v>
      </x:c>
      <x:c r="X262" t="n">
        <x:v>80</x:v>
      </x:c>
      <x:c r="Y262" t="str">
        <x:v>ATTACK</x:v>
      </x:c>
      <x:c r="Z262" s="12" t="str">
        <x:v>Family + verified grassroots + straight-line geo only; transport not yet routed</x:v>
      </x:c>
      <x:c r="AA262" s="12"/>
      <x:c r="AB262" s="12"/>
      <x:c r="AC262" s="12"/>
      <x:c r="AD262" s="12"/>
      <x:c r="AE262" t="str">
        <x:v>Crystal Palace Women</x:v>
      </x:c>
      <x:c r="AF262" s="45" t="n">
        <x:v>1.1969577235213358</x:v>
      </x:c>
      <x:c r="AG262" t="str">
        <x:v>AFC Wimbledon Women</x:v>
      </x:c>
      <x:c r="AH262" s="45" t="n">
        <x:v>7.919357449438116</x:v>
      </x:c>
      <x:c r="AI262" t="n">
        <x:v>92</x:v>
      </x:c>
      <x:c r="AJ262" t="str">
        <x:v>HIGH</x:v>
      </x:c>
    </x:row>
    <x:row r="263">
      <x:c r="A263" s="12" t="str">
        <x:v>E01000992</x:v>
      </x:c>
      <x:c r="B263" s="12" t="str">
        <x:v>Croydon 014A</x:v>
      </x:c>
      <x:c r="C263" s="12" t="str">
        <x:v>Croydon</x:v>
      </x:c>
      <x:c r="D263" s="44" t="n">
        <x:v>51.38532731511473</x:v>
      </x:c>
      <x:c r="E263" s="44" t="n">
        <x:v>-0.05990065769988946</x:v>
      </x:c>
      <x:c r="F263" s="33" t="n">
        <x:v>681</x:v>
      </x:c>
      <x:c r="G263" s="33" t="n">
        <x:v>243</x:v>
      </x:c>
      <x:c r="H263" s="26" t="n">
        <x:v>0.3568281938325991</x:v>
      </x:c>
      <x:c r="I263" s="12" t="n">
        <x:v>4</x:v>
      </x:c>
      <x:c r="J263" s="12" t="n">
        <x:v>85</x:v>
      </x:c>
      <x:c r="K263" s="12"/>
      <x:c r="L263" s="12"/>
      <x:c r="M263" s="12" t="str">
        <x:f>IF(K263="", "", MAX(0,IF(K263&lt;=20,100,IF(K263&lt;=30,85,IF(K263&lt;=40,70,IF(K263&lt;=50,55,IF(K263&lt;=60,40,20)))))-MIN(L263*5,20)))</x:f>
      </x:c>
      <x:c r="N263" s="12"/>
      <x:c r="O263" s="12"/>
      <x:c r="P263" s="12" t="str">
        <x:f>IF(OR(H263="",J263="",M263=""),"",ROUND(PERCENTRANK.INC($H$2:$H$941,H263)*35+J263*0.35+M263*0.30,0))</x:f>
      </x:c>
      <x:c r="Q263" s="12" t="str">
        <x:f>IF(P263="","",IF(P263&gt;=80,"ATTACK",IF(P263&gt;=65,"GROW",IF(P263&gt;=50,"PARTNER","WATCH"))))</x:f>
      </x:c>
      <x:c r="R263" s="12" t="str">
        <x:f>IF(Q263="","",IF(Q263="ATTACK","Grassroots + family acquisition",IF(Q263="GROW","Test local campaign",IF(Q263="PARTNER","Organisation-first partnership","Low priority / validate"))))</x:f>
      </x:c>
      <x:c r="S263" s="45" t="n">
        <x:v>5.422034543003154</x:v>
      </x:c>
      <x:c r="T263" t="str">
        <x:v>NEAR</x:v>
      </x:c>
      <x:c r="U263" s="32" t="n">
        <x:f>PERCENTRANK.INC($G$2:$G$941,G263)</x:f>
        <x:v>0.73</x:v>
      </x:c>
      <x:c r="V263" s="32" t="n">
        <x:f>PERCENTRANK.INC($H$2:$H$941,H263)</x:f>
        <x:v>0.724</x:v>
      </x:c>
      <x:c r="W263" t="n">
        <x:f>ROUND((U263*55+V263*45)*IF(S263&lt;=5,1,IF(S263&lt;=10,0.95,IF(S263&lt;=20,0.85,0.70))),0)</x:f>
        <x:v>69</x:v>
      </x:c>
      <x:c r="X263" t="n">
        <x:v>76</x:v>
      </x:c>
      <x:c r="Y263" t="str">
        <x:v>GROW</x:v>
      </x:c>
      <x:c r="Z263" s="12" t="str">
        <x:v>Family + verified grassroots + straight-line geo only; transport not yet routed</x:v>
      </x:c>
      <x:c r="AA263" s="12"/>
      <x:c r="AB263" s="12"/>
      <x:c r="AC263" s="12"/>
      <x:c r="AD263" s="12"/>
      <x:c r="AE263" t="str">
        <x:v>Crystal Palace Women</x:v>
      </x:c>
      <x:c r="AF263" s="45" t="n">
        <x:v>2.267953866293717</x:v>
      </x:c>
      <x:c r="AG263" t="str">
        <x:v>Dulwich Hamlet Women</x:v>
      </x:c>
      <x:c r="AH263" s="45" t="n">
        <x:v>8.613375506651638</x:v>
      </x:c>
      <x:c r="AI263" t="n">
        <x:v>92</x:v>
      </x:c>
      <x:c r="AJ263" t="str">
        <x:v>HIGH</x:v>
      </x:c>
    </x:row>
    <x:row r="264">
      <x:c r="A264" s="12" t="str">
        <x:v>E01001185</x:v>
      </x:c>
      <x:c r="B264" s="12" t="str">
        <x:v>Croydon 014B</x:v>
      </x:c>
      <x:c r="C264" s="12" t="str">
        <x:v>Croydon</x:v>
      </x:c>
      <x:c r="D264" s="44" t="n">
        <x:v>51.387261068864994</x:v>
      </x:c>
      <x:c r="E264" s="44" t="n">
        <x:v>-0.06910862259075215</x:v>
      </x:c>
      <x:c r="F264" s="33" t="n">
        <x:v>745</x:v>
      </x:c>
      <x:c r="G264" s="33" t="n">
        <x:v>234</x:v>
      </x:c>
      <x:c r="H264" s="26" t="n">
        <x:v>0.31409395973154364</x:v>
      </x:c>
      <x:c r="I264" s="12" t="n">
        <x:v>3</x:v>
      </x:c>
      <x:c r="J264" s="12" t="n">
        <x:v>84</x:v>
      </x:c>
      <x:c r="K264" s="12"/>
      <x:c r="L264" s="12"/>
      <x:c r="M264" s="12" t="str">
        <x:f>IF(K264="", "", MAX(0,IF(K264&lt;=20,100,IF(K264&lt;=30,85,IF(K264&lt;=40,70,IF(K264&lt;=50,55,IF(K264&lt;=60,40,20)))))-MIN(L264*5,20)))</x:f>
      </x:c>
      <x:c r="N264" s="12"/>
      <x:c r="O264" s="12"/>
      <x:c r="P264" s="12" t="str">
        <x:f>IF(OR(H264="",J264="",M264=""),"",ROUND(PERCENTRANK.INC($H$2:$H$941,H264)*35+J264*0.35+M264*0.30,0))</x:f>
      </x:c>
      <x:c r="Q264" s="12" t="str">
        <x:f>IF(P264="","",IF(P264&gt;=80,"ATTACK",IF(P264&gt;=65,"GROW",IF(P264&gt;=50,"PARTNER","WATCH"))))</x:f>
      </x:c>
      <x:c r="R264" s="12" t="str">
        <x:f>IF(Q264="","",IF(Q264="ATTACK","Grassroots + family acquisition",IF(Q264="GROW","Test local campaign",IF(Q264="PARTNER","Organisation-first partnership","Low priority / validate"))))</x:f>
      </x:c>
      <x:c r="S264" s="45" t="n">
        <x:v>6.038449848315198</x:v>
      </x:c>
      <x:c r="T264" t="str">
        <x:v>NEAR</x:v>
      </x:c>
      <x:c r="U264" s="32" t="n">
        <x:f>PERCENTRANK.INC($G$2:$G$941,G264)</x:f>
        <x:v>0.658</x:v>
      </x:c>
      <x:c r="V264" s="32" t="n">
        <x:f>PERCENTRANK.INC($H$2:$H$941,H264)</x:f>
        <x:v>0.476</x:v>
      </x:c>
      <x:c r="W264" t="n">
        <x:f>ROUND((U264*55+V264*45)*IF(S264&lt;=5,1,IF(S264&lt;=10,0.95,IF(S264&lt;=20,0.85,0.70))),0)</x:f>
        <x:v>55</x:v>
      </x:c>
      <x:c r="X264" t="n">
        <x:v>68</x:v>
      </x:c>
      <x:c r="Y264" t="str">
        <x:v>GROW</x:v>
      </x:c>
      <x:c r="Z264" s="12" t="str">
        <x:v>Family + verified grassroots + straight-line geo only; transport not yet routed</x:v>
      </x:c>
      <x:c r="AA264" s="12"/>
      <x:c r="AB264" s="12"/>
      <x:c r="AC264" s="12"/>
      <x:c r="AD264" s="12"/>
      <x:c r="AE264" t="str">
        <x:v>Crystal Palace Women</x:v>
      </x:c>
      <x:c r="AF264" s="45" t="n">
        <x:v>1.6552997559225773</x:v>
      </x:c>
      <x:c r="AG264" t="str">
        <x:v>Dulwich Hamlet Women</x:v>
      </x:c>
      <x:c r="AH264" s="45" t="n">
        <x:v>8.299291307507296</x:v>
      </x:c>
      <x:c r="AI264" t="n">
        <x:v>92</x:v>
      </x:c>
      <x:c r="AJ264" t="str">
        <x:v>HIGH</x:v>
      </x:c>
    </x:row>
    <x:row r="265">
      <x:c r="A265" s="12" t="str">
        <x:v>E01001186</x:v>
      </x:c>
      <x:c r="B265" s="12" t="str">
        <x:v>Croydon 014C</x:v>
      </x:c>
      <x:c r="C265" s="12" t="str">
        <x:v>Croydon</x:v>
      </x:c>
      <x:c r="D265" s="44" t="n">
        <x:v>51.390935480443225</x:v>
      </x:c>
      <x:c r="E265" s="44" t="n">
        <x:v>-0.06821157968468915</x:v>
      </x:c>
      <x:c r="F265" s="33" t="n">
        <x:v>815</x:v>
      </x:c>
      <x:c r="G265" s="33" t="n">
        <x:v>216</x:v>
      </x:c>
      <x:c r="H265" s="26" t="n">
        <x:v>0.2650306748466258</x:v>
      </x:c>
      <x:c r="I265" s="12" t="n">
        <x:v>4</x:v>
      </x:c>
      <x:c r="J265" s="12" t="n">
        <x:v>93</x:v>
      </x:c>
      <x:c r="K265" s="12"/>
      <x:c r="L265" s="12"/>
      <x:c r="M265" s="12" t="str">
        <x:f>IF(K265="", "", MAX(0,IF(K265&lt;=20,100,IF(K265&lt;=30,85,IF(K265&lt;=40,70,IF(K265&lt;=50,55,IF(K265&lt;=60,40,20)))))-MIN(L265*5,20)))</x:f>
      </x:c>
      <x:c r="N265" s="12"/>
      <x:c r="O265" s="12"/>
      <x:c r="P265" s="12" t="str">
        <x:f>IF(OR(H265="",J265="",M265=""),"",ROUND(PERCENTRANK.INC($H$2:$H$941,H265)*35+J265*0.35+M265*0.30,0))</x:f>
      </x:c>
      <x:c r="Q265" s="12" t="str">
        <x:f>IF(P265="","",IF(P265&gt;=80,"ATTACK",IF(P265&gt;=65,"GROW",IF(P265&gt;=50,"PARTNER","WATCH"))))</x:f>
      </x:c>
      <x:c r="R265" s="12" t="str">
        <x:f>IF(Q265="","",IF(Q265="ATTACK","Grassroots + family acquisition",IF(Q265="GROW","Test local campaign",IF(Q265="PARTNER","Organisation-first partnership","Low priority / validate"))))</x:f>
      </x:c>
      <x:c r="S265" s="45" t="n">
        <x:v>5.961761332482472</x:v>
      </x:c>
      <x:c r="T265" t="str">
        <x:v>NEAR</x:v>
      </x:c>
      <x:c r="U265" s="32" t="n">
        <x:f>PERCENTRANK.INC($G$2:$G$941,G265)</x:f>
        <x:v>0.523</x:v>
      </x:c>
      <x:c r="V265" s="32" t="n">
        <x:f>PERCENTRANK.INC($H$2:$H$941,H265)</x:f>
        <x:v>0.242</x:v>
      </x:c>
      <x:c r="W265" t="n">
        <x:f>ROUND((U265*55+V265*45)*IF(S265&lt;=5,1,IF(S265&lt;=10,0.95,IF(S265&lt;=20,0.85,0.70))),0)</x:f>
        <x:v>38</x:v>
      </x:c>
      <x:c r="X265" t="n">
        <x:v>63</x:v>
      </x:c>
      <x:c r="Y265" t="str">
        <x:v>PARTNER</x:v>
      </x:c>
      <x:c r="Z265" s="12" t="str">
        <x:v>Family + verified grassroots + straight-line geo only; transport not yet routed</x:v>
      </x:c>
      <x:c r="AA265" s="12"/>
      <x:c r="AB265" s="12"/>
      <x:c r="AC265" s="12"/>
      <x:c r="AD265" s="12"/>
      <x:c r="AE265" t="str">
        <x:v>Crystal Palace Women</x:v>
      </x:c>
      <x:c r="AF265" s="45" t="n">
        <x:v>1.4310987833192883</x:v>
      </x:c>
      <x:c r="AG265" t="str">
        <x:v>Dulwich Hamlet Women</x:v>
      </x:c>
      <x:c r="AH265" s="45" t="n">
        <x:v>7.902402287014347</x:v>
      </x:c>
      <x:c r="AI265" t="n">
        <x:v>92</x:v>
      </x:c>
      <x:c r="AJ265" t="str">
        <x:v>HIGH</x:v>
      </x:c>
    </x:row>
    <x:row r="266">
      <x:c r="A266" s="12" t="str">
        <x:v>E01001188</x:v>
      </x:c>
      <x:c r="B266" s="12" t="str">
        <x:v>Croydon 014D</x:v>
      </x:c>
      <x:c r="C266" s="12" t="str">
        <x:v>Croydon</x:v>
      </x:c>
      <x:c r="D266" s="44" t="n">
        <x:v>51.393447330119734</x:v>
      </x:c>
      <x:c r="E266" s="44" t="n">
        <x:v>-0.07246201555378588</x:v>
      </x:c>
      <x:c r="F266" s="33" t="n">
        <x:v>749</x:v>
      </x:c>
      <x:c r="G266" s="33" t="n">
        <x:v>285</x:v>
      </x:c>
      <x:c r="H266" s="26" t="n">
        <x:v>0.38050734312416556</x:v>
      </x:c>
      <x:c r="I266" s="12" t="n">
        <x:v>3</x:v>
      </x:c>
      <x:c r="J266" s="12" t="n">
        <x:v>84</x:v>
      </x:c>
      <x:c r="K266" s="12"/>
      <x:c r="L266" s="12"/>
      <x:c r="M266" s="12" t="str">
        <x:f>IF(K266="", "", MAX(0,IF(K266&lt;=20,100,IF(K266&lt;=30,85,IF(K266&lt;=40,70,IF(K266&lt;=50,55,IF(K266&lt;=60,40,20)))))-MIN(L266*5,20)))</x:f>
      </x:c>
      <x:c r="N266" s="12"/>
      <x:c r="O266" s="12"/>
      <x:c r="P266" s="12" t="str">
        <x:f>IF(OR(H266="",J266="",M266=""),"",ROUND(PERCENTRANK.INC($H$2:$H$941,H266)*35+J266*0.35+M266*0.30,0))</x:f>
      </x:c>
      <x:c r="Q266" s="12" t="str">
        <x:f>IF(P266="","",IF(P266&gt;=80,"ATTACK",IF(P266&gt;=65,"GROW",IF(P266&gt;=50,"PARTNER","WATCH"))))</x:f>
      </x:c>
      <x:c r="R266" s="12" t="str">
        <x:f>IF(Q266="","",IF(Q266="ATTACK","Grassroots + family acquisition",IF(Q266="GROW","Test local campaign",IF(Q266="PARTNER","Organisation-first partnership","Low priority / validate"))))</x:f>
      </x:c>
      <x:c r="S266" s="45" t="n">
        <x:v>6.262501084553802</x:v>
      </x:c>
      <x:c r="T266" t="str">
        <x:v>NEAR</x:v>
      </x:c>
      <x:c r="U266" s="32" t="n">
        <x:f>PERCENTRANK.INC($G$2:$G$941,G266)</x:f>
        <x:v>0.915</x:v>
      </x:c>
      <x:c r="V266" s="32" t="n">
        <x:f>PERCENTRANK.INC($H$2:$H$941,H266)</x:f>
        <x:v>0.831</x:v>
      </x:c>
      <x:c r="W266" t="n">
        <x:f>ROUND((U266*55+V266*45)*IF(S266&lt;=5,1,IF(S266&lt;=10,0.95,IF(S266&lt;=20,0.85,0.70))),0)</x:f>
        <x:v>83</x:v>
      </x:c>
      <x:c r="X266" t="n">
        <x:v>84</x:v>
      </x:c>
      <x:c r="Y266" t="str">
        <x:v>ATTACK</x:v>
      </x:c>
      <x:c r="Z266" s="12" t="str">
        <x:v>Family + verified grassroots + straight-line geo only; transport not yet routed</x:v>
      </x:c>
      <x:c r="AA266" s="12"/>
      <x:c r="AB266" s="12"/>
      <x:c r="AC266" s="12"/>
      <x:c r="AD266" s="12"/>
      <x:c r="AE266" t="str">
        <x:v>Crystal Palace Women</x:v>
      </x:c>
      <x:c r="AF266" s="45" t="n">
        <x:v>1.0313337333656463</x:v>
      </x:c>
      <x:c r="AG266" t="str">
        <x:v>Dulwich Hamlet Women</x:v>
      </x:c>
      <x:c r="AH266" s="45" t="n">
        <x:v>7.5892362638777655</x:v>
      </x:c>
      <x:c r="AI266" t="n">
        <x:v>92</x:v>
      </x:c>
      <x:c r="AJ266" t="str">
        <x:v>HIGH</x:v>
      </x:c>
    </x:row>
    <x:row r="267">
      <x:c r="A267" s="12" t="str">
        <x:v>E01001193</x:v>
      </x:c>
      <x:c r="B267" s="12" t="str">
        <x:v>Croydon 014E</x:v>
      </x:c>
      <x:c r="C267" s="12" t="str">
        <x:v>Croydon</x:v>
      </x:c>
      <x:c r="D267" s="44" t="n">
        <x:v>51.39046185162104</x:v>
      </x:c>
      <x:c r="E267" s="44" t="n">
        <x:v>-0.07610590796169585</x:v>
      </x:c>
      <x:c r="F267" s="33" t="n">
        <x:v>575</x:v>
      </x:c>
      <x:c r="G267" s="33" t="n">
        <x:v>227</x:v>
      </x:c>
      <x:c r="H267" s="26" t="n">
        <x:v>0.3947826086956522</x:v>
      </x:c>
      <x:c r="I267" s="12" t="n">
        <x:v>3</x:v>
      </x:c>
      <x:c r="J267" s="12" t="n">
        <x:v>84</x:v>
      </x:c>
      <x:c r="K267" s="12"/>
      <x:c r="L267" s="12"/>
      <x:c r="M267" s="12" t="str">
        <x:f>IF(K267="", "", MAX(0,IF(K267&lt;=20,100,IF(K267&lt;=30,85,IF(K267&lt;=40,70,IF(K267&lt;=50,55,IF(K267&lt;=60,40,20)))))-MIN(L267*5,20)))</x:f>
      </x:c>
      <x:c r="N267" s="12"/>
      <x:c r="O267" s="12"/>
      <x:c r="P267" s="12" t="str">
        <x:f>IF(OR(H267="",J267="",M267=""),"",ROUND(PERCENTRANK.INC($H$2:$H$941,H267)*35+J267*0.35+M267*0.30,0))</x:f>
      </x:c>
      <x:c r="Q267" s="12" t="str">
        <x:f>IF(P267="","",IF(P267&gt;=80,"ATTACK",IF(P267&gt;=65,"GROW",IF(P267&gt;=50,"PARTNER","WATCH"))))</x:f>
      </x:c>
      <x:c r="R267" s="12" t="str">
        <x:f>IF(Q267="","",IF(Q267="ATTACK","Grassroots + family acquisition",IF(Q267="GROW","Test local campaign",IF(Q267="PARTNER","Organisation-first partnership","Low priority / validate"))))</x:f>
      </x:c>
      <x:c r="S267" s="45" t="n">
        <x:v>6.509807678699304</x:v>
      </x:c>
      <x:c r="T267" t="str">
        <x:v>NEAR</x:v>
      </x:c>
      <x:c r="U267" s="32" t="n">
        <x:f>PERCENTRANK.INC($G$2:$G$941,G267)</x:f>
        <x:v>0.605</x:v>
      </x:c>
      <x:c r="V267" s="32" t="n">
        <x:f>PERCENTRANK.INC($H$2:$H$941,H267)</x:f>
        <x:v>0.891</x:v>
      </x:c>
      <x:c r="W267" t="n">
        <x:f>ROUND((U267*55+V267*45)*IF(S267&lt;=5,1,IF(S267&lt;=10,0.95,IF(S267&lt;=20,0.85,0.70))),0)</x:f>
        <x:v>70</x:v>
      </x:c>
      <x:c r="X267" t="n">
        <x:v>76</x:v>
      </x:c>
      <x:c r="Y267" t="str">
        <x:v>GROW</x:v>
      </x:c>
      <x:c r="Z267" s="12" t="str">
        <x:v>Family + verified grassroots + straight-line geo only; transport not yet routed</x:v>
      </x:c>
      <x:c r="AA267" s="12"/>
      <x:c r="AB267" s="12"/>
      <x:c r="AC267" s="12"/>
      <x:c r="AD267" s="12"/>
      <x:c r="AE267" t="str">
        <x:v>Crystal Palace Women</x:v>
      </x:c>
      <x:c r="AF267" s="45" t="n">
        <x:v>1.072143369961746</x:v>
      </x:c>
      <x:c r="AG267" t="str">
        <x:v>Dulwich Hamlet Women</x:v>
      </x:c>
      <x:c r="AH267" s="45" t="n">
        <x:v>7.897968530007651</x:v>
      </x:c>
      <x:c r="AI267" t="n">
        <x:v>92</x:v>
      </x:c>
      <x:c r="AJ267" t="str">
        <x:v>HIGH</x:v>
      </x:c>
    </x:row>
    <x:row r="268">
      <x:c r="A268" s="12" t="str">
        <x:v>E01001004</x:v>
      </x:c>
      <x:c r="B268" s="12" t="str">
        <x:v>Croydon 015A</x:v>
      </x:c>
      <x:c r="C268" s="12" t="str">
        <x:v>Croydon</x:v>
      </x:c>
      <x:c r="D268" s="44" t="n">
        <x:v>51.39122289165932</x:v>
      </x:c>
      <x:c r="E268" s="44" t="n">
        <x:v>-0.10450925429725637</x:v>
      </x:c>
      <x:c r="F268" s="33" t="n">
        <x:v>781</x:v>
      </x:c>
      <x:c r="G268" s="33" t="n">
        <x:v>311</x:v>
      </x:c>
      <x:c r="H268" s="26" t="n">
        <x:v>0.39820742637644047</x:v>
      </x:c>
      <x:c r="I268" s="12" t="n">
        <x:v>3</x:v>
      </x:c>
      <x:c r="J268" s="12" t="n">
        <x:v>84</x:v>
      </x:c>
      <x:c r="K268" s="12"/>
      <x:c r="L268" s="12"/>
      <x:c r="M268" s="12" t="str">
        <x:f>IF(K268="", "", MAX(0,IF(K268&lt;=20,100,IF(K268&lt;=30,85,IF(K268&lt;=40,70,IF(K268&lt;=50,55,IF(K268&lt;=60,40,20)))))-MIN(L268*5,20)))</x:f>
      </x:c>
      <x:c r="N268" s="12"/>
      <x:c r="O268" s="12"/>
      <x:c r="P268" s="12" t="str">
        <x:f>IF(OR(H268="",J268="",M268=""),"",ROUND(PERCENTRANK.INC($H$2:$H$941,H268)*35+J268*0.35+M268*0.30,0))</x:f>
      </x:c>
      <x:c r="Q268" s="12" t="str">
        <x:f>IF(P268="","",IF(P268&gt;=80,"ATTACK",IF(P268&gt;=65,"GROW",IF(P268&gt;=50,"PARTNER","WATCH"))))</x:f>
      </x:c>
      <x:c r="R268" s="12" t="str">
        <x:f>IF(Q268="","",IF(Q268="ATTACK","Grassroots + family acquisition",IF(Q268="GROW","Test local campaign",IF(Q268="PARTNER","Organisation-first partnership","Low priority / validate"))))</x:f>
      </x:c>
      <x:c r="S268" s="45" t="n">
        <x:v>8.480325572252168</x:v>
      </x:c>
      <x:c r="T268" t="str">
        <x:v>NEAR</x:v>
      </x:c>
      <x:c r="U268" s="32" t="n">
        <x:f>PERCENTRANK.INC($G$2:$G$941,G268)</x:f>
        <x:v>0.955</x:v>
      </x:c>
      <x:c r="V268" s="32" t="n">
        <x:f>PERCENTRANK.INC($H$2:$H$941,H268)</x:f>
        <x:v>0.898</x:v>
      </x:c>
      <x:c r="W268" t="n">
        <x:f>ROUND((U268*55+V268*45)*IF(S268&lt;=5,1,IF(S268&lt;=10,0.95,IF(S268&lt;=20,0.85,0.70))),0)</x:f>
        <x:v>88</x:v>
      </x:c>
      <x:c r="X268" t="n">
        <x:v>86</x:v>
      </x:c>
      <x:c r="Y268" t="str">
        <x:v>ATTACK</x:v>
      </x:c>
      <x:c r="Z268" s="12" t="str">
        <x:v>Family + verified grassroots + straight-line geo only; transport not yet routed</x:v>
      </x:c>
      <x:c r="AA268" s="12"/>
      <x:c r="AB268" s="12"/>
      <x:c r="AC268" s="12"/>
      <x:c r="AD268" s="12"/>
      <x:c r="AE268" t="str">
        <x:v>Crystal Palace Women</x:v>
      </x:c>
      <x:c r="AF268" s="45" t="n">
        <x:v>1.5555812804856595</x:v>
      </x:c>
      <x:c r="AG268" t="str">
        <x:v>AFC Wimbledon Women</x:v>
      </x:c>
      <x:c r="AH268" s="45" t="n">
        <x:v>7.240347012620809</x:v>
      </x:c>
      <x:c r="AI268" t="n">
        <x:v>92</x:v>
      </x:c>
      <x:c r="AJ268" t="str">
        <x:v>HIGH</x:v>
      </x:c>
    </x:row>
    <x:row r="269">
      <x:c r="A269" s="12" t="str">
        <x:v>E01001115</x:v>
      </x:c>
      <x:c r="B269" s="12" t="str">
        <x:v>Croydon 015B</x:v>
      </x:c>
      <x:c r="C269" s="12" t="str">
        <x:v>Croydon</x:v>
      </x:c>
      <x:c r="D269" s="44" t="n">
        <x:v>51.38671912205991</x:v>
      </x:c>
      <x:c r="E269" s="44" t="n">
        <x:v>-0.10161611183826791</x:v>
      </x:c>
      <x:c r="F269" s="33" t="n">
        <x:v>648</x:v>
      </x:c>
      <x:c r="G269" s="33" t="n">
        <x:v>266</x:v>
      </x:c>
      <x:c r="H269" s="26" t="n">
        <x:v>0.4104938271604938</x:v>
      </x:c>
      <x:c r="I269" s="12" t="n">
        <x:v>3</x:v>
      </x:c>
      <x:c r="J269" s="12" t="n">
        <x:v>84</x:v>
      </x:c>
      <x:c r="K269" s="12"/>
      <x:c r="L269" s="12"/>
      <x:c r="M269" s="12" t="str">
        <x:f>IF(K269="", "", MAX(0,IF(K269&lt;=20,100,IF(K269&lt;=30,85,IF(K269&lt;=40,70,IF(K269&lt;=50,55,IF(K269&lt;=60,40,20)))))-MIN(L269*5,20)))</x:f>
      </x:c>
      <x:c r="N269" s="12"/>
      <x:c r="O269" s="12"/>
      <x:c r="P269" s="12" t="str">
        <x:f>IF(OR(H269="",J269="",M269=""),"",ROUND(PERCENTRANK.INC($H$2:$H$941,H269)*35+J269*0.35+M269*0.30,0))</x:f>
      </x:c>
      <x:c r="Q269" s="12" t="str">
        <x:f>IF(P269="","",IF(P269&gt;=80,"ATTACK",IF(P269&gt;=65,"GROW",IF(P269&gt;=50,"PARTNER","WATCH"))))</x:f>
      </x:c>
      <x:c r="R269" s="12" t="str">
        <x:f>IF(Q269="","",IF(Q269="ATTACK","Grassroots + family acquisition",IF(Q269="GROW","Test local campaign",IF(Q269="PARTNER","Organisation-first partnership","Low priority / validate"))))</x:f>
      </x:c>
      <x:c r="S269" s="45" t="n">
        <x:v>8.293518142466288</x:v>
      </x:c>
      <x:c r="T269" t="str">
        <x:v>NEAR</x:v>
      </x:c>
      <x:c r="U269" s="32" t="n">
        <x:f>PERCENTRANK.INC($G$2:$G$941,G269)</x:f>
        <x:v>0.854</x:v>
      </x:c>
      <x:c r="V269" s="32" t="n">
        <x:f>PERCENTRANK.INC($H$2:$H$941,H269)</x:f>
        <x:v>0.936</x:v>
      </x:c>
      <x:c r="W269" t="n">
        <x:f>ROUND((U269*55+V269*45)*IF(S269&lt;=5,1,IF(S269&lt;=10,0.95,IF(S269&lt;=20,0.85,0.70))),0)</x:f>
        <x:v>85</x:v>
      </x:c>
      <x:c r="X269" t="n">
        <x:v>84</x:v>
      </x:c>
      <x:c r="Y269" t="str">
        <x:v>ATTACK</x:v>
      </x:c>
      <x:c r="Z269" s="12" t="str">
        <x:v>Family + verified grassroots + straight-line geo only; transport not yet routed</x:v>
      </x:c>
      <x:c r="AA269" s="12"/>
      <x:c r="AB269" s="12"/>
      <x:c r="AC269" s="12"/>
      <x:c r="AD269" s="12"/>
      <x:c r="AE269" t="str">
        <x:v>Crystal Palace Women</x:v>
      </x:c>
      <x:c r="AF269" s="45" t="n">
        <x:v>1.7198266363813808</x:v>
      </x:c>
      <x:c r="AG269" t="str">
        <x:v>AFC Wimbledon Women</x:v>
      </x:c>
      <x:c r="AH269" s="45" t="n">
        <x:v>7.711473378475492</x:v>
      </x:c>
      <x:c r="AI269" t="n">
        <x:v>92</x:v>
      </x:c>
      <x:c r="AJ269" t="str">
        <x:v>HIGH</x:v>
      </x:c>
    </x:row>
    <x:row r="270">
      <x:c r="A270" s="12" t="str">
        <x:v>E01001178</x:v>
      </x:c>
      <x:c r="B270" s="12" t="str">
        <x:v>Croydon 015D</x:v>
      </x:c>
      <x:c r="C270" s="12" t="str">
        <x:v>Croydon</x:v>
      </x:c>
      <x:c r="D270" s="44" t="n">
        <x:v>51.39014664155323</x:v>
      </x:c>
      <x:c r="E270" s="44" t="n">
        <x:v>-0.11071435454603244</x:v>
      </x:c>
      <x:c r="F270" s="33" t="n">
        <x:v>600</x:v>
      </x:c>
      <x:c r="G270" s="33" t="n">
        <x:v>259</x:v>
      </x:c>
      <x:c r="H270" s="26" t="n">
        <x:v>0.43166666666666664</x:v>
      </x:c>
      <x:c r="I270" s="12" t="n">
        <x:v>3</x:v>
      </x:c>
      <x:c r="J270" s="12" t="n">
        <x:v>84</x:v>
      </x:c>
      <x:c r="K270" s="12"/>
      <x:c r="L270" s="12"/>
      <x:c r="M270" s="12" t="str">
        <x:f>IF(K270="", "", MAX(0,IF(K270&lt;=20,100,IF(K270&lt;=30,85,IF(K270&lt;=40,70,IF(K270&lt;=50,55,IF(K270&lt;=60,40,20)))))-MIN(L270*5,20)))</x:f>
      </x:c>
      <x:c r="N270" s="12"/>
      <x:c r="O270" s="12"/>
      <x:c r="P270" s="12" t="str">
        <x:f>IF(OR(H270="",J270="",M270=""),"",ROUND(PERCENTRANK.INC($H$2:$H$941,H270)*35+J270*0.35+M270*0.30,0))</x:f>
      </x:c>
      <x:c r="Q270" s="12" t="str">
        <x:f>IF(P270="","",IF(P270&gt;=80,"ATTACK",IF(P270&gt;=65,"GROW",IF(P270&gt;=50,"PARTNER","WATCH"))))</x:f>
      </x:c>
      <x:c r="R270" s="12" t="str">
        <x:f>IF(Q270="","",IF(Q270="ATTACK","Grassroots + family acquisition",IF(Q270="GROW","Test local campaign",IF(Q270="PARTNER","Organisation-first partnership","Low priority / validate"))))</x:f>
      </x:c>
      <x:c r="S270" s="45" t="n">
        <x:v>8.91142111343372</x:v>
      </x:c>
      <x:c r="T270" t="str">
        <x:v>NEAR</x:v>
      </x:c>
      <x:c r="U270" s="32" t="n">
        <x:f>PERCENTRANK.INC($G$2:$G$941,G270)</x:f>
        <x:v>0.824</x:v>
      </x:c>
      <x:c r="V270" s="32" t="n">
        <x:f>PERCENTRANK.INC($H$2:$H$941,H270)</x:f>
        <x:v>0.966</x:v>
      </x:c>
      <x:c r="W270" t="n">
        <x:f>ROUND((U270*55+V270*45)*IF(S270&lt;=5,1,IF(S270&lt;=10,0.95,IF(S270&lt;=20,0.85,0.70))),0)</x:f>
        <x:v>84</x:v>
      </x:c>
      <x:c r="X270" t="n">
        <x:v>84</x:v>
      </x:c>
      <x:c r="Y270" t="str">
        <x:v>ATTACK</x:v>
      </x:c>
      <x:c r="Z270" s="12" t="str">
        <x:v>Family + verified grassroots + straight-line geo only; transport not yet routed</x:v>
      </x:c>
      <x:c r="AA270" s="12"/>
      <x:c r="AB270" s="12"/>
      <x:c r="AC270" s="12"/>
      <x:c r="AD270" s="12"/>
      <x:c r="AE270" t="str">
        <x:v>Crystal Palace Women</x:v>
      </x:c>
      <x:c r="AF270" s="45" t="n">
        <x:v>1.9909478594915573</x:v>
      </x:c>
      <x:c r="AG270" t="str">
        <x:v>AFC Wimbledon Women</x:v>
      </x:c>
      <x:c r="AH270" s="45" t="n">
        <x:v>6.9837504956154355</x:v>
      </x:c>
      <x:c r="AI270" t="n">
        <x:v>92</x:v>
      </x:c>
      <x:c r="AJ270" t="str">
        <x:v>HIGH</x:v>
      </x:c>
    </x:row>
    <x:row r="271">
      <x:c r="A271" s="12" t="str">
        <x:v>E01001181</x:v>
      </x:c>
      <x:c r="B271" s="12" t="str">
        <x:v>Croydon 015E</x:v>
      </x:c>
      <x:c r="C271" s="12" t="str">
        <x:v>Croydon</x:v>
      </x:c>
      <x:c r="D271" s="44" t="n">
        <x:v>51.38781038011373</x:v>
      </x:c>
      <x:c r="E271" s="44" t="n">
        <x:v>-0.11194672959213069</x:v>
      </x:c>
      <x:c r="F271" s="33" t="n">
        <x:v>891</x:v>
      </x:c>
      <x:c r="G271" s="33" t="n">
        <x:v>407</x:v>
      </x:c>
      <x:c r="H271" s="26" t="n">
        <x:v>0.4567901234567901</x:v>
      </x:c>
      <x:c r="I271" s="12" t="n">
        <x:v>3</x:v>
      </x:c>
      <x:c r="J271" s="12" t="n">
        <x:v>76</x:v>
      </x:c>
      <x:c r="K271" s="12"/>
      <x:c r="L271" s="12"/>
      <x:c r="M271" s="12" t="str">
        <x:f>IF(K271="", "", MAX(0,IF(K271&lt;=20,100,IF(K271&lt;=30,85,IF(K271&lt;=40,70,IF(K271&lt;=50,55,IF(K271&lt;=60,40,20)))))-MIN(L271*5,20)))</x:f>
      </x:c>
      <x:c r="N271" s="12"/>
      <x:c r="O271" s="12"/>
      <x:c r="P271" s="12" t="str">
        <x:f>IF(OR(H271="",J271="",M271=""),"",ROUND(PERCENTRANK.INC($H$2:$H$941,H271)*35+J271*0.35+M271*0.30,0))</x:f>
      </x:c>
      <x:c r="Q271" s="12" t="str">
        <x:f>IF(P271="","",IF(P271&gt;=80,"ATTACK",IF(P271&gt;=65,"GROW",IF(P271&gt;=50,"PARTNER","WATCH"))))</x:f>
      </x:c>
      <x:c r="R271" s="12" t="str">
        <x:f>IF(Q271="","",IF(Q271="ATTACK","Grassroots + family acquisition",IF(Q271="GROW","Test local campaign",IF(Q271="PARTNER","Organisation-first partnership","Low priority / validate"))))</x:f>
      </x:c>
      <x:c r="S271" s="45" t="n">
        <x:v>9.003593036113612</x:v>
      </x:c>
      <x:c r="T271" t="str">
        <x:v>NEAR</x:v>
      </x:c>
      <x:c r="U271" s="32" t="n">
        <x:f>PERCENTRANK.INC($G$2:$G$941,G271)</x:f>
        <x:v>0.994</x:v>
      </x:c>
      <x:c r="V271" s="32" t="n">
        <x:f>PERCENTRANK.INC($H$2:$H$941,H271)</x:f>
        <x:v>0.98</x:v>
      </x:c>
      <x:c r="W271" t="n">
        <x:f>ROUND((U271*55+V271*45)*IF(S271&lt;=5,1,IF(S271&lt;=10,0.95,IF(S271&lt;=20,0.85,0.70))),0)</x:f>
        <x:v>94</x:v>
      </x:c>
      <x:c r="X271" t="n">
        <x:v>86</x:v>
      </x:c>
      <x:c r="Y271" t="str">
        <x:v>ATTACK</x:v>
      </x:c>
      <x:c r="Z271" s="12" t="str">
        <x:v>Family + verified grassroots + straight-line geo only; transport not yet routed</x:v>
      </x:c>
      <x:c r="AA271" s="12"/>
      <x:c r="AB271" s="12"/>
      <x:c r="AC271" s="12"/>
      <x:c r="AD271" s="12"/>
      <x:c r="AE271" t="str">
        <x:v>Crystal Palace Women</x:v>
      </x:c>
      <x:c r="AF271" s="45" t="n">
        <x:v>2.1936374520995705</x:v>
      </x:c>
      <x:c r="AG271" t="str">
        <x:v>AFC Wimbledon Women</x:v>
      </x:c>
      <x:c r="AH271" s="45" t="n">
        <x:v>7.093723976757922</x:v>
      </x:c>
      <x:c r="AI271" t="n">
        <x:v>92</x:v>
      </x:c>
      <x:c r="AJ271" t="str">
        <x:v>HIGH</x:v>
      </x:c>
    </x:row>
    <x:row r="272">
      <x:c r="A272" s="12" t="str">
        <x:v>E01034139</x:v>
      </x:c>
      <x:c r="B272" s="12" t="str">
        <x:v>Croydon 015F</x:v>
      </x:c>
      <x:c r="C272" s="12" t="str">
        <x:v>Croydon</x:v>
      </x:c>
      <x:c r="D272" s="44" t="n">
        <x:v>51.38552431313782</x:v>
      </x:c>
      <x:c r="E272" s="44" t="n">
        <x:v>-0.1062970487479451</x:v>
      </x:c>
      <x:c r="F272" s="33" t="n">
        <x:v>656</x:v>
      </x:c>
      <x:c r="G272" s="33" t="n">
        <x:v>249</x:v>
      </x:c>
      <x:c r="H272" s="26" t="n">
        <x:v>0.3795731707317073</x:v>
      </x:c>
      <x:c r="I272" s="12" t="n">
        <x:v>3</x:v>
      </x:c>
      <x:c r="J272" s="12" t="n">
        <x:v>84</x:v>
      </x:c>
      <x:c r="K272" s="12"/>
      <x:c r="L272" s="12"/>
      <x:c r="M272" s="12" t="str">
        <x:f>IF(K272="", "", MAX(0,IF(K272&lt;=20,100,IF(K272&lt;=30,85,IF(K272&lt;=40,70,IF(K272&lt;=50,55,IF(K272&lt;=60,40,20)))))-MIN(L272*5,20)))</x:f>
      </x:c>
      <x:c r="N272" s="12"/>
      <x:c r="O272" s="12"/>
      <x:c r="P272" s="12" t="str">
        <x:f>IF(OR(H272="",J272="",M272=""),"",ROUND(PERCENTRANK.INC($H$2:$H$941,H272)*35+J272*0.35+M272*0.30,0))</x:f>
      </x:c>
      <x:c r="Q272" s="12" t="str">
        <x:f>IF(P272="","",IF(P272&gt;=80,"ATTACK",IF(P272&gt;=65,"GROW",IF(P272&gt;=50,"PARTNER","WATCH"))))</x:f>
      </x:c>
      <x:c r="R272" s="12" t="str">
        <x:f>IF(Q272="","",IF(Q272="ATTACK","Grassroots + family acquisition",IF(Q272="GROW","Test local campaign",IF(Q272="PARTNER","Organisation-first partnership","Low priority / validate"))))</x:f>
      </x:c>
      <x:c r="S272" s="45" t="n">
        <x:v>8.626256466817567</x:v>
      </x:c>
      <x:c r="T272" t="str">
        <x:v>NEAR</x:v>
      </x:c>
      <x:c r="U272" s="32" t="n">
        <x:f>PERCENTRANK.INC($G$2:$G$941,G272)</x:f>
        <x:v>0.766</x:v>
      </x:c>
      <x:c r="V272" s="32" t="n">
        <x:f>PERCENTRANK.INC($H$2:$H$941,H272)</x:f>
        <x:v>0.825</x:v>
      </x:c>
      <x:c r="W272" t="n">
        <x:f>ROUND((U272*55+V272*45)*IF(S272&lt;=5,1,IF(S272&lt;=10,0.95,IF(S272&lt;=20,0.85,0.70))),0)</x:f>
        <x:v>75</x:v>
      </x:c>
      <x:c r="X272" t="n">
        <x:v>80</x:v>
      </x:c>
      <x:c r="Y272" t="str">
        <x:v>ATTACK</x:v>
      </x:c>
      <x:c r="Z272" s="12" t="str">
        <x:v>Family + verified grassroots + straight-line geo only; transport not yet routed</x:v>
      </x:c>
      <x:c r="AA272" s="12"/>
      <x:c r="AB272" s="12"/>
      <x:c r="AC272" s="12"/>
      <x:c r="AD272" s="12"/>
      <x:c r="AE272" t="str">
        <x:v>Crystal Palace Women</x:v>
      </x:c>
      <x:c r="AF272" s="45" t="n">
        <x:v>2.0407554854569003</x:v>
      </x:c>
      <x:c r="AG272" t="str">
        <x:v>AFC Wimbledon Women</x:v>
      </x:c>
      <x:c r="AH272" s="45" t="n">
        <x:v>7.554321305912068</x:v>
      </x:c>
      <x:c r="AI272" t="n">
        <x:v>92</x:v>
      </x:c>
      <x:c r="AJ272" t="str">
        <x:v>HIGH</x:v>
      </x:c>
    </x:row>
    <x:row r="273">
      <x:c r="A273" s="12" t="str">
        <x:v>E01034140</x:v>
      </x:c>
      <x:c r="B273" s="12" t="str">
        <x:v>Croydon 015G</x:v>
      </x:c>
      <x:c r="C273" s="12" t="str">
        <x:v>Croydon</x:v>
      </x:c>
      <x:c r="D273" s="44" t="n">
        <x:v>51.38590411000439</x:v>
      </x:c>
      <x:c r="E273" s="44" t="n">
        <x:v>-0.10936931771755103</x:v>
      </x:c>
      <x:c r="F273" s="33" t="n">
        <x:v>519</x:v>
      </x:c>
      <x:c r="G273" s="33" t="n">
        <x:v>193</x:v>
      </x:c>
      <x:c r="H273" s="26" t="n">
        <x:v>0.371868978805395</x:v>
      </x:c>
      <x:c r="I273" s="12" t="n">
        <x:v>3</x:v>
      </x:c>
      <x:c r="J273" s="12" t="n">
        <x:v>76</x:v>
      </x:c>
      <x:c r="K273" s="12"/>
      <x:c r="L273" s="12"/>
      <x:c r="M273" s="12" t="str">
        <x:f>IF(K273="", "", MAX(0,IF(K273&lt;=20,100,IF(K273&lt;=30,85,IF(K273&lt;=40,70,IF(K273&lt;=50,55,IF(K273&lt;=60,40,20)))))-MIN(L273*5,20)))</x:f>
      </x:c>
      <x:c r="N273" s="12"/>
      <x:c r="O273" s="12"/>
      <x:c r="P273" s="12" t="str">
        <x:f>IF(OR(H273="",J273="",M273=""),"",ROUND(PERCENTRANK.INC($H$2:$H$941,H273)*35+J273*0.35+M273*0.30,0))</x:f>
      </x:c>
      <x:c r="Q273" s="12" t="str">
        <x:f>IF(P273="","",IF(P273&gt;=80,"ATTACK",IF(P273&gt;=65,"GROW",IF(P273&gt;=50,"PARTNER","WATCH"))))</x:f>
      </x:c>
      <x:c r="R273" s="12" t="str">
        <x:f>IF(Q273="","",IF(Q273="ATTACK","Grassroots + family acquisition",IF(Q273="GROW","Test local campaign",IF(Q273="PARTNER","Organisation-first partnership","Low priority / validate"))))</x:f>
      </x:c>
      <x:c r="S273" s="45" t="n">
        <x:v>8.836089050305356</x:v>
      </x:c>
      <x:c r="T273" t="str">
        <x:v>NEAR</x:v>
      </x:c>
      <x:c r="U273" s="32" t="n">
        <x:f>PERCENTRANK.INC($G$2:$G$941,G273)</x:f>
        <x:v>0.333</x:v>
      </x:c>
      <x:c r="V273" s="32" t="n">
        <x:f>PERCENTRANK.INC($H$2:$H$941,H273)</x:f>
        <x:v>0.8</x:v>
      </x:c>
      <x:c r="W273" t="n">
        <x:f>ROUND((U273*55+V273*45)*IF(S273&lt;=5,1,IF(S273&lt;=10,0.95,IF(S273&lt;=20,0.85,0.70))),0)</x:f>
        <x:v>52</x:v>
      </x:c>
      <x:c r="X273" t="n">
        <x:v>63</x:v>
      </x:c>
      <x:c r="Y273" t="str">
        <x:v>PARTNER</x:v>
      </x:c>
      <x:c r="Z273" s="12" t="str">
        <x:v>Family + verified grassroots + straight-line geo only; transport not yet routed</x:v>
      </x:c>
      <x:c r="AA273" s="12"/>
      <x:c r="AB273" s="12"/>
      <x:c r="AC273" s="12"/>
      <x:c r="AD273" s="12"/>
      <x:c r="AE273" t="str">
        <x:v>Crystal Palace Women</x:v>
      </x:c>
      <x:c r="AF273" s="45" t="n">
        <x:v>2.1720126050870956</x:v>
      </x:c>
      <x:c r="AG273" t="str">
        <x:v>AFC Wimbledon Women</x:v>
      </x:c>
      <x:c r="AH273" s="45" t="n">
        <x:v>7.369134120149485</x:v>
      </x:c>
      <x:c r="AI273" t="n">
        <x:v>92</x:v>
      </x:c>
      <x:c r="AJ273" t="str">
        <x:v>HIGH</x:v>
      </x:c>
    </x:row>
    <x:row r="274">
      <x:c r="A274" s="12" t="str">
        <x:v>E01001006</x:v>
      </x:c>
      <x:c r="B274" s="12" t="str">
        <x:v>Croydon 016A</x:v>
      </x:c>
      <x:c r="C274" s="12" t="str">
        <x:v>Croydon</x:v>
      </x:c>
      <x:c r="D274" s="44" t="n">
        <x:v>51.383974981459474</x:v>
      </x:c>
      <x:c r="E274" s="44" t="n">
        <x:v>-0.1268685307503864</x:v>
      </x:c>
      <x:c r="F274" s="33" t="n">
        <x:v>692</x:v>
      </x:c>
      <x:c r="G274" s="33" t="n">
        <x:v>303</x:v>
      </x:c>
      <x:c r="H274" s="26" t="n">
        <x:v>0.43786127167630057</x:v>
      </x:c>
      <x:c r="I274" s="12" t="n">
        <x:v>3</x:v>
      </x:c>
      <x:c r="J274" s="12" t="n">
        <x:v>76</x:v>
      </x:c>
      <x:c r="K274" s="12"/>
      <x:c r="L274" s="12"/>
      <x:c r="M274" s="12" t="str">
        <x:f>IF(K274="", "", MAX(0,IF(K274&lt;=20,100,IF(K274&lt;=30,85,IF(K274&lt;=40,70,IF(K274&lt;=50,55,IF(K274&lt;=60,40,20)))))-MIN(L274*5,20)))</x:f>
      </x:c>
      <x:c r="N274" s="12"/>
      <x:c r="O274" s="12"/>
      <x:c r="P274" s="12" t="str">
        <x:f>IF(OR(H274="",J274="",M274=""),"",ROUND(PERCENTRANK.INC($H$2:$H$941,H274)*35+J274*0.35+M274*0.30,0))</x:f>
      </x:c>
      <x:c r="Q274" s="12" t="str">
        <x:f>IF(P274="","",IF(P274&gt;=80,"ATTACK",IF(P274&gt;=65,"GROW",IF(P274&gt;=50,"PARTNER","WATCH"))))</x:f>
      </x:c>
      <x:c r="R274" s="12" t="str">
        <x:f>IF(Q274="","",IF(Q274="ATTACK","Grassroots + family acquisition",IF(Q274="GROW","Test local campaign",IF(Q274="PARTNER","Organisation-first partnership","Low priority / validate"))))</x:f>
      </x:c>
      <x:c r="S274" s="45" t="n">
        <x:v>10.062721750524386</x:v>
      </x:c>
      <x:c r="T274" t="str">
        <x:v>EXTENDED</x:v>
      </x:c>
      <x:c r="U274" s="32" t="n">
        <x:f>PERCENTRANK.INC($G$2:$G$941,G274)</x:f>
        <x:v>0.943</x:v>
      </x:c>
      <x:c r="V274" s="32" t="n">
        <x:f>PERCENTRANK.INC($H$2:$H$941,H274)</x:f>
        <x:v>0.971</x:v>
      </x:c>
      <x:c r="W274" t="n">
        <x:f>ROUND((U274*55+V274*45)*IF(S274&lt;=5,1,IF(S274&lt;=10,0.95,IF(S274&lt;=20,0.85,0.70))),0)</x:f>
        <x:v>81</x:v>
      </x:c>
      <x:c r="X274" t="n">
        <x:v>79</x:v>
      </x:c>
      <x:c r="Y274" t="str">
        <x:v>GROW</x:v>
      </x:c>
      <x:c r="Z274" s="12" t="str">
        <x:v>Family + verified grassroots + straight-line geo only; transport not yet routed</x:v>
      </x:c>
      <x:c r="AA274" s="12"/>
      <x:c r="AB274" s="12"/>
      <x:c r="AC274" s="12"/>
      <x:c r="AD274" s="12"/>
      <x:c r="AE274" t="str">
        <x:v>Crystal Palace Women</x:v>
      </x:c>
      <x:c r="AF274" s="45" t="n">
        <x:v>3.3029221205704182</x:v>
      </x:c>
      <x:c r="AG274" t="str">
        <x:v>AFC Wimbledon Women</x:v>
      </x:c>
      <x:c r="AH274" s="45" t="n">
        <x:v>6.7038812545092785</x:v>
      </x:c>
      <x:c r="AI274" t="n">
        <x:v>81</x:v>
      </x:c>
      <x:c r="AJ274" t="str">
        <x:v>HIGH</x:v>
      </x:c>
    </x:row>
    <x:row r="275">
      <x:c r="A275" s="12" t="str">
        <x:v>E01001007</x:v>
      </x:c>
      <x:c r="B275" s="12" t="str">
        <x:v>Croydon 016B</x:v>
      </x:c>
      <x:c r="C275" s="12" t="str">
        <x:v>Croydon</x:v>
      </x:c>
      <x:c r="D275" s="44" t="n">
        <x:v>51.38696899024704</x:v>
      </x:c>
      <x:c r="E275" s="44" t="n">
        <x:v>-0.12760344943493063</x:v>
      </x:c>
      <x:c r="F275" s="33" t="n">
        <x:v>593</x:v>
      </x:c>
      <x:c r="G275" s="33" t="n">
        <x:v>257</x:v>
      </x:c>
      <x:c r="H275" s="26" t="n">
        <x:v>0.433389544688027</x:v>
      </x:c>
      <x:c r="I275" s="12" t="n">
        <x:v>3</x:v>
      </x:c>
      <x:c r="J275" s="12" t="n">
        <x:v>76</x:v>
      </x:c>
      <x:c r="K275" s="12"/>
      <x:c r="L275" s="12"/>
      <x:c r="M275" s="12" t="str">
        <x:f>IF(K275="", "", MAX(0,IF(K275&lt;=20,100,IF(K275&lt;=30,85,IF(K275&lt;=40,70,IF(K275&lt;=50,55,IF(K275&lt;=60,40,20)))))-MIN(L275*5,20)))</x:f>
      </x:c>
      <x:c r="N275" s="12"/>
      <x:c r="O275" s="12"/>
      <x:c r="P275" s="12" t="str">
        <x:f>IF(OR(H275="",J275="",M275=""),"",ROUND(PERCENTRANK.INC($H$2:$H$941,H275)*35+J275*0.35+M275*0.30,0))</x:f>
      </x:c>
      <x:c r="Q275" s="12" t="str">
        <x:f>IF(P275="","",IF(P275&gt;=80,"ATTACK",IF(P275&gt;=65,"GROW",IF(P275&gt;=50,"PARTNER","WATCH"))))</x:f>
      </x:c>
      <x:c r="R275" s="12" t="str">
        <x:f>IF(Q275="","",IF(Q275="ATTACK","Grassroots + family acquisition",IF(Q275="GROW","Test local campaign",IF(Q275="PARTNER","Organisation-first partnership","Low priority / validate"))))</x:f>
      </x:c>
      <x:c r="S275" s="45" t="n">
        <x:v>10.093040818813392</x:v>
      </x:c>
      <x:c r="T275" t="str">
        <x:v>EXTENDED</x:v>
      </x:c>
      <x:c r="U275" s="32" t="n">
        <x:f>PERCENTRANK.INC($G$2:$G$941,G275)</x:f>
        <x:v>0.816</x:v>
      </x:c>
      <x:c r="V275" s="32" t="n">
        <x:f>PERCENTRANK.INC($H$2:$H$941,H275)</x:f>
        <x:v>0.97</x:v>
      </x:c>
      <x:c r="W275" t="n">
        <x:f>ROUND((U275*55+V275*45)*IF(S275&lt;=5,1,IF(S275&lt;=10,0.95,IF(S275&lt;=20,0.85,0.70))),0)</x:f>
        <x:v>75</x:v>
      </x:c>
      <x:c r="X275" t="n">
        <x:v>76</x:v>
      </x:c>
      <x:c r="Y275" t="str">
        <x:v>GROW</x:v>
      </x:c>
      <x:c r="Z275" s="12" t="str">
        <x:v>Family + verified grassroots + straight-line geo only; transport not yet routed</x:v>
      </x:c>
      <x:c r="AA275" s="12"/>
      <x:c r="AB275" s="12"/>
      <x:c r="AC275" s="12"/>
      <x:c r="AD275" s="12"/>
      <x:c r="AE275" t="str">
        <x:v>Crystal Palace Women</x:v>
      </x:c>
      <x:c r="AF275" s="45" t="n">
        <x:v>3.2028524880936113</x:v>
      </x:c>
      <x:c r="AG275" t="str">
        <x:v>AFC Wimbledon Women</x:v>
      </x:c>
      <x:c r="AH275" s="45" t="n">
        <x:v>6.413272433281298</x:v>
      </x:c>
      <x:c r="AI275" t="n">
        <x:v>81</x:v>
      </x:c>
      <x:c r="AJ275" t="str">
        <x:v>HIGH</x:v>
      </x:c>
    </x:row>
    <x:row r="276">
      <x:c r="A276" s="12" t="str">
        <x:v>E01001177</x:v>
      </x:c>
      <x:c r="B276" s="12" t="str">
        <x:v>Croydon 016C</x:v>
      </x:c>
      <x:c r="C276" s="12" t="str">
        <x:v>Croydon</x:v>
      </x:c>
      <x:c r="D276" s="44" t="n">
        <x:v>51.38846781681906</x:v>
      </x:c>
      <x:c r="E276" s="44" t="n">
        <x:v>-0.12537710901067575</x:v>
      </x:c>
      <x:c r="F276" s="33" t="n">
        <x:v>552</x:v>
      </x:c>
      <x:c r="G276" s="33" t="n">
        <x:v>214</x:v>
      </x:c>
      <x:c r="H276" s="26" t="n">
        <x:v>0.38768115942028986</x:v>
      </x:c>
      <x:c r="I276" s="12" t="n">
        <x:v>3</x:v>
      </x:c>
      <x:c r="J276" s="12" t="n">
        <x:v>76</x:v>
      </x:c>
      <x:c r="K276" s="12"/>
      <x:c r="L276" s="12"/>
      <x:c r="M276" s="12" t="str">
        <x:f>IF(K276="", "", MAX(0,IF(K276&lt;=20,100,IF(K276&lt;=30,85,IF(K276&lt;=40,70,IF(K276&lt;=50,55,IF(K276&lt;=60,40,20)))))-MIN(L276*5,20)))</x:f>
      </x:c>
      <x:c r="N276" s="12"/>
      <x:c r="O276" s="12"/>
      <x:c r="P276" s="12" t="str">
        <x:f>IF(OR(H276="",J276="",M276=""),"",ROUND(PERCENTRANK.INC($H$2:$H$941,H276)*35+J276*0.35+M276*0.30,0))</x:f>
      </x:c>
      <x:c r="Q276" s="12" t="str">
        <x:f>IF(P276="","",IF(P276&gt;=80,"ATTACK",IF(P276&gt;=65,"GROW",IF(P276&gt;=50,"PARTNER","WATCH"))))</x:f>
      </x:c>
      <x:c r="R276" s="12" t="str">
        <x:f>IF(Q276="","",IF(Q276="ATTACK","Grassroots + family acquisition",IF(Q276="GROW","Test local campaign",IF(Q276="PARTNER","Organisation-first partnership","Low priority / validate"))))</x:f>
      </x:c>
      <x:c r="S276" s="45" t="n">
        <x:v>9.932457241756408</x:v>
      </x:c>
      <x:c r="T276" t="str">
        <x:v>NEAR</x:v>
      </x:c>
      <x:c r="U276" s="32" t="n">
        <x:f>PERCENTRANK.INC($G$2:$G$941,G276)</x:f>
        <x:v>0.502</x:v>
      </x:c>
      <x:c r="V276" s="32" t="n">
        <x:f>PERCENTRANK.INC($H$2:$H$941,H276)</x:f>
        <x:v>0.867</x:v>
      </x:c>
      <x:c r="W276" t="n">
        <x:f>ROUND((U276*55+V276*45)*IF(S276&lt;=5,1,IF(S276&lt;=10,0.95,IF(S276&lt;=20,0.85,0.70))),0)</x:f>
        <x:v>63</x:v>
      </x:c>
      <x:c r="X276" t="n">
        <x:v>69</x:v>
      </x:c>
      <x:c r="Y276" t="str">
        <x:v>GROW</x:v>
      </x:c>
      <x:c r="Z276" s="12" t="str">
        <x:v>Family + verified grassroots + straight-line geo only; transport not yet routed</x:v>
      </x:c>
      <x:c r="AA276" s="12"/>
      <x:c r="AB276" s="12"/>
      <x:c r="AC276" s="12"/>
      <x:c r="AD276" s="12"/>
      <x:c r="AE276" t="str">
        <x:v>Crystal Palace Women</x:v>
      </x:c>
      <x:c r="AF276" s="45" t="n">
        <x:v>2.9967320081422293</x:v>
      </x:c>
      <x:c r="AG276" t="str">
        <x:v>AFC Wimbledon Women</x:v>
      </x:c>
      <x:c r="AH276" s="45" t="n">
        <x:v>6.38818611265753</x:v>
      </x:c>
      <x:c r="AI276" t="n">
        <x:v>92</x:v>
      </x:c>
      <x:c r="AJ276" t="str">
        <x:v>HIGH</x:v>
      </x:c>
    </x:row>
    <x:row r="277">
      <x:c r="A277" s="12" t="str">
        <x:v>E01001179</x:v>
      </x:c>
      <x:c r="B277" s="12" t="str">
        <x:v>Croydon 016D</x:v>
      </x:c>
      <x:c r="C277" s="12" t="str">
        <x:v>Croydon</x:v>
      </x:c>
      <x:c r="D277" s="44" t="n">
        <x:v>51.389083270594</x:v>
      </x:c>
      <x:c r="E277" s="44" t="n">
        <x:v>-0.11759644283336956</x:v>
      </x:c>
      <x:c r="F277" s="33" t="n">
        <x:v>548</x:v>
      </x:c>
      <x:c r="G277" s="33" t="n">
        <x:v>215</x:v>
      </x:c>
      <x:c r="H277" s="26" t="n">
        <x:v>0.39233576642335766</x:v>
      </x:c>
      <x:c r="I277" s="12" t="n">
        <x:v>3</x:v>
      </x:c>
      <x:c r="J277" s="12" t="n">
        <x:v>76</x:v>
      </x:c>
      <x:c r="K277" s="12"/>
      <x:c r="L277" s="12"/>
      <x:c r="M277" s="12" t="str">
        <x:f>IF(K277="", "", MAX(0,IF(K277&lt;=20,100,IF(K277&lt;=30,85,IF(K277&lt;=40,70,IF(K277&lt;=50,55,IF(K277&lt;=60,40,20)))))-MIN(L277*5,20)))</x:f>
      </x:c>
      <x:c r="N277" s="12"/>
      <x:c r="O277" s="12"/>
      <x:c r="P277" s="12" t="str">
        <x:f>IF(OR(H277="",J277="",M277=""),"",ROUND(PERCENTRANK.INC($H$2:$H$941,H277)*35+J277*0.35+M277*0.30,0))</x:f>
      </x:c>
      <x:c r="Q277" s="12" t="str">
        <x:f>IF(P277="","",IF(P277&gt;=80,"ATTACK",IF(P277&gt;=65,"GROW",IF(P277&gt;=50,"PARTNER","WATCH"))))</x:f>
      </x:c>
      <x:c r="R277" s="12" t="str">
        <x:f>IF(Q277="","",IF(Q277="ATTACK","Grassroots + family acquisition",IF(Q277="GROW","Test local campaign",IF(Q277="PARTNER","Organisation-first partnership","Low priority / validate"))))</x:f>
      </x:c>
      <x:c r="S277" s="45" t="n">
        <x:v>9.390947264715889</x:v>
      </x:c>
      <x:c r="T277" t="str">
        <x:v>NEAR</x:v>
      </x:c>
      <x:c r="U277" s="32" t="n">
        <x:f>PERCENTRANK.INC($G$2:$G$941,G277)</x:f>
        <x:v>0.515</x:v>
      </x:c>
      <x:c r="V277" s="32" t="n">
        <x:f>PERCENTRANK.INC($H$2:$H$941,H277)</x:f>
        <x:v>0.882</x:v>
      </x:c>
      <x:c r="W277" t="n">
        <x:f>ROUND((U277*55+V277*45)*IF(S277&lt;=5,1,IF(S277&lt;=10,0.95,IF(S277&lt;=20,0.85,0.70))),0)</x:f>
        <x:v>65</x:v>
      </x:c>
      <x:c r="X277" t="n">
        <x:v>70</x:v>
      </x:c>
      <x:c r="Y277" t="str">
        <x:v>GROW</x:v>
      </x:c>
      <x:c r="Z277" s="12" t="str">
        <x:v>Family + verified grassroots + straight-line geo only; transport not yet routed</x:v>
      </x:c>
      <x:c r="AA277" s="12"/>
      <x:c r="AB277" s="12"/>
      <x:c r="AC277" s="12"/>
      <x:c r="AD277" s="12"/>
      <x:c r="AE277" t="str">
        <x:v>Crystal Palace Women</x:v>
      </x:c>
      <x:c r="AF277" s="45" t="n">
        <x:v>2.472581747256139</x:v>
      </x:c>
      <x:c r="AG277" t="str">
        <x:v>AFC Wimbledon Women</x:v>
      </x:c>
      <x:c r="AH277" s="45" t="n">
        <x:v>6.712307198861536</x:v>
      </x:c>
      <x:c r="AI277" t="n">
        <x:v>92</x:v>
      </x:c>
      <x:c r="AJ277" t="str">
        <x:v>HIGH</x:v>
      </x:c>
    </x:row>
    <x:row r="278">
      <x:c r="A278" s="12" t="str">
        <x:v>E01001180</x:v>
      </x:c>
      <x:c r="B278" s="12" t="str">
        <x:v>Croydon 016E</x:v>
      </x:c>
      <x:c r="C278" s="12" t="str">
        <x:v>Croydon</x:v>
      </x:c>
      <x:c r="D278" s="44" t="n">
        <x:v>51.38676615584737</x:v>
      </x:c>
      <x:c r="E278" s="44" t="n">
        <x:v>-0.11962135548839425</x:v>
      </x:c>
      <x:c r="F278" s="33" t="n">
        <x:v>674</x:v>
      </x:c>
      <x:c r="G278" s="33" t="n">
        <x:v>281</x:v>
      </x:c>
      <x:c r="H278" s="26" t="n">
        <x:v>0.4169139465875371</x:v>
      </x:c>
      <x:c r="I278" s="12" t="n">
        <x:v>3</x:v>
      </x:c>
      <x:c r="J278" s="12" t="n">
        <x:v>76</x:v>
      </x:c>
      <x:c r="K278" s="12"/>
      <x:c r="L278" s="12"/>
      <x:c r="M278" s="12" t="str">
        <x:f>IF(K278="", "", MAX(0,IF(K278&lt;=20,100,IF(K278&lt;=30,85,IF(K278&lt;=40,70,IF(K278&lt;=50,55,IF(K278&lt;=60,40,20)))))-MIN(L278*5,20)))</x:f>
      </x:c>
      <x:c r="N278" s="12"/>
      <x:c r="O278" s="12"/>
      <x:c r="P278" s="12" t="str">
        <x:f>IF(OR(H278="",J278="",M278=""),"",ROUND(PERCENTRANK.INC($H$2:$H$941,H278)*35+J278*0.35+M278*0.30,0))</x:f>
      </x:c>
      <x:c r="Q278" s="12" t="str">
        <x:f>IF(P278="","",IF(P278&gt;=80,"ATTACK",IF(P278&gt;=65,"GROW",IF(P278&gt;=50,"PARTNER","WATCH"))))</x:f>
      </x:c>
      <x:c r="R278" s="12" t="str">
        <x:f>IF(Q278="","",IF(Q278="ATTACK","Grassroots + family acquisition",IF(Q278="GROW","Test local campaign",IF(Q278="PARTNER","Organisation-first partnership","Low priority / validate"))))</x:f>
      </x:c>
      <x:c r="S278" s="45" t="n">
        <x:v>9.540847859416875</x:v>
      </x:c>
      <x:c r="T278" t="str">
        <x:v>NEAR</x:v>
      </x:c>
      <x:c r="U278" s="32" t="n">
        <x:f>PERCENTRANK.INC($G$2:$G$941,G278)</x:f>
        <x:v>0.906</x:v>
      </x:c>
      <x:c r="V278" s="32" t="n">
        <x:f>PERCENTRANK.INC($H$2:$H$941,H278)</x:f>
        <x:v>0.941</x:v>
      </x:c>
      <x:c r="W278" t="n">
        <x:f>ROUND((U278*55+V278*45)*IF(S278&lt;=5,1,IF(S278&lt;=10,0.95,IF(S278&lt;=20,0.85,0.70))),0)</x:f>
        <x:v>88</x:v>
      </x:c>
      <x:c r="X278" t="n">
        <x:v>82</x:v>
      </x:c>
      <x:c r="Y278" t="str">
        <x:v>ATTACK</x:v>
      </x:c>
      <x:c r="Z278" s="12" t="str">
        <x:v>Family + verified grassroots + straight-line geo only; transport not yet routed</x:v>
      </x:c>
      <x:c r="AA278" s="12"/>
      <x:c r="AB278" s="12"/>
      <x:c r="AC278" s="12"/>
      <x:c r="AD278" s="12"/>
      <x:c r="AE278" t="str">
        <x:v>Crystal Palace Women</x:v>
      </x:c>
      <x:c r="AF278" s="45" t="n">
        <x:v>2.7128563942646173</x:v>
      </x:c>
      <x:c r="AG278" t="str">
        <x:v>AFC Wimbledon Women</x:v>
      </x:c>
      <x:c r="AH278" s="45" t="n">
        <x:v>6.797738999939864</x:v>
      </x:c>
      <x:c r="AI278" t="n">
        <x:v>92</x:v>
      </x:c>
      <x:c r="AJ278" t="str">
        <x:v>HIGH</x:v>
      </x:c>
    </x:row>
    <x:row r="279">
      <x:c r="A279" s="12" t="str">
        <x:v>E01000980</x:v>
      </x:c>
      <x:c r="B279" s="12" t="str">
        <x:v>Croydon 017A</x:v>
      </x:c>
      <x:c r="C279" s="12" t="str">
        <x:v>Croydon</x:v>
      </x:c>
      <x:c r="D279" s="44" t="n">
        <x:v>51.386306660455205</x:v>
      </x:c>
      <x:c r="E279" s="44" t="n">
        <x:v>-0.08209817188357757</x:v>
      </x:c>
      <x:c r="F279" s="33" t="n">
        <x:v>577</x:v>
      </x:c>
      <x:c r="G279" s="33" t="n">
        <x:v>201</x:v>
      </x:c>
      <x:c r="H279" s="26" t="n">
        <x:v>0.3483535528596187</x:v>
      </x:c>
      <x:c r="I279" s="12" t="n">
        <x:v>3</x:v>
      </x:c>
      <x:c r="J279" s="12" t="n">
        <x:v>100</x:v>
      </x:c>
      <x:c r="K279" s="12"/>
      <x:c r="L279" s="12"/>
      <x:c r="M279" s="12" t="str">
        <x:f>IF(K279="", "", MAX(0,IF(K279&lt;=20,100,IF(K279&lt;=30,85,IF(K279&lt;=40,70,IF(K279&lt;=50,55,IF(K279&lt;=60,40,20)))))-MIN(L279*5,20)))</x:f>
      </x:c>
      <x:c r="N279" s="12"/>
      <x:c r="O279" s="12"/>
      <x:c r="P279" s="12" t="str">
        <x:f>IF(OR(H279="",J279="",M279=""),"",ROUND(PERCENTRANK.INC($H$2:$H$941,H279)*35+J279*0.35+M279*0.30,0))</x:f>
      </x:c>
      <x:c r="Q279" s="12" t="str">
        <x:f>IF(P279="","",IF(P279&gt;=80,"ATTACK",IF(P279&gt;=65,"GROW",IF(P279&gt;=50,"PARTNER","WATCH"))))</x:f>
      </x:c>
      <x:c r="R279" s="12" t="str">
        <x:f>IF(Q279="","",IF(Q279="ATTACK","Grassroots + family acquisition",IF(Q279="GROW","Test local campaign",IF(Q279="PARTNER","Organisation-first partnership","Low priority / validate"))))</x:f>
      </x:c>
      <x:c r="S279" s="45" t="n">
        <x:v>6.945146293617542</x:v>
      </x:c>
      <x:c r="T279" t="str">
        <x:v>NEAR</x:v>
      </x:c>
      <x:c r="U279" s="32" t="n">
        <x:f>PERCENTRANK.INC($G$2:$G$941,G279)</x:f>
        <x:v>0.396</x:v>
      </x:c>
      <x:c r="V279" s="32" t="n">
        <x:f>PERCENTRANK.INC($H$2:$H$941,H279)</x:f>
        <x:v>0.677</x:v>
      </x:c>
      <x:c r="W279" t="n">
        <x:f>ROUND((U279*55+V279*45)*IF(S279&lt;=5,1,IF(S279&lt;=10,0.95,IF(S279&lt;=20,0.85,0.70))),0)</x:f>
        <x:v>50</x:v>
      </x:c>
      <x:c r="X279" t="n">
        <x:v>73</x:v>
      </x:c>
      <x:c r="Y279" t="str">
        <x:v>GROW</x:v>
      </x:c>
      <x:c r="Z279" s="12" t="str">
        <x:v>Family + verified grassroots + straight-line geo only; transport not yet routed</x:v>
      </x:c>
      <x:c r="AA279" s="12"/>
      <x:c r="AB279" s="12"/>
      <x:c r="AC279" s="12"/>
      <x:c r="AD279" s="12"/>
      <x:c r="AE279" t="str">
        <x:v>Crystal Palace Women</x:v>
      </x:c>
      <x:c r="AF279" s="45" t="n">
        <x:v>1.3481099830223147</x:v>
      </x:c>
      <x:c r="AG279" t="str">
        <x:v>Dulwich Hamlet Women</x:v>
      </x:c>
      <x:c r="AH279" s="45" t="n">
        <x:v>8.342134776852928</x:v>
      </x:c>
      <x:c r="AI279" t="n">
        <x:v>92</x:v>
      </x:c>
      <x:c r="AJ279" t="str">
        <x:v>HIGH</x:v>
      </x:c>
    </x:row>
    <x:row r="280">
      <x:c r="A280" s="12" t="str">
        <x:v>E01000981</x:v>
      </x:c>
      <x:c r="B280" s="12" t="str">
        <x:v>Croydon 017B</x:v>
      </x:c>
      <x:c r="C280" s="12" t="str">
        <x:v>Croydon</x:v>
      </x:c>
      <x:c r="D280" s="44" t="n">
        <x:v>51.38483033578284</x:v>
      </x:c>
      <x:c r="E280" s="44" t="n">
        <x:v>-0.07522063152977111</x:v>
      </x:c>
      <x:c r="F280" s="33" t="n">
        <x:v>656</x:v>
      </x:c>
      <x:c r="G280" s="33" t="n">
        <x:v>232</x:v>
      </x:c>
      <x:c r="H280" s="26" t="n">
        <x:v>0.35365853658536583</x:v>
      </x:c>
      <x:c r="I280" s="12" t="n">
        <x:v>3</x:v>
      </x:c>
      <x:c r="J280" s="12" t="n">
        <x:v>92</x:v>
      </x:c>
      <x:c r="K280" s="12"/>
      <x:c r="L280" s="12"/>
      <x:c r="M280" s="12" t="str">
        <x:f>IF(K280="", "", MAX(0,IF(K280&lt;=20,100,IF(K280&lt;=30,85,IF(K280&lt;=40,70,IF(K280&lt;=50,55,IF(K280&lt;=60,40,20)))))-MIN(L280*5,20)))</x:f>
      </x:c>
      <x:c r="N280" s="12"/>
      <x:c r="O280" s="12"/>
      <x:c r="P280" s="12" t="str">
        <x:f>IF(OR(H280="",J280="",M280=""),"",ROUND(PERCENTRANK.INC($H$2:$H$941,H280)*35+J280*0.35+M280*0.30,0))</x:f>
      </x:c>
      <x:c r="Q280" s="12" t="str">
        <x:f>IF(P280="","",IF(P280&gt;=80,"ATTACK",IF(P280&gt;=65,"GROW",IF(P280&gt;=50,"PARTNER","WATCH"))))</x:f>
      </x:c>
      <x:c r="R280" s="12" t="str">
        <x:f>IF(Q280="","",IF(Q280="ATTACK","Grassroots + family acquisition",IF(Q280="GROW","Test local campaign",IF(Q280="PARTNER","Organisation-first partnership","Low priority / validate"))))</x:f>
      </x:c>
      <x:c r="S280" s="45" t="n">
        <x:v>6.484721316510372</x:v>
      </x:c>
      <x:c r="T280" t="str">
        <x:v>NEAR</x:v>
      </x:c>
      <x:c r="U280" s="32" t="n">
        <x:f>PERCENTRANK.INC($G$2:$G$941,G280)</x:f>
        <x:v>0.648</x:v>
      </x:c>
      <x:c r="V280" s="32" t="n">
        <x:f>PERCENTRANK.INC($H$2:$H$941,H280)</x:f>
        <x:v>0.706</x:v>
      </x:c>
      <x:c r="W280" t="n">
        <x:f>ROUND((U280*55+V280*45)*IF(S280&lt;=5,1,IF(S280&lt;=10,0.95,IF(S280&lt;=20,0.85,0.70))),0)</x:f>
        <x:v>64</x:v>
      </x:c>
      <x:c r="X280" t="n">
        <x:v>77</x:v>
      </x:c>
      <x:c r="Y280" t="str">
        <x:v>GROW</x:v>
      </x:c>
      <x:c r="Z280" s="12" t="str">
        <x:v>Family + verified grassroots + straight-line geo only; transport not yet routed</x:v>
      </x:c>
      <x:c r="AA280" s="12"/>
      <x:c r="AB280" s="12"/>
      <x:c r="AC280" s="12"/>
      <x:c r="AD280" s="12"/>
      <x:c r="AE280" t="str">
        <x:v>Crystal Palace Women</x:v>
      </x:c>
      <x:c r="AF280" s="45" t="n">
        <x:v>1.646597240647019</x:v>
      </x:c>
      <x:c r="AG280" t="str">
        <x:v>Dulwich Hamlet Women</x:v>
      </x:c>
      <x:c r="AH280" s="45" t="n">
        <x:v>8.526931865535479</x:v>
      </x:c>
      <x:c r="AI280" t="n">
        <x:v>92</x:v>
      </x:c>
      <x:c r="AJ280" t="str">
        <x:v>HIGH</x:v>
      </x:c>
    </x:row>
    <x:row r="281">
      <x:c r="A281" s="12" t="str">
        <x:v>E01000982</x:v>
      </x:c>
      <x:c r="B281" s="12" t="str">
        <x:v>Croydon 017C</x:v>
      </x:c>
      <x:c r="C281" s="12" t="str">
        <x:v>Croydon</x:v>
      </x:c>
      <x:c r="D281" s="44" t="n">
        <x:v>51.38391029409875</x:v>
      </x:c>
      <x:c r="E281" s="44" t="n">
        <x:v>-0.08113073473467972</x:v>
      </x:c>
      <x:c r="F281" s="33" t="n">
        <x:v>679</x:v>
      </x:c>
      <x:c r="G281" s="33" t="n">
        <x:v>248</x:v>
      </x:c>
      <x:c r="H281" s="26" t="n">
        <x:v>0.36524300441826213</x:v>
      </x:c>
      <x:c r="I281" s="12" t="n">
        <x:v>3</x:v>
      </x:c>
      <x:c r="J281" s="12" t="n">
        <x:v>100</x:v>
      </x:c>
      <x:c r="K281" s="12"/>
      <x:c r="L281" s="12"/>
      <x:c r="M281" s="12" t="str">
        <x:f>IF(K281="", "", MAX(0,IF(K281&lt;=20,100,IF(K281&lt;=30,85,IF(K281&lt;=40,70,IF(K281&lt;=50,55,IF(K281&lt;=60,40,20)))))-MIN(L281*5,20)))</x:f>
      </x:c>
      <x:c r="N281" s="12"/>
      <x:c r="O281" s="12"/>
      <x:c r="P281" s="12" t="str">
        <x:f>IF(OR(H281="",J281="",M281=""),"",ROUND(PERCENTRANK.INC($H$2:$H$941,H281)*35+J281*0.35+M281*0.30,0))</x:f>
      </x:c>
      <x:c r="Q281" s="12" t="str">
        <x:f>IF(P281="","",IF(P281&gt;=80,"ATTACK",IF(P281&gt;=65,"GROW",IF(P281&gt;=50,"PARTNER","WATCH"))))</x:f>
      </x:c>
      <x:c r="R281" s="12" t="str">
        <x:f>IF(Q281="","",IF(Q281="ATTACK","Grassroots + family acquisition",IF(Q281="GROW","Test local campaign",IF(Q281="PARTNER","Organisation-first partnership","Low priority / validate"))))</x:f>
      </x:c>
      <x:c r="S281" s="45" t="n">
        <x:v>6.903648819472776</x:v>
      </x:c>
      <x:c r="T281" t="str">
        <x:v>NEAR</x:v>
      </x:c>
      <x:c r="U281" s="32" t="n">
        <x:f>PERCENTRANK.INC($G$2:$G$941,G281)</x:f>
        <x:v>0.757</x:v>
      </x:c>
      <x:c r="V281" s="32" t="n">
        <x:f>PERCENTRANK.INC($H$2:$H$941,H281)</x:f>
        <x:v>0.772</x:v>
      </x:c>
      <x:c r="W281" t="n">
        <x:f>ROUND((U281*55+V281*45)*IF(S281&lt;=5,1,IF(S281&lt;=10,0.95,IF(S281&lt;=20,0.85,0.70))),0)</x:f>
        <x:v>73</x:v>
      </x:c>
      <x:c r="X281" t="n">
        <x:v>85</x:v>
      </x:c>
      <x:c r="Y281" t="str">
        <x:v>ATTACK</x:v>
      </x:c>
      <x:c r="Z281" s="12" t="str">
        <x:v>Family + verified grassroots + straight-line geo only; transport not yet routed</x:v>
      </x:c>
      <x:c r="AA281" s="12"/>
      <x:c r="AB281" s="12"/>
      <x:c r="AC281" s="12"/>
      <x:c r="AD281" s="12"/>
      <x:c r="AE281" t="str">
        <x:v>Crystal Palace Women</x:v>
      </x:c>
      <x:c r="AF281" s="45" t="n">
        <x:v>1.6219952856915383</x:v>
      </x:c>
      <x:c r="AG281" t="str">
        <x:v>Dulwich Hamlet Women</x:v>
      </x:c>
      <x:c r="AH281" s="45" t="n">
        <x:v>8.609845399911686</x:v>
      </x:c>
      <x:c r="AI281" t="n">
        <x:v>92</x:v>
      </x:c>
      <x:c r="AJ281" t="str">
        <x:v>HIGH</x:v>
      </x:c>
    </x:row>
    <x:row r="282">
      <x:c r="A282" s="12" t="str">
        <x:v>E01000983</x:v>
      </x:c>
      <x:c r="B282" s="12" t="str">
        <x:v>Croydon 017D</x:v>
      </x:c>
      <x:c r="C282" s="12" t="str">
        <x:v>Croydon</x:v>
      </x:c>
      <x:c r="D282" s="44" t="n">
        <x:v>51.38130914672327</x:v>
      </x:c>
      <x:c r="E282" s="44" t="n">
        <x:v>-0.07615536731451089</x:v>
      </x:c>
      <x:c r="F282" s="33" t="n">
        <x:v>722</x:v>
      </x:c>
      <x:c r="G282" s="33" t="n">
        <x:v>217</x:v>
      </x:c>
      <x:c r="H282" s="26" t="n">
        <x:v>0.30055401662049863</x:v>
      </x:c>
      <x:c r="I282" s="12" t="n">
        <x:v>3</x:v>
      </x:c>
      <x:c r="J282" s="12" t="n">
        <x:v>100</x:v>
      </x:c>
      <x:c r="K282" s="12"/>
      <x:c r="L282" s="12"/>
      <x:c r="M282" s="12" t="str">
        <x:f>IF(K282="", "", MAX(0,IF(K282&lt;=20,100,IF(K282&lt;=30,85,IF(K282&lt;=40,70,IF(K282&lt;=50,55,IF(K282&lt;=60,40,20)))))-MIN(L282*5,20)))</x:f>
      </x:c>
      <x:c r="N282" s="12"/>
      <x:c r="O282" s="12"/>
      <x:c r="P282" s="12" t="str">
        <x:f>IF(OR(H282="",J282="",M282=""),"",ROUND(PERCENTRANK.INC($H$2:$H$941,H282)*35+J282*0.35+M282*0.30,0))</x:f>
      </x:c>
      <x:c r="Q282" s="12" t="str">
        <x:f>IF(P282="","",IF(P282&gt;=80,"ATTACK",IF(P282&gt;=65,"GROW",IF(P282&gt;=50,"PARTNER","WATCH"))))</x:f>
      </x:c>
      <x:c r="R282" s="12" t="str">
        <x:f>IF(Q282="","",IF(Q282="ATTACK","Grassroots + family acquisition",IF(Q282="GROW","Test local campaign",IF(Q282="PARTNER","Organisation-first partnership","Low priority / validate"))))</x:f>
      </x:c>
      <x:c r="S282" s="45" t="n">
        <x:v>6.6018738396601835</x:v>
      </x:c>
      <x:c r="T282" t="str">
        <x:v>NEAR</x:v>
      </x:c>
      <x:c r="U282" s="32" t="n">
        <x:f>PERCENTRANK.INC($G$2:$G$941,G282)</x:f>
        <x:v>0.531</x:v>
      </x:c>
      <x:c r="V282" s="32" t="n">
        <x:f>PERCENTRANK.INC($H$2:$H$941,H282)</x:f>
        <x:v>0.396</x:v>
      </x:c>
      <x:c r="W282" t="n">
        <x:f>ROUND((U282*55+V282*45)*IF(S282&lt;=5,1,IF(S282&lt;=10,0.95,IF(S282&lt;=20,0.85,0.70))),0)</x:f>
        <x:v>45</x:v>
      </x:c>
      <x:c r="X282" t="n">
        <x:v>70</x:v>
      </x:c>
      <x:c r="Y282" t="str">
        <x:v>GROW</x:v>
      </x:c>
      <x:c r="Z282" s="12" t="str">
        <x:v>Family + verified grassroots + straight-line geo only; transport not yet routed</x:v>
      </x:c>
      <x:c r="AA282" s="12"/>
      <x:c r="AB282" s="12"/>
      <x:c r="AC282" s="12"/>
      <x:c r="AD282" s="12"/>
      <x:c r="AE282" t="str">
        <x:v>Crystal Palace Women</x:v>
      </x:c>
      <x:c r="AF282" s="45" t="n">
        <x:v>1.9876057785548693</x:v>
      </x:c>
      <x:c r="AG282" t="str">
        <x:v>Dulwich Hamlet Women</x:v>
      </x:c>
      <x:c r="AH282" s="45" t="n">
        <x:v>8.913341527625033</x:v>
      </x:c>
      <x:c r="AI282" t="n">
        <x:v>92</x:v>
      </x:c>
      <x:c r="AJ282" t="str">
        <x:v>HIGH</x:v>
      </x:c>
    </x:row>
    <x:row r="283">
      <x:c r="A283" s="12" t="str">
        <x:v>E01001187</x:v>
      </x:c>
      <x:c r="B283" s="12" t="str">
        <x:v>Croydon 017E</x:v>
      </x:c>
      <x:c r="C283" s="12" t="str">
        <x:v>Croydon</x:v>
      </x:c>
      <x:c r="D283" s="44" t="n">
        <x:v>51.38798065798921</x:v>
      </x:c>
      <x:c r="E283" s="44" t="n">
        <x:v>-0.07664713432407752</x:v>
      </x:c>
      <x:c r="F283" s="33" t="n">
        <x:v>811</x:v>
      </x:c>
      <x:c r="G283" s="33" t="n">
        <x:v>268</x:v>
      </x:c>
      <x:c r="H283" s="26" t="n">
        <x:v>0.33045622688039455</x:v>
      </x:c>
      <x:c r="I283" s="12" t="n">
        <x:v>3</x:v>
      </x:c>
      <x:c r="J283" s="12" t="n">
        <x:v>92</x:v>
      </x:c>
      <x:c r="K283" s="12"/>
      <x:c r="L283" s="12"/>
      <x:c r="M283" s="12" t="str">
        <x:f>IF(K283="", "", MAX(0,IF(K283&lt;=20,100,IF(K283&lt;=30,85,IF(K283&lt;=40,70,IF(K283&lt;=50,55,IF(K283&lt;=60,40,20)))))-MIN(L283*5,20)))</x:f>
      </x:c>
      <x:c r="N283" s="12"/>
      <x:c r="O283" s="12"/>
      <x:c r="P283" s="12" t="str">
        <x:f>IF(OR(H283="",J283="",M283=""),"",ROUND(PERCENTRANK.INC($H$2:$H$941,H283)*35+J283*0.35+M283*0.30,0))</x:f>
      </x:c>
      <x:c r="Q283" s="12" t="str">
        <x:f>IF(P283="","",IF(P283&gt;=80,"ATTACK",IF(P283&gt;=65,"GROW",IF(P283&gt;=50,"PARTNER","WATCH"))))</x:f>
      </x:c>
      <x:c r="R283" s="12" t="str">
        <x:f>IF(Q283="","",IF(Q283="ATTACK","Grassroots + family acquisition",IF(Q283="GROW","Test local campaign",IF(Q283="PARTNER","Organisation-first partnership","Low priority / validate"))))</x:f>
      </x:c>
      <x:c r="S283" s="45" t="n">
        <x:v>6.555791549852598</x:v>
      </x:c>
      <x:c r="T283" t="str">
        <x:v>NEAR</x:v>
      </x:c>
      <x:c r="U283" s="32" t="n">
        <x:f>PERCENTRANK.INC($G$2:$G$941,G283)</x:f>
        <x:v>0.861</x:v>
      </x:c>
      <x:c r="V283" s="32" t="n">
        <x:f>PERCENTRANK.INC($H$2:$H$941,H283)</x:f>
        <x:v>0.567</x:v>
      </x:c>
      <x:c r="W283" t="n">
        <x:f>ROUND((U283*55+V283*45)*IF(S283&lt;=5,1,IF(S283&lt;=10,0.95,IF(S283&lt;=20,0.85,0.70))),0)</x:f>
        <x:v>69</x:v>
      </x:c>
      <x:c r="X283" t="n">
        <x:v>80</x:v>
      </x:c>
      <x:c r="Y283" t="str">
        <x:v>ATTACK</x:v>
      </x:c>
      <x:c r="Z283" s="12" t="str">
        <x:v>Family + verified grassroots + straight-line geo only; transport not yet routed</x:v>
      </x:c>
      <x:c r="AA283" s="12"/>
      <x:c r="AB283" s="12"/>
      <x:c r="AC283" s="12"/>
      <x:c r="AD283" s="12"/>
      <x:c r="AE283" t="str">
        <x:v>Crystal Palace Women</x:v>
      </x:c>
      <x:c r="AF283" s="45" t="n">
        <x:v>1.2882583468832784</x:v>
      </x:c>
      <x:c r="AG283" t="str">
        <x:v>Dulwich Hamlet Women</x:v>
      </x:c>
      <x:c r="AH283" s="45" t="n">
        <x:v>8.170807541027358</x:v>
      </x:c>
      <x:c r="AI283" t="n">
        <x:v>92</x:v>
      </x:c>
      <x:c r="AJ283" t="str">
        <x:v>HIGH</x:v>
      </x:c>
    </x:row>
    <x:row r="284">
      <x:c r="A284" s="12" t="str">
        <x:v>E01000989</x:v>
      </x:c>
      <x:c r="B284" s="12" t="str">
        <x:v>Croydon 018A</x:v>
      </x:c>
      <x:c r="C284" s="12" t="str">
        <x:v>Croydon</x:v>
      </x:c>
      <x:c r="D284" s="44" t="n">
        <x:v>51.3892152095463</x:v>
      </x:c>
      <x:c r="E284" s="44" t="n">
        <x:v>-0.0471431467736135</x:v>
      </x:c>
      <x:c r="F284" s="33" t="n">
        <x:v>627</x:v>
      </x:c>
      <x:c r="G284" s="33" t="n">
        <x:v>209</x:v>
      </x:c>
      <x:c r="H284" s="26" t="n">
        <x:v>0.3333333333333333</x:v>
      </x:c>
      <x:c r="I284" s="12" t="n">
        <x:v>4</x:v>
      </x:c>
      <x:c r="J284" s="12" t="n">
        <x:v>85</x:v>
      </x:c>
      <x:c r="K284" s="12"/>
      <x:c r="L284" s="12"/>
      <x:c r="M284" s="12" t="str">
        <x:f>IF(K284="", "", MAX(0,IF(K284&lt;=20,100,IF(K284&lt;=30,85,IF(K284&lt;=40,70,IF(K284&lt;=50,55,IF(K284&lt;=60,40,20)))))-MIN(L284*5,20)))</x:f>
      </x:c>
      <x:c r="N284" s="12"/>
      <x:c r="O284" s="12"/>
      <x:c r="P284" s="12" t="str">
        <x:f>IF(OR(H284="",J284="",M284=""),"",ROUND(PERCENTRANK.INC($H$2:$H$941,H284)*35+J284*0.35+M284*0.30,0))</x:f>
      </x:c>
      <x:c r="Q284" s="12" t="str">
        <x:f>IF(P284="","",IF(P284&gt;=80,"ATTACK",IF(P284&gt;=65,"GROW",IF(P284&gt;=50,"PARTNER","WATCH"))))</x:f>
      </x:c>
      <x:c r="R284" s="12" t="str">
        <x:f>IF(Q284="","",IF(Q284="ATTACK","Grassroots + family acquisition",IF(Q284="GROW","Test local campaign",IF(Q284="PARTNER","Organisation-first partnership","Low priority / validate"))))</x:f>
      </x:c>
      <x:c r="S284" s="45" t="n">
        <x:v>4.50428439793891</x:v>
      </x:c>
      <x:c r="T284" t="str">
        <x:v>CORE</x:v>
      </x:c>
      <x:c r="U284" s="32" t="n">
        <x:f>PERCENTRANK.INC($G$2:$G$941,G284)</x:f>
        <x:v>0.461</x:v>
      </x:c>
      <x:c r="V284" s="32" t="n">
        <x:f>PERCENTRANK.INC($H$2:$H$941,H284)</x:f>
        <x:v>0.591</x:v>
      </x:c>
      <x:c r="W284" t="n">
        <x:f>ROUND((U284*55+V284*45)*IF(S284&lt;=5,1,IF(S284&lt;=10,0.95,IF(S284&lt;=20,0.85,0.70))),0)</x:f>
        <x:v>52</x:v>
      </x:c>
      <x:c r="X284" t="n">
        <x:v>67</x:v>
      </x:c>
      <x:c r="Y284" t="str">
        <x:v>GROW</x:v>
      </x:c>
      <x:c r="Z284" s="12" t="str">
        <x:v>Family + verified grassroots + straight-line geo only; transport not yet routed</x:v>
      </x:c>
      <x:c r="AA284" s="12"/>
      <x:c r="AB284" s="12"/>
      <x:c r="AC284" s="12"/>
      <x:c r="AD284" s="12"/>
      <x:c r="AE284" t="str">
        <x:v>Crystal Palace Women</x:v>
      </x:c>
      <x:c r="AF284" s="45" t="n">
        <x:v>2.8230607978341964</x:v>
      </x:c>
      <x:c r="AG284" t="str">
        <x:v>Dulwich Hamlet Women</x:v>
      </x:c>
      <x:c r="AH284" s="45" t="n">
        <x:v>8.414667585482865</x:v>
      </x:c>
      <x:c r="AI284" t="n">
        <x:v>92</x:v>
      </x:c>
      <x:c r="AJ284" t="str">
        <x:v>HIGH</x:v>
      </x:c>
    </x:row>
    <x:row r="285">
      <x:c r="A285" s="12" t="str">
        <x:v>E01000991</x:v>
      </x:c>
      <x:c r="B285" s="12" t="str">
        <x:v>Croydon 018B</x:v>
      </x:c>
      <x:c r="C285" s="12" t="str">
        <x:v>Croydon</x:v>
      </x:c>
      <x:c r="D285" s="44" t="n">
        <x:v>51.38500933454364</x:v>
      </x:c>
      <x:c r="E285" s="44" t="n">
        <x:v>-0.04766882140596727</x:v>
      </x:c>
      <x:c r="F285" s="33" t="n">
        <x:v>685</x:v>
      </x:c>
      <x:c r="G285" s="33" t="n">
        <x:v>178</x:v>
      </x:c>
      <x:c r="H285" s="26" t="n">
        <x:v>0.25985401459854013</x:v>
      </x:c>
      <x:c r="I285" s="12" t="n">
        <x:v>4</x:v>
      </x:c>
      <x:c r="J285" s="12" t="n">
        <x:v>92</x:v>
      </x:c>
      <x:c r="K285" s="12"/>
      <x:c r="L285" s="12"/>
      <x:c r="M285" s="12" t="str">
        <x:f>IF(K285="", "", MAX(0,IF(K285&lt;=20,100,IF(K285&lt;=30,85,IF(K285&lt;=40,70,IF(K285&lt;=50,55,IF(K285&lt;=60,40,20)))))-MIN(L285*5,20)))</x:f>
      </x:c>
      <x:c r="N285" s="12"/>
      <x:c r="O285" s="12"/>
      <x:c r="P285" s="12" t="str">
        <x:f>IF(OR(H285="",J285="",M285=""),"",ROUND(PERCENTRANK.INC($H$2:$H$941,H285)*35+J285*0.35+M285*0.30,0))</x:f>
      </x:c>
      <x:c r="Q285" s="12" t="str">
        <x:f>IF(P285="","",IF(P285&gt;=80,"ATTACK",IF(P285&gt;=65,"GROW",IF(P285&gt;=50,"PARTNER","WATCH"))))</x:f>
      </x:c>
      <x:c r="R285" s="12" t="str">
        <x:f>IF(Q285="","",IF(Q285="ATTACK","Grassroots + family acquisition",IF(Q285="GROW","Test local campaign",IF(Q285="PARTNER","Organisation-first partnership","Low priority / validate"))))</x:f>
      </x:c>
      <x:c r="S285" s="45" t="n">
        <x:v>4.585058100671133</x:v>
      </x:c>
      <x:c r="T285" t="str">
        <x:v>CORE</x:v>
      </x:c>
      <x:c r="U285" s="32" t="n">
        <x:f>PERCENTRANK.INC($G$2:$G$941,G285)</x:f>
        <x:v>0.21</x:v>
      </x:c>
      <x:c r="V285" s="32" t="n">
        <x:f>PERCENTRANK.INC($H$2:$H$941,H285)</x:f>
        <x:v>0.217</x:v>
      </x:c>
      <x:c r="W285" t="n">
        <x:f>ROUND((U285*55+V285*45)*IF(S285&lt;=5,1,IF(S285&lt;=10,0.95,IF(S285&lt;=20,0.85,0.70))),0)</x:f>
        <x:v>21</x:v>
      </x:c>
      <x:c r="X285" t="n">
        <x:v>53</x:v>
      </x:c>
      <x:c r="Y285" t="str">
        <x:v>PARTNER</x:v>
      </x:c>
      <x:c r="Z285" s="12" t="str">
        <x:v>Family + verified grassroots + straight-line geo only; transport not yet routed</x:v>
      </x:c>
      <x:c r="AA285" s="12"/>
      <x:c r="AB285" s="12"/>
      <x:c r="AC285" s="12"/>
      <x:c r="AD285" s="12"/>
      <x:c r="AE285" t="str">
        <x:v>Crystal Palace Women</x:v>
      </x:c>
      <x:c r="AF285" s="45" t="n">
        <x:v>2.9901135173921394</x:v>
      </x:c>
      <x:c r="AG285" t="str">
        <x:v>Dulwich Hamlet Women</x:v>
      </x:c>
      <x:c r="AH285" s="45" t="n">
        <x:v>8.85101122232294</x:v>
      </x:c>
      <x:c r="AI285" t="n">
        <x:v>92</x:v>
      </x:c>
      <x:c r="AJ285" t="str">
        <x:v>HIGH</x:v>
      </x:c>
    </x:row>
    <x:row r="286">
      <x:c r="A286" s="12" t="str">
        <x:v>E01001131</x:v>
      </x:c>
      <x:c r="B286" s="12" t="str">
        <x:v>Croydon 018C</x:v>
      </x:c>
      <x:c r="C286" s="12" t="str">
        <x:v>Croydon</x:v>
      </x:c>
      <x:c r="D286" s="44" t="n">
        <x:v>51.38720820755841</x:v>
      </x:c>
      <x:c r="E286" s="44" t="n">
        <x:v>-0.04013003023046836</x:v>
      </x:c>
      <x:c r="F286" s="33" t="n">
        <x:v>659</x:v>
      </x:c>
      <x:c r="G286" s="33" t="n">
        <x:v>239</x:v>
      </x:c>
      <x:c r="H286" s="26" t="n">
        <x:v>0.3626707132018209</x:v>
      </x:c>
      <x:c r="I286" s="12" t="n">
        <x:v>3</x:v>
      </x:c>
      <x:c r="J286" s="12" t="n">
        <x:v>77</x:v>
      </x:c>
      <x:c r="K286" s="12"/>
      <x:c r="L286" s="12"/>
      <x:c r="M286" s="12" t="str">
        <x:f>IF(K286="", "", MAX(0,IF(K286&lt;=20,100,IF(K286&lt;=30,85,IF(K286&lt;=40,70,IF(K286&lt;=50,55,IF(K286&lt;=60,40,20)))))-MIN(L286*5,20)))</x:f>
      </x:c>
      <x:c r="N286" s="12"/>
      <x:c r="O286" s="12"/>
      <x:c r="P286" s="12" t="str">
        <x:f>IF(OR(H286="",J286="",M286=""),"",ROUND(PERCENTRANK.INC($H$2:$H$941,H286)*35+J286*0.35+M286*0.30,0))</x:f>
      </x:c>
      <x:c r="Q286" s="12" t="str">
        <x:f>IF(P286="","",IF(P286&gt;=80,"ATTACK",IF(P286&gt;=65,"GROW",IF(P286&gt;=50,"PARTNER","WATCH"))))</x:f>
      </x:c>
      <x:c r="R286" s="12" t="str">
        <x:f>IF(Q286="","",IF(Q286="ATTACK","Grassroots + family acquisition",IF(Q286="GROW","Test local campaign",IF(Q286="PARTNER","Organisation-first partnership","Low priority / validate"))))</x:f>
      </x:c>
      <x:c r="S286" s="45" t="n">
        <x:v>4.035355313420876</x:v>
      </x:c>
      <x:c r="T286" t="str">
        <x:v>CORE</x:v>
      </x:c>
      <x:c r="U286" s="32" t="n">
        <x:f>PERCENTRANK.INC($G$2:$G$941,G286)</x:f>
        <x:v>0.699</x:v>
      </x:c>
      <x:c r="V286" s="32" t="n">
        <x:f>PERCENTRANK.INC($H$2:$H$941,H286)</x:f>
        <x:v>0.752</x:v>
      </x:c>
      <x:c r="W286" t="n">
        <x:f>ROUND((U286*55+V286*45)*IF(S286&lt;=5,1,IF(S286&lt;=10,0.95,IF(S286&lt;=20,0.85,0.70))),0)</x:f>
        <x:v>72</x:v>
      </x:c>
      <x:c r="X286" t="n">
        <x:v>75</x:v>
      </x:c>
      <x:c r="Y286" t="str">
        <x:v>GROW</x:v>
      </x:c>
      <x:c r="Z286" s="12" t="str">
        <x:v>Family + verified grassroots + straight-line geo only; transport not yet routed</x:v>
      </x:c>
      <x:c r="AA286" s="12"/>
      <x:c r="AB286" s="12"/>
      <x:c r="AC286" s="12"/>
      <x:c r="AD286" s="12"/>
      <x:c r="AE286" t="str">
        <x:v>Crystal Palace Women</x:v>
      </x:c>
      <x:c r="AF286" s="45" t="n">
        <x:v>3.3574961797468723</x:v>
      </x:c>
      <x:c r="AG286" t="str">
        <x:v>Dulwich Hamlet Women</x:v>
      </x:c>
      <x:c r="AH286" s="45" t="n">
        <x:v>8.78383013556502</x:v>
      </x:c>
      <x:c r="AI286" t="n">
        <x:v>81</x:v>
      </x:c>
      <x:c r="AJ286" t="str">
        <x:v>HIGH</x:v>
      </x:c>
    </x:row>
    <x:row r="287">
      <x:c r="A287" s="12" t="str">
        <x:v>E01001132</x:v>
      </x:c>
      <x:c r="B287" s="12" t="str">
        <x:v>Croydon 018D</x:v>
      </x:c>
      <x:c r="C287" s="12" t="str">
        <x:v>Croydon</x:v>
      </x:c>
      <x:c r="D287" s="44" t="n">
        <x:v>51.381096731378754</x:v>
      </x:c>
      <x:c r="E287" s="44" t="n">
        <x:v>-0.042991355126886385</x:v>
      </x:c>
      <x:c r="F287" s="33" t="n">
        <x:v>644</x:v>
      </x:c>
      <x:c r="G287" s="33" t="n">
        <x:v>179</x:v>
      </x:c>
      <x:c r="H287" s="26" t="n">
        <x:v>0.2779503105590062</x:v>
      </x:c>
      <x:c r="I287" s="12" t="n">
        <x:v>4</x:v>
      </x:c>
      <x:c r="J287" s="12" t="n">
        <x:v>85</x:v>
      </x:c>
      <x:c r="K287" s="12"/>
      <x:c r="L287" s="12"/>
      <x:c r="M287" s="12" t="str">
        <x:f>IF(K287="", "", MAX(0,IF(K287&lt;=20,100,IF(K287&lt;=30,85,IF(K287&lt;=40,70,IF(K287&lt;=50,55,IF(K287&lt;=60,40,20)))))-MIN(L287*5,20)))</x:f>
      </x:c>
      <x:c r="N287" s="12"/>
      <x:c r="O287" s="12"/>
      <x:c r="P287" s="12" t="str">
        <x:f>IF(OR(H287="",J287="",M287=""),"",ROUND(PERCENTRANK.INC($H$2:$H$941,H287)*35+J287*0.35+M287*0.30,0))</x:f>
      </x:c>
      <x:c r="Q287" s="12" t="str">
        <x:f>IF(P287="","",IF(P287&gt;=80,"ATTACK",IF(P287&gt;=65,"GROW",IF(P287&gt;=50,"PARTNER","WATCH"))))</x:f>
      </x:c>
      <x:c r="R287" s="12" t="str">
        <x:f>IF(Q287="","",IF(Q287="ATTACK","Grassroots + family acquisition",IF(Q287="GROW","Test local campaign",IF(Q287="PARTNER","Organisation-first partnership","Low priority / validate"))))</x:f>
      </x:c>
      <x:c r="S287" s="45" t="n">
        <x:v>4.353391589331362</x:v>
      </x:c>
      <x:c r="T287" t="str">
        <x:v>CORE</x:v>
      </x:c>
      <x:c r="U287" s="32" t="n">
        <x:f>PERCENTRANK.INC($G$2:$G$941,G287)</x:f>
        <x:v>0.22</x:v>
      </x:c>
      <x:c r="V287" s="32" t="n">
        <x:f>PERCENTRANK.INC($H$2:$H$941,H287)</x:f>
        <x:v>0.283</x:v>
      </x:c>
      <x:c r="W287" t="n">
        <x:f>ROUND((U287*55+V287*45)*IF(S287&lt;=5,1,IF(S287&lt;=10,0.95,IF(S287&lt;=20,0.85,0.70))),0)</x:f>
        <x:v>25</x:v>
      </x:c>
      <x:c r="X287" t="n">
        <x:v>52</x:v>
      </x:c>
      <x:c r="Y287" t="str">
        <x:v>PARTNER</x:v>
      </x:c>
      <x:c r="Z287" s="12" t="str">
        <x:v>Family + verified grassroots + straight-line geo only; transport not yet routed</x:v>
      </x:c>
      <x:c r="AA287" s="12"/>
      <x:c r="AB287" s="12"/>
      <x:c r="AC287" s="12"/>
      <x:c r="AD287" s="12"/>
      <x:c r="AE287" t="str">
        <x:v>Crystal Palace Women</x:v>
      </x:c>
      <x:c r="AF287" s="45" t="n">
        <x:v>3.494016814069439</x:v>
      </x:c>
      <x:c r="AG287" t="str">
        <x:v>Dulwich Hamlet Women</x:v>
      </x:c>
      <x:c r="AH287" s="45" t="n">
        <x:v>9.36226386364817</x:v>
      </x:c>
      <x:c r="AI287" t="n">
        <x:v>81</x:v>
      </x:c>
      <x:c r="AJ287" t="str">
        <x:v>HIGH</x:v>
      </x:c>
    </x:row>
    <x:row r="288">
      <x:c r="A288" s="12" t="str">
        <x:v>E01001134</x:v>
      </x:c>
      <x:c r="B288" s="12" t="str">
        <x:v>Croydon 018E</x:v>
      </x:c>
      <x:c r="C288" s="12" t="str">
        <x:v>Croydon</x:v>
      </x:c>
      <x:c r="D288" s="44" t="n">
        <x:v>51.37876203223164</x:v>
      </x:c>
      <x:c r="E288" s="44" t="n">
        <x:v>-0.05071523583770939</x:v>
      </x:c>
      <x:c r="F288" s="33" t="n">
        <x:v>677</x:v>
      </x:c>
      <x:c r="G288" s="33" t="n">
        <x:v>182</x:v>
      </x:c>
      <x:c r="H288" s="26" t="n">
        <x:v>0.2688330871491876</x:v>
      </x:c>
      <x:c r="I288" s="12" t="n">
        <x:v>4</x:v>
      </x:c>
      <x:c r="J288" s="12" t="n">
        <x:v>92</x:v>
      </x:c>
      <x:c r="K288" s="12"/>
      <x:c r="L288" s="12"/>
      <x:c r="M288" s="12" t="str">
        <x:f>IF(K288="", "", MAX(0,IF(K288&lt;=20,100,IF(K288&lt;=30,85,IF(K288&lt;=40,70,IF(K288&lt;=50,55,IF(K288&lt;=60,40,20)))))-MIN(L288*5,20)))</x:f>
      </x:c>
      <x:c r="N288" s="12"/>
      <x:c r="O288" s="12"/>
      <x:c r="P288" s="12" t="str">
        <x:f>IF(OR(H288="",J288="",M288=""),"",ROUND(PERCENTRANK.INC($H$2:$H$941,H288)*35+J288*0.35+M288*0.30,0))</x:f>
      </x:c>
      <x:c r="Q288" s="12" t="str">
        <x:f>IF(P288="","",IF(P288&gt;=80,"ATTACK",IF(P288&gt;=65,"GROW",IF(P288&gt;=50,"PARTNER","WATCH"))))</x:f>
      </x:c>
      <x:c r="R288" s="12" t="str">
        <x:f>IF(Q288="","",IF(Q288="ATTACK","Grassroots + family acquisition",IF(Q288="GROW","Test local campaign",IF(Q288="PARTNER","Organisation-first partnership","Low priority / validate"))))</x:f>
      </x:c>
      <x:c r="S288" s="45" t="n">
        <x:v>4.939041878650304</x:v>
      </x:c>
      <x:c r="T288" t="str">
        <x:v>CORE</x:v>
      </x:c>
      <x:c r="U288" s="32" t="n">
        <x:f>PERCENTRANK.INC($G$2:$G$941,G288)</x:f>
        <x:v>0.238</x:v>
      </x:c>
      <x:c r="V288" s="32" t="n">
        <x:f>PERCENTRANK.INC($H$2:$H$941,H288)</x:f>
        <x:v>0.256</x:v>
      </x:c>
      <x:c r="W288" t="n">
        <x:f>ROUND((U288*55+V288*45)*IF(S288&lt;=5,1,IF(S288&lt;=10,0.95,IF(S288&lt;=20,0.85,0.70))),0)</x:f>
        <x:v>25</x:v>
      </x:c>
      <x:c r="X288" t="n">
        <x:v>55</x:v>
      </x:c>
      <x:c r="Y288" t="str">
        <x:v>PARTNER</x:v>
      </x:c>
      <x:c r="Z288" s="12" t="str">
        <x:v>Family + verified grassroots + straight-line geo only; transport not yet routed</x:v>
      </x:c>
      <x:c r="AA288" s="12"/>
      <x:c r="AB288" s="12"/>
      <x:c r="AC288" s="12"/>
      <x:c r="AD288" s="12"/>
      <x:c r="AE288" t="str">
        <x:v>Crystal Palace Women</x:v>
      </x:c>
      <x:c r="AF288" s="45" t="n">
        <x:v>3.2279307348374044</x:v>
      </x:c>
      <x:c r="AG288" t="str">
        <x:v>Dulwich Hamlet Women</x:v>
      </x:c>
      <x:c r="AH288" s="45" t="n">
        <x:v>9.465396435884049</x:v>
      </x:c>
      <x:c r="AI288" t="n">
        <x:v>81</x:v>
      </x:c>
      <x:c r="AJ288" t="str">
        <x:v>HIGH</x:v>
      </x:c>
    </x:row>
    <x:row r="289">
      <x:c r="A289" s="12" t="str">
        <x:v>E01001005</x:v>
      </x:c>
      <x:c r="B289" s="12" t="str">
        <x:v>Croydon 019A</x:v>
      </x:c>
      <x:c r="C289" s="12" t="str">
        <x:v>Croydon</x:v>
      </x:c>
      <x:c r="D289" s="44" t="n">
        <x:v>51.38387586227734</x:v>
      </x:c>
      <x:c r="E289" s="44" t="n">
        <x:v>-0.11136137489258549</x:v>
      </x:c>
      <x:c r="F289" s="33" t="n">
        <x:v>601</x:v>
      </x:c>
      <x:c r="G289" s="33" t="n">
        <x:v>237</x:v>
      </x:c>
      <x:c r="H289" s="26" t="n">
        <x:v>0.39434276206322794</x:v>
      </x:c>
      <x:c r="I289" s="12" t="n">
        <x:v>3</x:v>
      </x:c>
      <x:c r="J289" s="12" t="n">
        <x:v>76</x:v>
      </x:c>
      <x:c r="K289" s="12"/>
      <x:c r="L289" s="12"/>
      <x:c r="M289" s="12" t="str">
        <x:f>IF(K289="", "", MAX(0,IF(K289&lt;=20,100,IF(K289&lt;=30,85,IF(K289&lt;=40,70,IF(K289&lt;=50,55,IF(K289&lt;=60,40,20)))))-MIN(L289*5,20)))</x:f>
      </x:c>
      <x:c r="N289" s="12"/>
      <x:c r="O289" s="12"/>
      <x:c r="P289" s="12" t="str">
        <x:f>IF(OR(H289="",J289="",M289=""),"",ROUND(PERCENTRANK.INC($H$2:$H$941,H289)*35+J289*0.35+M289*0.30,0))</x:f>
      </x:c>
      <x:c r="Q289" s="12" t="str">
        <x:f>IF(P289="","",IF(P289&gt;=80,"ATTACK",IF(P289&gt;=65,"GROW",IF(P289&gt;=50,"PARTNER","WATCH"))))</x:f>
      </x:c>
      <x:c r="R289" s="12" t="str">
        <x:f>IF(Q289="","",IF(Q289="ATTACK","Grassroots + family acquisition",IF(Q289="GROW","Test local campaign",IF(Q289="PARTNER","Organisation-first partnership","Low priority / validate"))))</x:f>
      </x:c>
      <x:c r="S289" s="45" t="n">
        <x:v>8.991250509215341</x:v>
      </x:c>
      <x:c r="T289" t="str">
        <x:v>NEAR</x:v>
      </x:c>
      <x:c r="U289" s="32" t="n">
        <x:f>PERCENTRANK.INC($G$2:$G$941,G289)</x:f>
        <x:v>0.689</x:v>
      </x:c>
      <x:c r="V289" s="32" t="n">
        <x:f>PERCENTRANK.INC($H$2:$H$941,H289)</x:f>
        <x:v>0.89</x:v>
      </x:c>
      <x:c r="W289" t="n">
        <x:f>ROUND((U289*55+V289*45)*IF(S289&lt;=5,1,IF(S289&lt;=10,0.95,IF(S289&lt;=20,0.85,0.70))),0)</x:f>
        <x:v>74</x:v>
      </x:c>
      <x:c r="X289" t="n">
        <x:v>75</x:v>
      </x:c>
      <x:c r="Y289" t="str">
        <x:v>GROW</x:v>
      </x:c>
      <x:c r="Z289" s="12" t="str">
        <x:v>Family + verified grassroots + straight-line geo only; transport not yet routed</x:v>
      </x:c>
      <x:c r="AA289" s="12"/>
      <x:c r="AB289" s="12"/>
      <x:c r="AC289" s="12"/>
      <x:c r="AD289" s="12"/>
      <x:c r="AE289" t="str">
        <x:v>Crystal Palace Women</x:v>
      </x:c>
      <x:c r="AF289" s="45" t="n">
        <x:v>2.423429551728372</x:v>
      </x:c>
      <x:c r="AG289" t="str">
        <x:v>AFC Wimbledon Women</x:v>
      </x:c>
      <x:c r="AH289" s="45" t="n">
        <x:v>7.42729045248312</x:v>
      </x:c>
      <x:c r="AI289" t="n">
        <x:v>92</x:v>
      </x:c>
      <x:c r="AJ289" t="str">
        <x:v>HIGH</x:v>
      </x:c>
    </x:row>
    <x:row r="290">
      <x:c r="A290" s="12" t="str">
        <x:v>E01001008</x:v>
      </x:c>
      <x:c r="B290" s="12" t="str">
        <x:v>Croydon 019B</x:v>
      </x:c>
      <x:c r="C290" s="12" t="str">
        <x:v>Croydon</x:v>
      </x:c>
      <x:c r="D290" s="44" t="n">
        <x:v>51.38300080709111</x:v>
      </x:c>
      <x:c r="E290" s="44" t="n">
        <x:v>-0.11765618337838639</x:v>
      </x:c>
      <x:c r="F290" s="33" t="n">
        <x:v>531</x:v>
      </x:c>
      <x:c r="G290" s="33" t="n">
        <x:v>249</x:v>
      </x:c>
      <x:c r="H290" s="26" t="n">
        <x:v>0.4689265536723164</x:v>
      </x:c>
      <x:c r="I290" s="12" t="n">
        <x:v>3</x:v>
      </x:c>
      <x:c r="J290" s="12" t="n">
        <x:v>76</x:v>
      </x:c>
      <x:c r="K290" s="12"/>
      <x:c r="L290" s="12"/>
      <x:c r="M290" s="12" t="str">
        <x:f>IF(K290="", "", MAX(0,IF(K290&lt;=20,100,IF(K290&lt;=30,85,IF(K290&lt;=40,70,IF(K290&lt;=50,55,IF(K290&lt;=60,40,20)))))-MIN(L290*5,20)))</x:f>
      </x:c>
      <x:c r="N290" s="12"/>
      <x:c r="O290" s="12"/>
      <x:c r="P290" s="12" t="str">
        <x:f>IF(OR(H290="",J290="",M290=""),"",ROUND(PERCENTRANK.INC($H$2:$H$941,H290)*35+J290*0.35+M290*0.30,0))</x:f>
      </x:c>
      <x:c r="Q290" s="12" t="str">
        <x:f>IF(P290="","",IF(P290&gt;=80,"ATTACK",IF(P290&gt;=65,"GROW",IF(P290&gt;=50,"PARTNER","WATCH"))))</x:f>
      </x:c>
      <x:c r="R290" s="12" t="str">
        <x:f>IF(Q290="","",IF(Q290="ATTACK","Grassroots + family acquisition",IF(Q290="GROW","Test local campaign",IF(Q290="PARTNER","Organisation-first partnership","Low priority / validate"))))</x:f>
      </x:c>
      <x:c r="S290" s="45" t="n">
        <x:v>9.435189346021714</x:v>
      </x:c>
      <x:c r="T290" t="str">
        <x:v>NEAR</x:v>
      </x:c>
      <x:c r="U290" s="32" t="n">
        <x:f>PERCENTRANK.INC($G$2:$G$941,G290)</x:f>
        <x:v>0.766</x:v>
      </x:c>
      <x:c r="V290" s="32" t="n">
        <x:f>PERCENTRANK.INC($H$2:$H$941,H290)</x:f>
        <x:v>0.982</x:v>
      </x:c>
      <x:c r="W290" t="n">
        <x:f>ROUND((U290*55+V290*45)*IF(S290&lt;=5,1,IF(S290&lt;=10,0.95,IF(S290&lt;=20,0.85,0.70))),0)</x:f>
        <x:v>82</x:v>
      </x:c>
      <x:c r="X290" t="n">
        <x:v>80</x:v>
      </x:c>
      <x:c r="Y290" t="str">
        <x:v>ATTACK</x:v>
      </x:c>
      <x:c r="Z290" s="12" t="str">
        <x:v>Family + verified grassroots + straight-line geo only; transport not yet routed</x:v>
      </x:c>
      <x:c r="AA290" s="12"/>
      <x:c r="AB290" s="12"/>
      <x:c r="AC290" s="12"/>
      <x:c r="AD290" s="12"/>
      <x:c r="AE290" t="str">
        <x:v>Crystal Palace Women</x:v>
      </x:c>
      <x:c r="AF290" s="45" t="n">
        <x:v>2.8237819186454245</x:v>
      </x:c>
      <x:c r="AG290" t="str">
        <x:v>AFC Wimbledon Women</x:v>
      </x:c>
      <x:c r="AH290" s="45" t="n">
        <x:v>7.198481427091399</x:v>
      </x:c>
      <x:c r="AI290" t="n">
        <x:v>92</x:v>
      </x:c>
      <x:c r="AJ290" t="str">
        <x:v>HIGH</x:v>
      </x:c>
    </x:row>
    <x:row r="291">
      <x:c r="A291" s="12" t="str">
        <x:v>E01001009</x:v>
      </x:c>
      <x:c r="B291" s="12" t="str">
        <x:v>Croydon 019C</x:v>
      </x:c>
      <x:c r="C291" s="12" t="str">
        <x:v>Croydon</x:v>
      </x:c>
      <x:c r="D291" s="44" t="n">
        <x:v>51.38500409273992</x:v>
      </x:c>
      <x:c r="E291" s="44" t="n">
        <x:v>-0.11388604759586293</x:v>
      </x:c>
      <x:c r="F291" s="33" t="n">
        <x:v>664</x:v>
      </x:c>
      <x:c r="G291" s="33" t="n">
        <x:v>322</x:v>
      </x:c>
      <x:c r="H291" s="26" t="n">
        <x:v>0.48493975903614456</x:v>
      </x:c>
      <x:c r="I291" s="12" t="n">
        <x:v>3</x:v>
      </x:c>
      <x:c r="J291" s="12" t="n">
        <x:v>76</x:v>
      </x:c>
      <x:c r="K291" s="12"/>
      <x:c r="L291" s="12"/>
      <x:c r="M291" s="12" t="str">
        <x:f>IF(K291="", "", MAX(0,IF(K291&lt;=20,100,IF(K291&lt;=30,85,IF(K291&lt;=40,70,IF(K291&lt;=50,55,IF(K291&lt;=60,40,20)))))-MIN(L291*5,20)))</x:f>
      </x:c>
      <x:c r="N291" s="12"/>
      <x:c r="O291" s="12"/>
      <x:c r="P291" s="12" t="str">
        <x:f>IF(OR(H291="",J291="",M291=""),"",ROUND(PERCENTRANK.INC($H$2:$H$941,H291)*35+J291*0.35+M291*0.30,0))</x:f>
      </x:c>
      <x:c r="Q291" s="12" t="str">
        <x:f>IF(P291="","",IF(P291&gt;=80,"ATTACK",IF(P291&gt;=65,"GROW",IF(P291&gt;=50,"PARTNER","WATCH"))))</x:f>
      </x:c>
      <x:c r="R291" s="12" t="str">
        <x:f>IF(Q291="","",IF(Q291="ATTACK","Grassroots + family acquisition",IF(Q291="GROW","Test local campaign",IF(Q291="PARTNER","Organisation-first partnership","Low priority / validate"))))</x:f>
      </x:c>
      <x:c r="S291" s="45" t="n">
        <x:v>9.155698408794354</x:v>
      </x:c>
      <x:c r="T291" t="str">
        <x:v>NEAR</x:v>
      </x:c>
      <x:c r="U291" s="32" t="n">
        <x:f>PERCENTRANK.INC($G$2:$G$941,G291)</x:f>
        <x:v>0.966</x:v>
      </x:c>
      <x:c r="V291" s="32" t="n">
        <x:f>PERCENTRANK.INC($H$2:$H$941,H291)</x:f>
        <x:v>0.99</x:v>
      </x:c>
      <x:c r="W291" t="n">
        <x:f>ROUND((U291*55+V291*45)*IF(S291&lt;=5,1,IF(S291&lt;=10,0.95,IF(S291&lt;=20,0.85,0.70))),0)</x:f>
        <x:v>93</x:v>
      </x:c>
      <x:c r="X291" t="n">
        <x:v>85</x:v>
      </x:c>
      <x:c r="Y291" t="str">
        <x:v>ATTACK</x:v>
      </x:c>
      <x:c r="Z291" s="12" t="str">
        <x:v>Family + verified grassroots + straight-line geo only; transport not yet routed</x:v>
      </x:c>
      <x:c r="AA291" s="12"/>
      <x:c r="AB291" s="12"/>
      <x:c r="AC291" s="12"/>
      <x:c r="AD291" s="12"/>
      <x:c r="AE291" t="str">
        <x:v>Crystal Palace Women</x:v>
      </x:c>
      <x:c r="AF291" s="45" t="n">
        <x:v>2.4808576654959764</x:v>
      </x:c>
      <x:c r="AG291" t="str">
        <x:v>AFC Wimbledon Women</x:v>
      </x:c>
      <x:c r="AH291" s="45" t="n">
        <x:v>7.214909583416222</x:v>
      </x:c>
      <x:c r="AI291" t="n">
        <x:v>92</x:v>
      </x:c>
      <x:c r="AJ291" t="str">
        <x:v>HIGH</x:v>
      </x:c>
    </x:row>
    <x:row r="292">
      <x:c r="A292" s="12" t="str">
        <x:v>E01001010</x:v>
      </x:c>
      <x:c r="B292" s="12" t="str">
        <x:v>Croydon 019D</x:v>
      </x:c>
      <x:c r="C292" s="12" t="str">
        <x:v>Croydon</x:v>
      </x:c>
      <x:c r="D292" s="44" t="n">
        <x:v>51.37982213233765</x:v>
      </x:c>
      <x:c r="E292" s="44" t="n">
        <x:v>-0.1152202149418431</x:v>
      </x:c>
      <x:c r="F292" s="33" t="n">
        <x:v>609</x:v>
      </x:c>
      <x:c r="G292" s="33" t="n">
        <x:v>227</x:v>
      </x:c>
      <x:c r="H292" s="26" t="n">
        <x:v>0.3727422003284072</x:v>
      </x:c>
      <x:c r="I292" s="12" t="n">
        <x:v>3</x:v>
      </x:c>
      <x:c r="J292" s="12" t="n">
        <x:v>84</x:v>
      </x:c>
      <x:c r="K292" s="12"/>
      <x:c r="L292" s="12"/>
      <x:c r="M292" s="12" t="str">
        <x:f>IF(K292="", "", MAX(0,IF(K292&lt;=20,100,IF(K292&lt;=30,85,IF(K292&lt;=40,70,IF(K292&lt;=50,55,IF(K292&lt;=60,40,20)))))-MIN(L292*5,20)))</x:f>
      </x:c>
      <x:c r="N292" s="12"/>
      <x:c r="O292" s="12"/>
      <x:c r="P292" s="12" t="str">
        <x:f>IF(OR(H292="",J292="",M292=""),"",ROUND(PERCENTRANK.INC($H$2:$H$941,H292)*35+J292*0.35+M292*0.30,0))</x:f>
      </x:c>
      <x:c r="Q292" s="12" t="str">
        <x:f>IF(P292="","",IF(P292&gt;=80,"ATTACK",IF(P292&gt;=65,"GROW",IF(P292&gt;=50,"PARTNER","WATCH"))))</x:f>
      </x:c>
      <x:c r="R292" s="12" t="str">
        <x:f>IF(Q292="","",IF(Q292="ATTACK","Grassroots + family acquisition",IF(Q292="GROW","Test local campaign",IF(Q292="PARTNER","Organisation-first partnership","Low priority / validate"))))</x:f>
      </x:c>
      <x:c r="S292" s="45" t="n">
        <x:v>9.30774327939437</x:v>
      </x:c>
      <x:c r="T292" t="str">
        <x:v>NEAR</x:v>
      </x:c>
      <x:c r="U292" s="32" t="n">
        <x:f>PERCENTRANK.INC($G$2:$G$941,G292)</x:f>
        <x:v>0.605</x:v>
      </x:c>
      <x:c r="V292" s="32" t="n">
        <x:f>PERCENTRANK.INC($H$2:$H$941,H292)</x:f>
        <x:v>0.806</x:v>
      </x:c>
      <x:c r="W292" t="n">
        <x:f>ROUND((U292*55+V292*45)*IF(S292&lt;=5,1,IF(S292&lt;=10,0.95,IF(S292&lt;=20,0.85,0.70))),0)</x:f>
        <x:v>66</x:v>
      </x:c>
      <x:c r="X292" t="n">
        <x:v>74</x:v>
      </x:c>
      <x:c r="Y292" t="str">
        <x:v>GROW</x:v>
      </x:c>
      <x:c r="Z292" s="12" t="str">
        <x:v>Family + verified grassroots + straight-line geo only; transport not yet routed</x:v>
      </x:c>
      <x:c r="AA292" s="12"/>
      <x:c r="AB292" s="12"/>
      <x:c r="AC292" s="12"/>
      <x:c r="AD292" s="12"/>
      <x:c r="AE292" t="str">
        <x:v>Crystal Palace Women</x:v>
      </x:c>
      <x:c r="AF292" s="45" t="n">
        <x:v>2.9267893283268682</x:v>
      </x:c>
      <x:c r="AG292" t="str">
        <x:v>AFC Wimbledon Women</x:v>
      </x:c>
      <x:c r="AH292" s="45" t="n">
        <x:v>7.57547107679796</x:v>
      </x:c>
      <x:c r="AI292" t="n">
        <x:v>92</x:v>
      </x:c>
      <x:c r="AJ292" t="str">
        <x:v>HIGH</x:v>
      </x:c>
    </x:row>
    <x:row r="293">
      <x:c r="A293" s="12" t="str">
        <x:v>E01001011</x:v>
      </x:c>
      <x:c r="B293" s="12" t="str">
        <x:v>Croydon 019E</x:v>
      </x:c>
      <x:c r="C293" s="12" t="str">
        <x:v>Croydon</x:v>
      </x:c>
      <x:c r="D293" s="44" t="n">
        <x:v>51.38222865080452</x:v>
      </x:c>
      <x:c r="E293" s="44" t="n">
        <x:v>-0.1087207895476275</x:v>
      </x:c>
      <x:c r="F293" s="33" t="n">
        <x:v>858</x:v>
      </x:c>
      <x:c r="G293" s="33" t="n">
        <x:v>368</x:v>
      </x:c>
      <x:c r="H293" s="26" t="n">
        <x:v>0.4289044289044289</x:v>
      </x:c>
      <x:c r="I293" s="12" t="n">
        <x:v>3</x:v>
      </x:c>
      <x:c r="J293" s="12" t="n">
        <x:v>76</x:v>
      </x:c>
      <x:c r="K293" s="12"/>
      <x:c r="L293" s="12"/>
      <x:c r="M293" s="12" t="str">
        <x:f>IF(K293="", "", MAX(0,IF(K293&lt;=20,100,IF(K293&lt;=30,85,IF(K293&lt;=40,70,IF(K293&lt;=50,55,IF(K293&lt;=60,40,20)))))-MIN(L293*5,20)))</x:f>
      </x:c>
      <x:c r="N293" s="12"/>
      <x:c r="O293" s="12"/>
      <x:c r="P293" s="12" t="str">
        <x:f>IF(OR(H293="",J293="",M293=""),"",ROUND(PERCENTRANK.INC($H$2:$H$941,H293)*35+J293*0.35+M293*0.30,0))</x:f>
      </x:c>
      <x:c r="Q293" s="12" t="str">
        <x:f>IF(P293="","",IF(P293&gt;=80,"ATTACK",IF(P293&gt;=65,"GROW",IF(P293&gt;=50,"PARTNER","WATCH"))))</x:f>
      </x:c>
      <x:c r="R293" s="12" t="str">
        <x:f>IF(Q293="","",IF(Q293="ATTACK","Grassroots + family acquisition",IF(Q293="GROW","Test local campaign",IF(Q293="PARTNER","Organisation-first partnership","Low priority / validate"))))</x:f>
      </x:c>
      <x:c r="S293" s="45" t="n">
        <x:v>8.827217588922245</x:v>
      </x:c>
      <x:c r="T293" t="str">
        <x:v>NEAR</x:v>
      </x:c>
      <x:c r="U293" s="32" t="n">
        <x:f>PERCENTRANK.INC($G$2:$G$941,G293)</x:f>
        <x:v>0.988</x:v>
      </x:c>
      <x:c r="V293" s="32" t="n">
        <x:f>PERCENTRANK.INC($H$2:$H$941,H293)</x:f>
        <x:v>0.955</x:v>
      </x:c>
      <x:c r="W293" t="n">
        <x:f>ROUND((U293*55+V293*45)*IF(S293&lt;=5,1,IF(S293&lt;=10,0.95,IF(S293&lt;=20,0.85,0.70))),0)</x:f>
        <x:v>92</x:v>
      </x:c>
      <x:c r="X293" t="n">
        <x:v>85</x:v>
      </x:c>
      <x:c r="Y293" t="str">
        <x:v>ATTACK</x:v>
      </x:c>
      <x:c r="Z293" s="12" t="str">
        <x:v>Family + verified grassroots + straight-line geo only; transport not yet routed</x:v>
      </x:c>
      <x:c r="AA293" s="12"/>
      <x:c r="AB293" s="12"/>
      <x:c r="AC293" s="12"/>
      <x:c r="AD293" s="12"/>
      <x:c r="AE293" t="str">
        <x:v>Crystal Palace Women</x:v>
      </x:c>
      <x:c r="AF293" s="45" t="n">
        <x:v>2.4208495033106745</x:v>
      </x:c>
      <x:c r="AG293" t="str">
        <x:v>AFC Wimbledon Women</x:v>
      </x:c>
      <x:c r="AH293" s="45" t="n">
        <x:v>7.686381953731626</x:v>
      </x:c>
      <x:c r="AI293" t="n">
        <x:v>92</x:v>
      </x:c>
      <x:c r="AJ293" t="str">
        <x:v>HIGH</x:v>
      </x:c>
    </x:row>
    <x:row r="294">
      <x:c r="A294" s="12" t="str">
        <x:v>E01001012</x:v>
      </x:c>
      <x:c r="B294" s="12" t="str">
        <x:v>Croydon 020A</x:v>
      </x:c>
      <x:c r="C294" s="12" t="str">
        <x:v>Croydon</x:v>
      </x:c>
      <x:c r="D294" s="44" t="n">
        <x:v>51.3822452325335</x:v>
      </x:c>
      <x:c r="E294" s="44" t="n">
        <x:v>-0.10328380481830844</x:v>
      </x:c>
      <x:c r="F294" s="33" t="n">
        <x:v>810</x:v>
      </x:c>
      <x:c r="G294" s="33" t="n">
        <x:v>280</x:v>
      </x:c>
      <x:c r="H294" s="26" t="n">
        <x:v>0.345679012345679</x:v>
      </x:c>
      <x:c r="I294" s="12" t="n">
        <x:v>3</x:v>
      </x:c>
      <x:c r="J294" s="12" t="n">
        <x:v>76</x:v>
      </x:c>
      <x:c r="K294" s="12"/>
      <x:c r="L294" s="12"/>
      <x:c r="M294" s="12" t="str">
        <x:f>IF(K294="", "", MAX(0,IF(K294&lt;=20,100,IF(K294&lt;=30,85,IF(K294&lt;=40,70,IF(K294&lt;=50,55,IF(K294&lt;=60,40,20)))))-MIN(L294*5,20)))</x:f>
      </x:c>
      <x:c r="N294" s="12"/>
      <x:c r="O294" s="12"/>
      <x:c r="P294" s="12" t="str">
        <x:f>IF(OR(H294="",J294="",M294=""),"",ROUND(PERCENTRANK.INC($H$2:$H$941,H294)*35+J294*0.35+M294*0.30,0))</x:f>
      </x:c>
      <x:c r="Q294" s="12" t="str">
        <x:f>IF(P294="","",IF(P294&gt;=80,"ATTACK",IF(P294&gt;=65,"GROW",IF(P294&gt;=50,"PARTNER","WATCH"))))</x:f>
      </x:c>
      <x:c r="R294" s="12" t="str">
        <x:f>IF(Q294="","",IF(Q294="ATTACK","Grassroots + family acquisition",IF(Q294="GROW","Test local campaign",IF(Q294="PARTNER","Organisation-first partnership","Low priority / validate"))))</x:f>
      </x:c>
      <x:c r="S294" s="45" t="n">
        <x:v>8.45212131122392</x:v>
      </x:c>
      <x:c r="T294" t="str">
        <x:v>NEAR</x:v>
      </x:c>
      <x:c r="U294" s="32" t="n">
        <x:f>PERCENTRANK.INC($G$2:$G$941,G294)</x:f>
        <x:v>0.9</x:v>
      </x:c>
      <x:c r="V294" s="32" t="n">
        <x:f>PERCENTRANK.INC($H$2:$H$941,H294)</x:f>
        <x:v>0.66</x:v>
      </x:c>
      <x:c r="W294" t="n">
        <x:f>ROUND((U294*55+V294*45)*IF(S294&lt;=5,1,IF(S294&lt;=10,0.95,IF(S294&lt;=20,0.85,0.70))),0)</x:f>
        <x:v>75</x:v>
      </x:c>
      <x:c r="X294" t="n">
        <x:v>76</x:v>
      </x:c>
      <x:c r="Y294" t="str">
        <x:v>GROW</x:v>
      </x:c>
      <x:c r="Z294" s="12" t="str">
        <x:v>Family + verified grassroots + straight-line geo only; transport not yet routed</x:v>
      </x:c>
      <x:c r="AA294" s="12"/>
      <x:c r="AB294" s="12"/>
      <x:c r="AC294" s="12"/>
      <x:c r="AD294" s="12"/>
      <x:c r="AE294" t="str">
        <x:v>Crystal Palace Women</x:v>
      </x:c>
      <x:c r="AF294" s="45" t="n">
        <x:v>2.182256250277803</x:v>
      </x:c>
      <x:c r="AG294" t="str">
        <x:v>AFC Wimbledon Women</x:v>
      </x:c>
      <x:c r="AH294" s="45" t="n">
        <x:v>7.955499184698634</x:v>
      </x:c>
      <x:c r="AI294" t="n">
        <x:v>92</x:v>
      </x:c>
      <x:c r="AJ294" t="str">
        <x:v>HIGH</x:v>
      </x:c>
    </x:row>
    <x:row r="295">
      <x:c r="A295" s="12" t="str">
        <x:v>E01001013</x:v>
      </x:c>
      <x:c r="B295" s="12" t="str">
        <x:v>Croydon 020B</x:v>
      </x:c>
      <x:c r="C295" s="12" t="str">
        <x:v>Croydon</x:v>
      </x:c>
      <x:c r="D295" s="44" t="n">
        <x:v>51.37941441209843</x:v>
      </x:c>
      <x:c r="E295" s="44" t="n">
        <x:v>-0.10723691588463252</x:v>
      </x:c>
      <x:c r="F295" s="33" t="n">
        <x:v>904</x:v>
      </x:c>
      <x:c r="G295" s="33" t="n">
        <x:v>302</x:v>
      </x:c>
      <x:c r="H295" s="26" t="n">
        <x:v>0.334070796460177</x:v>
      </x:c>
      <x:c r="I295" s="12" t="n">
        <x:v>3</x:v>
      </x:c>
      <x:c r="J295" s="12" t="n">
        <x:v>84</x:v>
      </x:c>
      <x:c r="K295" s="12"/>
      <x:c r="L295" s="12"/>
      <x:c r="M295" s="12" t="str">
        <x:f>IF(K295="", "", MAX(0,IF(K295&lt;=20,100,IF(K295&lt;=30,85,IF(K295&lt;=40,70,IF(K295&lt;=50,55,IF(K295&lt;=60,40,20)))))-MIN(L295*5,20)))</x:f>
      </x:c>
      <x:c r="N295" s="12"/>
      <x:c r="O295" s="12"/>
      <x:c r="P295" s="12" t="str">
        <x:f>IF(OR(H295="",J295="",M295=""),"",ROUND(PERCENTRANK.INC($H$2:$H$941,H295)*35+J295*0.35+M295*0.30,0))</x:f>
      </x:c>
      <x:c r="Q295" s="12" t="str">
        <x:f>IF(P295="","",IF(P295&gt;=80,"ATTACK",IF(P295&gt;=65,"GROW",IF(P295&gt;=50,"PARTNER","WATCH"))))</x:f>
      </x:c>
      <x:c r="R295" s="12" t="str">
        <x:f>IF(Q295="","",IF(Q295="ATTACK","Grassroots + family acquisition",IF(Q295="GROW","Test local campaign",IF(Q295="PARTNER","Organisation-first partnership","Low priority / validate"))))</x:f>
      </x:c>
      <x:c r="S295" s="45" t="n">
        <x:v>8.765582781223987</x:v>
      </x:c>
      <x:c r="T295" t="str">
        <x:v>NEAR</x:v>
      </x:c>
      <x:c r="U295" s="32" t="n">
        <x:f>PERCENTRANK.INC($G$2:$G$941,G295)</x:f>
        <x:v>0.942</x:v>
      </x:c>
      <x:c r="V295" s="32" t="n">
        <x:f>PERCENTRANK.INC($H$2:$H$941,H295)</x:f>
        <x:v>0.595</x:v>
      </x:c>
      <x:c r="W295" t="n">
        <x:f>ROUND((U295*55+V295*45)*IF(S295&lt;=5,1,IF(S295&lt;=10,0.95,IF(S295&lt;=20,0.85,0.70))),0)</x:f>
        <x:v>75</x:v>
      </x:c>
      <x:c r="X295" t="n">
        <x:v>79</x:v>
      </x:c>
      <x:c r="Y295" t="str">
        <x:v>GROW</x:v>
      </x:c>
      <x:c r="Z295" s="12" t="str">
        <x:v>Family + verified grassroots + straight-line geo only; transport not yet routed</x:v>
      </x:c>
      <x:c r="AA295" s="12"/>
      <x:c r="AB295" s="12"/>
      <x:c r="AC295" s="12"/>
      <x:c r="AD295" s="12"/>
      <x:c r="AE295" t="str">
        <x:v>Crystal Palace Women</x:v>
      </x:c>
      <x:c r="AF295" s="45" t="n">
        <x:v>2.597969520400362</x:v>
      </x:c>
      <x:c r="AG295" t="str">
        <x:v>AFC Wimbledon Women</x:v>
      </x:c>
      <x:c r="AH295" s="45" t="n">
        <x:v>7.982350275324681</x:v>
      </x:c>
      <x:c r="AI295" t="n">
        <x:v>92</x:v>
      </x:c>
      <x:c r="AJ295" t="str">
        <x:v>HIGH</x:v>
      </x:c>
    </x:row>
    <x:row r="296">
      <x:c r="A296" s="12" t="str">
        <x:v>E01001110</x:v>
      </x:c>
      <x:c r="B296" s="12" t="str">
        <x:v>Croydon 020D</x:v>
      </x:c>
      <x:c r="C296" s="12" t="str">
        <x:v>Croydon</x:v>
      </x:c>
      <x:c r="D296" s="44" t="n">
        <x:v>51.383535515082684</x:v>
      </x:c>
      <x:c r="E296" s="44" t="n">
        <x:v>-0.09780345732698405</x:v>
      </x:c>
      <x:c r="F296" s="33" t="n">
        <x:v>892</x:v>
      </x:c>
      <x:c r="G296" s="33" t="n">
        <x:v>320</x:v>
      </x:c>
      <x:c r="H296" s="26" t="n">
        <x:v>0.35874439461883406</x:v>
      </x:c>
      <x:c r="I296" s="12" t="n">
        <x:v>3</x:v>
      </x:c>
      <x:c r="J296" s="12" t="n">
        <x:v>84</x:v>
      </x:c>
      <x:c r="K296" s="12"/>
      <x:c r="L296" s="12"/>
      <x:c r="M296" s="12" t="str">
        <x:f>IF(K296="", "", MAX(0,IF(K296&lt;=20,100,IF(K296&lt;=30,85,IF(K296&lt;=40,70,IF(K296&lt;=50,55,IF(K296&lt;=60,40,20)))))-MIN(L296*5,20)))</x:f>
      </x:c>
      <x:c r="N296" s="12"/>
      <x:c r="O296" s="12"/>
      <x:c r="P296" s="12" t="str">
        <x:f>IF(OR(H296="",J296="",M296=""),"",ROUND(PERCENTRANK.INC($H$2:$H$941,H296)*35+J296*0.35+M296*0.30,0))</x:f>
      </x:c>
      <x:c r="Q296" s="12" t="str">
        <x:f>IF(P296="","",IF(P296&gt;=80,"ATTACK",IF(P296&gt;=65,"GROW",IF(P296&gt;=50,"PARTNER","WATCH"))))</x:f>
      </x:c>
      <x:c r="R296" s="12" t="str">
        <x:f>IF(Q296="","",IF(Q296="ATTACK","Grassroots + family acquisition",IF(Q296="GROW","Test local campaign",IF(Q296="PARTNER","Organisation-first partnership","Low priority / validate"))))</x:f>
      </x:c>
      <x:c r="S296" s="45" t="n">
        <x:v>8.058345980509614</x:v>
      </x:c>
      <x:c r="T296" t="str">
        <x:v>NEAR</x:v>
      </x:c>
      <x:c r="U296" s="32" t="n">
        <x:f>PERCENTRANK.INC($G$2:$G$941,G296)</x:f>
        <x:v>0.964</x:v>
      </x:c>
      <x:c r="V296" s="32" t="n">
        <x:f>PERCENTRANK.INC($H$2:$H$941,H296)</x:f>
        <x:v>0.731</x:v>
      </x:c>
      <x:c r="W296" t="n">
        <x:f>ROUND((U296*55+V296*45)*IF(S296&lt;=5,1,IF(S296&lt;=10,0.95,IF(S296&lt;=20,0.85,0.70))),0)</x:f>
        <x:v>82</x:v>
      </x:c>
      <x:c r="X296" t="n">
        <x:v>83</x:v>
      </x:c>
      <x:c r="Y296" t="str">
        <x:v>ATTACK</x:v>
      </x:c>
      <x:c r="Z296" s="12" t="str">
        <x:v>Family + verified grassroots + straight-line geo only; transport not yet routed</x:v>
      </x:c>
      <x:c r="AA296" s="12"/>
      <x:c r="AB296" s="12"/>
      <x:c r="AC296" s="12"/>
      <x:c r="AD296" s="12"/>
      <x:c r="AE296" t="str">
        <x:v>Crystal Palace Women</x:v>
      </x:c>
      <x:c r="AF296" s="45" t="n">
        <x:v>1.8597972652567605</x:v>
      </x:c>
      <x:c r="AG296" t="str">
        <x:v>AFC Wimbledon Women</x:v>
      </x:c>
      <x:c r="AH296" s="45" t="n">
        <x:v>8.142301509074493</x:v>
      </x:c>
      <x:c r="AI296" t="n">
        <x:v>92</x:v>
      </x:c>
      <x:c r="AJ296" t="str">
        <x:v>HIGH</x:v>
      </x:c>
    </x:row>
    <x:row r="297">
      <x:c r="A297" s="12" t="str">
        <x:v>E01001118</x:v>
      </x:c>
      <x:c r="B297" s="12" t="str">
        <x:v>Croydon 020E</x:v>
      </x:c>
      <x:c r="C297" s="12" t="str">
        <x:v>Croydon</x:v>
      </x:c>
      <x:c r="D297" s="44" t="n">
        <x:v>51.385548288505326</x:v>
      </x:c>
      <x:c r="E297" s="44" t="n">
        <x:v>-0.09582943945972083</x:v>
      </x:c>
      <x:c r="F297" s="33" t="n">
        <x:v>882</x:v>
      </x:c>
      <x:c r="G297" s="33" t="n">
        <x:v>307</x:v>
      </x:c>
      <x:c r="H297" s="26" t="n">
        <x:v>0.34807256235827666</x:v>
      </x:c>
      <x:c r="I297" s="12" t="n">
        <x:v>3</x:v>
      </x:c>
      <x:c r="J297" s="12" t="n">
        <x:v>92</x:v>
      </x:c>
      <x:c r="K297" s="12"/>
      <x:c r="L297" s="12"/>
      <x:c r="M297" s="12" t="str">
        <x:f>IF(K297="", "", MAX(0,IF(K297&lt;=20,100,IF(K297&lt;=30,85,IF(K297&lt;=40,70,IF(K297&lt;=50,55,IF(K297&lt;=60,40,20)))))-MIN(L297*5,20)))</x:f>
      </x:c>
      <x:c r="N297" s="12"/>
      <x:c r="O297" s="12"/>
      <x:c r="P297" s="12" t="str">
        <x:f>IF(OR(H297="",J297="",M297=""),"",ROUND(PERCENTRANK.INC($H$2:$H$941,H297)*35+J297*0.35+M297*0.30,0))</x:f>
      </x:c>
      <x:c r="Q297" s="12" t="str">
        <x:f>IF(P297="","",IF(P297&gt;=80,"ATTACK",IF(P297&gt;=65,"GROW",IF(P297&gt;=50,"PARTNER","WATCH"))))</x:f>
      </x:c>
      <x:c r="R297" s="12" t="str">
        <x:f>IF(Q297="","",IF(Q297="ATTACK","Grassroots + family acquisition",IF(Q297="GROW","Test local campaign",IF(Q297="PARTNER","Organisation-first partnership","Low priority / validate"))))</x:f>
      </x:c>
      <x:c r="S297" s="45" t="n">
        <x:v>7.901667595899218</x:v>
      </x:c>
      <x:c r="T297" t="str">
        <x:v>NEAR</x:v>
      </x:c>
      <x:c r="U297" s="32" t="n">
        <x:f>PERCENTRANK.INC($G$2:$G$941,G297)</x:f>
        <x:v>0.947</x:v>
      </x:c>
      <x:c r="V297" s="32" t="n">
        <x:f>PERCENTRANK.INC($H$2:$H$941,H297)</x:f>
        <x:v>0.676</x:v>
      </x:c>
      <x:c r="W297" t="n">
        <x:f>ROUND((U297*55+V297*45)*IF(S297&lt;=5,1,IF(S297&lt;=10,0.95,IF(S297&lt;=20,0.85,0.70))),0)</x:f>
        <x:v>78</x:v>
      </x:c>
      <x:c r="X297" t="n">
        <x:v>85</x:v>
      </x:c>
      <x:c r="Y297" t="str">
        <x:v>ATTACK</x:v>
      </x:c>
      <x:c r="Z297" s="12" t="str">
        <x:v>Family + verified grassroots + straight-line geo only; transport not yet routed</x:v>
      </x:c>
      <x:c r="AA297" s="12"/>
      <x:c r="AB297" s="12"/>
      <x:c r="AC297" s="12"/>
      <x:c r="AD297" s="12"/>
      <x:c r="AE297" t="str">
        <x:v>Crystal Palace Women</x:v>
      </x:c>
      <x:c r="AF297" s="45" t="n">
        <x:v>1.5978989755837767</x:v>
      </x:c>
      <x:c r="AG297" t="str">
        <x:v>AFC Wimbledon Women</x:v>
      </x:c>
      <x:c r="AH297" s="45" t="n">
        <x:v>8.104356282489992</x:v>
      </x:c>
      <x:c r="AI297" t="n">
        <x:v>92</x:v>
      </x:c>
      <x:c r="AJ297" t="str">
        <x:v>HIGH</x:v>
      </x:c>
    </x:row>
    <x:row r="298">
      <x:c r="A298" s="12" t="str">
        <x:v>E01034141</x:v>
      </x:c>
      <x:c r="B298" s="12" t="str">
        <x:v>Croydon 020F</x:v>
      </x:c>
      <x:c r="C298" s="12" t="str">
        <x:v>Croydon</x:v>
      </x:c>
      <x:c r="D298" s="44" t="n">
        <x:v>51.38166712523538</x:v>
      </x:c>
      <x:c r="E298" s="44" t="n">
        <x:v>-0.09788943919965884</x:v>
      </x:c>
      <x:c r="F298" s="33" t="n">
        <x:v>591</x:v>
      </x:c>
      <x:c r="G298" s="33" t="n">
        <x:v>202</x:v>
      </x:c>
      <x:c r="H298" s="26" t="n">
        <x:v>0.34179357021996615</x:v>
      </x:c>
      <x:c r="I298" s="12" t="n">
        <x:v>3</x:v>
      </x:c>
      <x:c r="J298" s="12" t="n">
        <x:v>84</x:v>
      </x:c>
      <x:c r="K298" s="12"/>
      <x:c r="L298" s="12"/>
      <x:c r="M298" s="12" t="str">
        <x:f>IF(K298="", "", MAX(0,IF(K298&lt;=20,100,IF(K298&lt;=30,85,IF(K298&lt;=40,70,IF(K298&lt;=50,55,IF(K298&lt;=60,40,20)))))-MIN(L298*5,20)))</x:f>
      </x:c>
      <x:c r="N298" s="12"/>
      <x:c r="O298" s="12"/>
      <x:c r="P298" s="12" t="str">
        <x:f>IF(OR(H298="",J298="",M298=""),"",ROUND(PERCENTRANK.INC($H$2:$H$941,H298)*35+J298*0.35+M298*0.30,0))</x:f>
      </x:c>
      <x:c r="Q298" s="12" t="str">
        <x:f>IF(P298="","",IF(P298&gt;=80,"ATTACK",IF(P298&gt;=65,"GROW",IF(P298&gt;=50,"PARTNER","WATCH"))))</x:f>
      </x:c>
      <x:c r="R298" s="12" t="str">
        <x:f>IF(Q298="","",IF(Q298="ATTACK","Grassroots + family acquisition",IF(Q298="GROW","Test local campaign",IF(Q298="PARTNER","Organisation-first partnership","Low priority / validate"))))</x:f>
      </x:c>
      <x:c r="S298" s="45" t="n">
        <x:v>8.088421101948672</x:v>
      </x:c>
      <x:c r="T298" t="str">
        <x:v>NEAR</x:v>
      </x:c>
      <x:c r="U298" s="32" t="n">
        <x:f>PERCENTRANK.INC($G$2:$G$941,G298)</x:f>
        <x:v>0.41</x:v>
      </x:c>
      <x:c r="V298" s="32" t="n">
        <x:f>PERCENTRANK.INC($H$2:$H$941,H298)</x:f>
        <x:v>0.628</x:v>
      </x:c>
      <x:c r="W298" t="n">
        <x:f>ROUND((U298*55+V298*45)*IF(S298&lt;=5,1,IF(S298&lt;=10,0.95,IF(S298&lt;=20,0.85,0.70))),0)</x:f>
        <x:v>48</x:v>
      </x:c>
      <x:c r="X298" t="n">
        <x:v>65</x:v>
      </x:c>
      <x:c r="Y298" t="str">
        <x:v>GROW</x:v>
      </x:c>
      <x:c r="Z298" s="12" t="str">
        <x:v>Family + verified grassroots + straight-line geo only; transport not yet routed</x:v>
      </x:c>
      <x:c r="AA298" s="12"/>
      <x:c r="AB298" s="12"/>
      <x:c r="AC298" s="12"/>
      <x:c r="AD298" s="12"/>
      <x:c r="AE298" t="str">
        <x:v>Crystal Palace Women</x:v>
      </x:c>
      <x:c r="AF298" s="45" t="n">
        <x:v>2.0478742016198064</x:v>
      </x:c>
      <x:c r="AG298" t="str">
        <x:v>AFC Wimbledon Women</x:v>
      </x:c>
      <x:c r="AH298" s="45" t="n">
        <x:v>8.274823377706074</x:v>
      </x:c>
      <x:c r="AI298" t="n">
        <x:v>92</x:v>
      </x:c>
      <x:c r="AJ298" t="str">
        <x:v>HIGH</x:v>
      </x:c>
    </x:row>
    <x:row r="299">
      <x:c r="A299" s="12" t="str">
        <x:v>E01034142</x:v>
      </x:c>
      <x:c r="B299" s="12" t="str">
        <x:v>Croydon 020G</x:v>
      </x:c>
      <x:c r="C299" s="12" t="str">
        <x:v>Croydon</x:v>
      </x:c>
      <x:c r="D299" s="44" t="n">
        <x:v>51.3802139871362</x:v>
      </x:c>
      <x:c r="E299" s="44" t="n">
        <x:v>-0.09404414833317386</x:v>
      </x:c>
      <x:c r="F299" s="33" t="n">
        <x:v>644</x:v>
      </x:c>
      <x:c r="G299" s="33" t="n">
        <x:v>213</x:v>
      </x:c>
      <x:c r="H299" s="26" t="n">
        <x:v>0.3307453416149068</x:v>
      </x:c>
      <x:c r="I299" s="12" t="n">
        <x:v>3</x:v>
      </x:c>
      <x:c r="J299" s="12" t="n">
        <x:v>85</x:v>
      </x:c>
      <x:c r="K299" s="12"/>
      <x:c r="L299" s="12"/>
      <x:c r="M299" s="12" t="str">
        <x:f>IF(K299="", "", MAX(0,IF(K299&lt;=20,100,IF(K299&lt;=30,85,IF(K299&lt;=40,70,IF(K299&lt;=50,55,IF(K299&lt;=60,40,20)))))-MIN(L299*5,20)))</x:f>
      </x:c>
      <x:c r="N299" s="12"/>
      <x:c r="O299" s="12"/>
      <x:c r="P299" s="12" t="str">
        <x:f>IF(OR(H299="",J299="",M299=""),"",ROUND(PERCENTRANK.INC($H$2:$H$941,H299)*35+J299*0.35+M299*0.30,0))</x:f>
      </x:c>
      <x:c r="Q299" s="12" t="str">
        <x:f>IF(P299="","",IF(P299&gt;=80,"ATTACK",IF(P299&gt;=65,"GROW",IF(P299&gt;=50,"PARTNER","WATCH"))))</x:f>
      </x:c>
      <x:c r="R299" s="12" t="str">
        <x:f>IF(Q299="","",IF(Q299="ATTACK","Grassroots + family acquisition",IF(Q299="GROW","Test local campaign",IF(Q299="PARTNER","Organisation-first partnership","Low priority / validate"))))</x:f>
      </x:c>
      <x:c r="S299" s="45" t="n">
        <x:v>7.847009121139819</x:v>
      </x:c>
      <x:c r="T299" t="str">
        <x:v>NEAR</x:v>
      </x:c>
      <x:c r="U299" s="32" t="n">
        <x:f>PERCENTRANK.INC($G$2:$G$941,G299)</x:f>
        <x:v>0.496</x:v>
      </x:c>
      <x:c r="V299" s="32" t="n">
        <x:f>PERCENTRANK.INC($H$2:$H$941,H299)</x:f>
        <x:v>0.57</x:v>
      </x:c>
      <x:c r="W299" t="n">
        <x:f>ROUND((U299*55+V299*45)*IF(S299&lt;=5,1,IF(S299&lt;=10,0.95,IF(S299&lt;=20,0.85,0.70))),0)</x:f>
        <x:v>50</x:v>
      </x:c>
      <x:c r="X299" t="n">
        <x:v>66</x:v>
      </x:c>
      <x:c r="Y299" t="str">
        <x:v>GROW</x:v>
      </x:c>
      <x:c r="Z299" s="12" t="str">
        <x:v>Family + verified grassroots + straight-line geo only; transport not yet routed</x:v>
      </x:c>
      <x:c r="AA299" s="12"/>
      <x:c r="AB299" s="12"/>
      <x:c r="AC299" s="12"/>
      <x:c r="AD299" s="12"/>
      <x:c r="AE299" t="str">
        <x:v>Crystal Palace Women</x:v>
      </x:c>
      <x:c r="AF299" s="45" t="n">
        <x:v>2.10151447554554</x:v>
      </x:c>
      <x:c r="AG299" t="str">
        <x:v>AFC Wimbledon Women</x:v>
      </x:c>
      <x:c r="AH299" s="45" t="n">
        <x:v>8.581642176818745</x:v>
      </x:c>
      <x:c r="AI299" t="n">
        <x:v>92</x:v>
      </x:c>
      <x:c r="AJ299" t="str">
        <x:v>HIGH</x:v>
      </x:c>
    </x:row>
    <x:row r="300">
      <x:c r="A300" s="12" t="str">
        <x:v>E01034143</x:v>
      </x:c>
      <x:c r="B300" s="12" t="str">
        <x:v>Croydon 020H</x:v>
      </x:c>
      <x:c r="C300" s="12" t="str">
        <x:v>Croydon</x:v>
      </x:c>
      <x:c r="D300" s="44" t="n">
        <x:v>51.37905583414796</x:v>
      </x:c>
      <x:c r="E300" s="44" t="n">
        <x:v>-0.10047284553657904</x:v>
      </x:c>
      <x:c r="F300" s="33" t="n">
        <x:v>669</x:v>
      </x:c>
      <x:c r="G300" s="33" t="n">
        <x:v>147</x:v>
      </x:c>
      <x:c r="H300" s="26" t="n">
        <x:v>0.21973094170403587</x:v>
      </x:c>
      <x:c r="I300" s="12" t="n">
        <x:v>3</x:v>
      </x:c>
      <x:c r="J300" s="12" t="n">
        <x:v>76</x:v>
      </x:c>
      <x:c r="K300" s="12"/>
      <x:c r="L300" s="12"/>
      <x:c r="M300" s="12" t="str">
        <x:f>IF(K300="", "", MAX(0,IF(K300&lt;=20,100,IF(K300&lt;=30,85,IF(K300&lt;=40,70,IF(K300&lt;=50,55,IF(K300&lt;=60,40,20)))))-MIN(L300*5,20)))</x:f>
      </x:c>
      <x:c r="N300" s="12"/>
      <x:c r="O300" s="12"/>
      <x:c r="P300" s="12" t="str">
        <x:f>IF(OR(H300="",J300="",M300=""),"",ROUND(PERCENTRANK.INC($H$2:$H$941,H300)*35+J300*0.35+M300*0.30,0))</x:f>
      </x:c>
      <x:c r="Q300" s="12" t="str">
        <x:f>IF(P300="","",IF(P300&gt;=80,"ATTACK",IF(P300&gt;=65,"GROW",IF(P300&gt;=50,"PARTNER","WATCH"))))</x:f>
      </x:c>
      <x:c r="R300" s="12" t="str">
        <x:f>IF(Q300="","",IF(Q300="ATTACK","Grassroots + family acquisition",IF(Q300="GROW","Test local campaign",IF(Q300="PARTNER","Organisation-first partnership","Low priority / validate"))))</x:f>
      </x:c>
      <x:c r="S300" s="45" t="n">
        <x:v>8.307864443720701</x:v>
      </x:c>
      <x:c r="T300" t="str">
        <x:v>NEAR</x:v>
      </x:c>
      <x:c r="U300" s="32" t="n">
        <x:f>PERCENTRANK.INC($G$2:$G$941,G300)</x:f>
        <x:v>0.084</x:v>
      </x:c>
      <x:c r="V300" s="32" t="n">
        <x:f>PERCENTRANK.INC($H$2:$H$941,H300)</x:f>
        <x:v>0.103</x:v>
      </x:c>
      <x:c r="W300" t="n">
        <x:f>ROUND((U300*55+V300*45)*IF(S300&lt;=5,1,IF(S300&lt;=10,0.95,IF(S300&lt;=20,0.85,0.70))),0)</x:f>
        <x:v>9</x:v>
      </x:c>
      <x:c r="X300" t="n">
        <x:v>39</x:v>
      </x:c>
      <x:c r="Y300" t="str">
        <x:v>WATCH</x:v>
      </x:c>
      <x:c r="Z300" s="12" t="str">
        <x:v>Family + verified grassroots + straight-line geo only; transport not yet routed</x:v>
      </x:c>
      <x:c r="AA300" s="12"/>
      <x:c r="AB300" s="12"/>
      <x:c r="AC300" s="12"/>
      <x:c r="AD300" s="12"/>
      <x:c r="AE300" t="str">
        <x:v>Crystal Palace Women</x:v>
      </x:c>
      <x:c r="AF300" s="45" t="n">
        <x:v>2.387459594065446</x:v>
      </x:c>
      <x:c r="AG300" t="str">
        <x:v>AFC Wimbledon Women</x:v>
      </x:c>
      <x:c r="AH300" s="45" t="n">
        <x:v>8.341553331520124</x:v>
      </x:c>
      <x:c r="AI300" t="n">
        <x:v>92</x:v>
      </x:c>
      <x:c r="AJ300" t="str">
        <x:v>HIGH</x:v>
      </x:c>
    </x:row>
    <x:row r="301">
      <x:c r="A301" s="12" t="str">
        <x:v>E01000985</x:v>
      </x:c>
      <x:c r="B301" s="12" t="str">
        <x:v>Croydon 021A</x:v>
      </x:c>
      <x:c r="C301" s="12" t="str">
        <x:v>Croydon</x:v>
      </x:c>
      <x:c r="D301" s="44" t="n">
        <x:v>51.37903480860428</x:v>
      </x:c>
      <x:c r="E301" s="44" t="n">
        <x:v>-0.06250930345339828</x:v>
      </x:c>
      <x:c r="F301" s="33" t="n">
        <x:v>518</x:v>
      </x:c>
      <x:c r="G301" s="33" t="n">
        <x:v>155</x:v>
      </x:c>
      <x:c r="H301" s="26" t="n">
        <x:v>0.29922779922779924</x:v>
      </x:c>
      <x:c r="I301" s="12" t="n">
        <x:v>4</x:v>
      </x:c>
      <x:c r="J301" s="12" t="n">
        <x:v>85</x:v>
      </x:c>
      <x:c r="K301" s="12"/>
      <x:c r="L301" s="12"/>
      <x:c r="M301" s="12" t="str">
        <x:f>IF(K301="", "", MAX(0,IF(K301&lt;=20,100,IF(K301&lt;=30,85,IF(K301&lt;=40,70,IF(K301&lt;=50,55,IF(K301&lt;=60,40,20)))))-MIN(L301*5,20)))</x:f>
      </x:c>
      <x:c r="N301" s="12"/>
      <x:c r="O301" s="12"/>
      <x:c r="P301" s="12" t="str">
        <x:f>IF(OR(H301="",J301="",M301=""),"",ROUND(PERCENTRANK.INC($H$2:$H$941,H301)*35+J301*0.35+M301*0.30,0))</x:f>
      </x:c>
      <x:c r="Q301" s="12" t="str">
        <x:f>IF(P301="","",IF(P301&gt;=80,"ATTACK",IF(P301&gt;=65,"GROW",IF(P301&gt;=50,"PARTNER","WATCH"))))</x:f>
      </x:c>
      <x:c r="R301" s="12" t="str">
        <x:f>IF(Q301="","",IF(Q301="ATTACK","Grassroots + family acquisition",IF(Q301="GROW","Test local campaign",IF(Q301="PARTNER","Organisation-first partnership","Low priority / validate"))))</x:f>
      </x:c>
      <x:c r="S301" s="45" t="n">
        <x:v>5.723194344049174</x:v>
      </x:c>
      <x:c r="T301" t="str">
        <x:v>NEAR</x:v>
      </x:c>
      <x:c r="U301" s="32" t="n">
        <x:f>PERCENTRANK.INC($G$2:$G$941,G301)</x:f>
        <x:v>0.106</x:v>
      </x:c>
      <x:c r="V301" s="32" t="n">
        <x:f>PERCENTRANK.INC($H$2:$H$941,H301)</x:f>
        <x:v>0.387</x:v>
      </x:c>
      <x:c r="W301" t="n">
        <x:f>ROUND((U301*55+V301*45)*IF(S301&lt;=5,1,IF(S301&lt;=10,0.95,IF(S301&lt;=20,0.85,0.70))),0)</x:f>
        <x:v>22</x:v>
      </x:c>
      <x:c r="X301" t="n">
        <x:v>51</x:v>
      </x:c>
      <x:c r="Y301" t="str">
        <x:v>PARTNER</x:v>
      </x:c>
      <x:c r="Z301" s="12" t="str">
        <x:v>Family + verified grassroots + straight-line geo only; transport not yet routed</x:v>
      </x:c>
      <x:c r="AA301" s="12"/>
      <x:c r="AB301" s="12"/>
      <x:c r="AC301" s="12"/>
      <x:c r="AD301" s="12"/>
      <x:c r="AE301" t="str">
        <x:v>Crystal Palace Women</x:v>
      </x:c>
      <x:c r="AF301" s="45" t="n">
        <x:v>2.654731957326964</x:v>
      </x:c>
      <x:c r="AG301" t="str">
        <x:v>Dulwich Hamlet Women</x:v>
      </x:c>
      <x:c r="AH301" s="45" t="n">
        <x:v>9.27004497248662</x:v>
      </x:c>
      <x:c r="AI301" t="n">
        <x:v>92</x:v>
      </x:c>
      <x:c r="AJ301" t="str">
        <x:v>HIGH</x:v>
      </x:c>
    </x:row>
    <x:row r="302">
      <x:c r="A302" s="12" t="str">
        <x:v>E01000986</x:v>
      </x:c>
      <x:c r="B302" s="12" t="str">
        <x:v>Croydon 021B</x:v>
      </x:c>
      <x:c r="C302" s="12" t="str">
        <x:v>Croydon</x:v>
      </x:c>
      <x:c r="D302" s="44" t="n">
        <x:v>51.37826051498037</x:v>
      </x:c>
      <x:c r="E302" s="44" t="n">
        <x:v>-0.07079170272791693</x:v>
      </x:c>
      <x:c r="F302" s="33" t="n">
        <x:v>687</x:v>
      </x:c>
      <x:c r="G302" s="33" t="n">
        <x:v>205</x:v>
      </x:c>
      <x:c r="H302" s="26" t="n">
        <x:v>0.29839883551673946</x:v>
      </x:c>
      <x:c r="I302" s="12" t="n">
        <x:v>3</x:v>
      </x:c>
      <x:c r="J302" s="12" t="n">
        <x:v>84</x:v>
      </x:c>
      <x:c r="K302" s="12"/>
      <x:c r="L302" s="12"/>
      <x:c r="M302" s="12" t="str">
        <x:f>IF(K302="", "", MAX(0,IF(K302&lt;=20,100,IF(K302&lt;=30,85,IF(K302&lt;=40,70,IF(K302&lt;=50,55,IF(K302&lt;=60,40,20)))))-MIN(L302*5,20)))</x:f>
      </x:c>
      <x:c r="N302" s="12"/>
      <x:c r="O302" s="12"/>
      <x:c r="P302" s="12" t="str">
        <x:f>IF(OR(H302="",J302="",M302=""),"",ROUND(PERCENTRANK.INC($H$2:$H$941,H302)*35+J302*0.35+M302*0.30,0))</x:f>
      </x:c>
      <x:c r="Q302" s="12" t="str">
        <x:f>IF(P302="","",IF(P302&gt;=80,"ATTACK",IF(P302&gt;=65,"GROW",IF(P302&gt;=50,"PARTNER","WATCH"))))</x:f>
      </x:c>
      <x:c r="R302" s="12" t="str">
        <x:f>IF(Q302="","",IF(Q302="ATTACK","Grassroots + family acquisition",IF(Q302="GROW","Test local campaign",IF(Q302="PARTNER","Organisation-first partnership","Low priority / validate"))))</x:f>
      </x:c>
      <x:c r="S302" s="45" t="n">
        <x:v>6.302483203732299</x:v>
      </x:c>
      <x:c r="T302" t="str">
        <x:v>NEAR</x:v>
      </x:c>
      <x:c r="U302" s="32" t="n">
        <x:f>PERCENTRANK.INC($G$2:$G$941,G302)</x:f>
        <x:v>0.432</x:v>
      </x:c>
      <x:c r="V302" s="32" t="n">
        <x:f>PERCENTRANK.INC($H$2:$H$941,H302)</x:f>
        <x:v>0.383</x:v>
      </x:c>
      <x:c r="W302" t="n">
        <x:f>ROUND((U302*55+V302*45)*IF(S302&lt;=5,1,IF(S302&lt;=10,0.95,IF(S302&lt;=20,0.85,0.70))),0)</x:f>
        <x:v>39</x:v>
      </x:c>
      <x:c r="X302" t="n">
        <x:v>59</x:v>
      </x:c>
      <x:c r="Y302" t="str">
        <x:v>PARTNER</x:v>
      </x:c>
      <x:c r="Z302" s="12" t="str">
        <x:v>Family + verified grassroots + straight-line geo only; transport not yet routed</x:v>
      </x:c>
      <x:c r="AA302" s="12"/>
      <x:c r="AB302" s="12"/>
      <x:c r="AC302" s="12"/>
      <x:c r="AD302" s="12"/>
      <x:c r="AE302" t="str">
        <x:v>Crystal Palace Women</x:v>
      </x:c>
      <x:c r="AF302" s="45" t="n">
        <x:v>2.4388607035253784</x:v>
      </x:c>
      <x:c r="AG302" t="str">
        <x:v>Dulwich Hamlet Women</x:v>
      </x:c>
      <x:c r="AH302" s="45" t="n">
        <x:v>9.280971760647583</x:v>
      </x:c>
      <x:c r="AI302" t="n">
        <x:v>92</x:v>
      </x:c>
      <x:c r="AJ302" t="str">
        <x:v>HIGH</x:v>
      </x:c>
    </x:row>
    <x:row r="303">
      <x:c r="A303" s="12" t="str">
        <x:v>E01000987</x:v>
      </x:c>
      <x:c r="B303" s="12" t="str">
        <x:v>Croydon 021C</x:v>
      </x:c>
      <x:c r="C303" s="12" t="str">
        <x:v>Croydon</x:v>
      </x:c>
      <x:c r="D303" s="44" t="n">
        <x:v>51.38092683926703</x:v>
      </x:c>
      <x:c r="E303" s="44" t="n">
        <x:v>-0.06611143656686727</x:v>
      </x:c>
      <x:c r="F303" s="33" t="n">
        <x:v>517</x:v>
      </x:c>
      <x:c r="G303" s="33" t="n">
        <x:v>155</x:v>
      </x:c>
      <x:c r="H303" s="26" t="n">
        <x:v>0.29980657640232106</x:v>
      </x:c>
      <x:c r="I303" s="12" t="n">
        <x:v>4</x:v>
      </x:c>
      <x:c r="J303" s="12" t="n">
        <x:v>85</x:v>
      </x:c>
      <x:c r="K303" s="12"/>
      <x:c r="L303" s="12"/>
      <x:c r="M303" s="12" t="str">
        <x:f>IF(K303="", "", MAX(0,IF(K303&lt;=20,100,IF(K303&lt;=30,85,IF(K303&lt;=40,70,IF(K303&lt;=50,55,IF(K303&lt;=60,40,20)))))-MIN(L303*5,20)))</x:f>
      </x:c>
      <x:c r="N303" s="12"/>
      <x:c r="O303" s="12"/>
      <x:c r="P303" s="12" t="str">
        <x:f>IF(OR(H303="",J303="",M303=""),"",ROUND(PERCENTRANK.INC($H$2:$H$941,H303)*35+J303*0.35+M303*0.30,0))</x:f>
      </x:c>
      <x:c r="Q303" s="12" t="str">
        <x:f>IF(P303="","",IF(P303&gt;=80,"ATTACK",IF(P303&gt;=65,"GROW",IF(P303&gt;=50,"PARTNER","WATCH"))))</x:f>
      </x:c>
      <x:c r="R303" s="12" t="str">
        <x:f>IF(Q303="","",IF(Q303="ATTACK","Grassroots + family acquisition",IF(Q303="GROW","Test local campaign",IF(Q303="PARTNER","Organisation-first partnership","Low priority / validate"))))</x:f>
      </x:c>
      <x:c r="S303" s="45" t="n">
        <x:v>5.923201036604195</x:v>
      </x:c>
      <x:c r="T303" t="str">
        <x:v>NEAR</x:v>
      </x:c>
      <x:c r="U303" s="32" t="n">
        <x:f>PERCENTRANK.INC($G$2:$G$941,G303)</x:f>
        <x:v>0.106</x:v>
      </x:c>
      <x:c r="V303" s="32" t="n">
        <x:f>PERCENTRANK.INC($H$2:$H$941,H303)</x:f>
        <x:v>0.392</x:v>
      </x:c>
      <x:c r="W303" t="n">
        <x:f>ROUND((U303*55+V303*45)*IF(S303&lt;=5,1,IF(S303&lt;=10,0.95,IF(S303&lt;=20,0.85,0.70))),0)</x:f>
        <x:v>22</x:v>
      </x:c>
      <x:c r="X303" t="n">
        <x:v>51</x:v>
      </x:c>
      <x:c r="Y303" t="str">
        <x:v>PARTNER</x:v>
      </x:c>
      <x:c r="Z303" s="12" t="str">
        <x:v>Family + verified grassroots + straight-line geo only; transport not yet routed</x:v>
      </x:c>
      <x:c r="AA303" s="12"/>
      <x:c r="AB303" s="12"/>
      <x:c r="AC303" s="12"/>
      <x:c r="AD303" s="12"/>
      <x:c r="AE303" t="str">
        <x:v>Crystal Palace Women</x:v>
      </x:c>
      <x:c r="AF303" s="45" t="n">
        <x:v>2.3384771376679185</x:v>
      </x:c>
      <x:c r="AG303" t="str">
        <x:v>Dulwich Hamlet Women</x:v>
      </x:c>
      <x:c r="AH303" s="45" t="n">
        <x:v>9.024780382348341</x:v>
      </x:c>
      <x:c r="AI303" t="n">
        <x:v>92</x:v>
      </x:c>
      <x:c r="AJ303" t="str">
        <x:v>HIGH</x:v>
      </x:c>
    </x:row>
    <x:row r="304">
      <x:c r="A304" s="12" t="str">
        <x:v>E01000993</x:v>
      </x:c>
      <x:c r="B304" s="12" t="str">
        <x:v>Croydon 021D</x:v>
      </x:c>
      <x:c r="C304" s="12" t="str">
        <x:v>Croydon</x:v>
      </x:c>
      <x:c r="D304" s="44" t="n">
        <x:v>51.3827782409478</x:v>
      </x:c>
      <x:c r="E304" s="44" t="n">
        <x:v>-0.06950983431829474</x:v>
      </x:c>
      <x:c r="F304" s="33" t="n">
        <x:v>604</x:v>
      </x:c>
      <x:c r="G304" s="33" t="n">
        <x:v>228</x:v>
      </x:c>
      <x:c r="H304" s="26" t="n">
        <x:v>0.37748344370860926</x:v>
      </x:c>
      <x:c r="I304" s="12" t="n">
        <x:v>3</x:v>
      </x:c>
      <x:c r="J304" s="12" t="n">
        <x:v>84</x:v>
      </x:c>
      <x:c r="K304" s="12"/>
      <x:c r="L304" s="12"/>
      <x:c r="M304" s="12" t="str">
        <x:f>IF(K304="", "", MAX(0,IF(K304&lt;=20,100,IF(K304&lt;=30,85,IF(K304&lt;=40,70,IF(K304&lt;=50,55,IF(K304&lt;=60,40,20)))))-MIN(L304*5,20)))</x:f>
      </x:c>
      <x:c r="N304" s="12"/>
      <x:c r="O304" s="12"/>
      <x:c r="P304" s="12" t="str">
        <x:f>IF(OR(H304="",J304="",M304=""),"",ROUND(PERCENTRANK.INC($H$2:$H$941,H304)*35+J304*0.35+M304*0.30,0))</x:f>
      </x:c>
      <x:c r="Q304" s="12" t="str">
        <x:f>IF(P304="","",IF(P304&gt;=80,"ATTACK",IF(P304&gt;=65,"GROW",IF(P304&gt;=50,"PARTNER","WATCH"))))</x:f>
      </x:c>
      <x:c r="R304" s="12" t="str">
        <x:f>IF(Q304="","",IF(Q304="ATTACK","Grassroots + family acquisition",IF(Q304="GROW","Test local campaign",IF(Q304="PARTNER","Organisation-first partnership","Low priority / validate"))))</x:f>
      </x:c>
      <x:c r="S304" s="45" t="n">
        <x:v>6.120771136960982</x:v>
      </x:c>
      <x:c r="T304" t="str">
        <x:v>NEAR</x:v>
      </x:c>
      <x:c r="U304" s="32" t="n">
        <x:f>PERCENTRANK.INC($G$2:$G$941,G304)</x:f>
        <x:v>0.616</x:v>
      </x:c>
      <x:c r="V304" s="32" t="n">
        <x:f>PERCENTRANK.INC($H$2:$H$941,H304)</x:f>
        <x:v>0.82</x:v>
      </x:c>
      <x:c r="W304" t="n">
        <x:f>ROUND((U304*55+V304*45)*IF(S304&lt;=5,1,IF(S304&lt;=10,0.95,IF(S304&lt;=20,0.85,0.70))),0)</x:f>
        <x:v>67</x:v>
      </x:c>
      <x:c r="X304" t="n">
        <x:v>75</x:v>
      </x:c>
      <x:c r="Y304" t="str">
        <x:v>GROW</x:v>
      </x:c>
      <x:c r="Z304" s="12" t="str">
        <x:v>Family + verified grassroots + straight-line geo only; transport not yet routed</x:v>
      </x:c>
      <x:c r="AA304" s="12"/>
      <x:c r="AB304" s="12"/>
      <x:c r="AC304" s="12"/>
      <x:c r="AD304" s="12"/>
      <x:c r="AE304" t="str">
        <x:v>Crystal Palace Women</x:v>
      </x:c>
      <x:c r="AF304" s="45" t="n">
        <x:v>2.0368872912654075</x:v>
      </x:c>
      <x:c r="AG304" t="str">
        <x:v>Dulwich Hamlet Women</x:v>
      </x:c>
      <x:c r="AH304" s="45" t="n">
        <x:v>8.790902998284299</x:v>
      </x:c>
      <x:c r="AI304" t="n">
        <x:v>92</x:v>
      </x:c>
      <x:c r="AJ304" t="str">
        <x:v>HIGH</x:v>
      </x:c>
    </x:row>
    <x:row r="305">
      <x:c r="A305" s="12" t="str">
        <x:v>E01000975</x:v>
      </x:c>
      <x:c r="B305" s="12" t="str">
        <x:v>Croydon 022A</x:v>
      </x:c>
      <x:c r="C305" s="12" t="str">
        <x:v>Croydon</x:v>
      </x:c>
      <x:c r="D305" s="44" t="n">
        <x:v>51.37761535544507</x:v>
      </x:c>
      <x:c r="E305" s="44" t="n">
        <x:v>-0.0893332037862013</x:v>
      </x:c>
      <x:c r="F305" s="33" t="n">
        <x:v>1040</x:v>
      </x:c>
      <x:c r="G305" s="33" t="n">
        <x:v>278</x:v>
      </x:c>
      <x:c r="H305" s="26" t="n">
        <x:v>0.2673076923076923</x:v>
      </x:c>
      <x:c r="I305" s="12" t="n">
        <x:v>3</x:v>
      </x:c>
      <x:c r="J305" s="12" t="n">
        <x:v>85</x:v>
      </x:c>
      <x:c r="K305" s="12"/>
      <x:c r="L305" s="12"/>
      <x:c r="M305" s="12" t="str">
        <x:f>IF(K305="", "", MAX(0,IF(K305&lt;=20,100,IF(K305&lt;=30,85,IF(K305&lt;=40,70,IF(K305&lt;=50,55,IF(K305&lt;=60,40,20)))))-MIN(L305*5,20)))</x:f>
      </x:c>
      <x:c r="N305" s="12"/>
      <x:c r="O305" s="12"/>
      <x:c r="P305" s="12" t="str">
        <x:f>IF(OR(H305="",J305="",M305=""),"",ROUND(PERCENTRANK.INC($H$2:$H$941,H305)*35+J305*0.35+M305*0.30,0))</x:f>
      </x:c>
      <x:c r="Q305" s="12" t="str">
        <x:f>IF(P305="","",IF(P305&gt;=80,"ATTACK",IF(P305&gt;=65,"GROW",IF(P305&gt;=50,"PARTNER","WATCH"))))</x:f>
      </x:c>
      <x:c r="R305" s="12" t="str">
        <x:f>IF(Q305="","",IF(Q305="ATTACK","Grassroots + family acquisition",IF(Q305="GROW","Test local campaign",IF(Q305="PARTNER","Organisation-first partnership","Low priority / validate"))))</x:f>
      </x:c>
      <x:c r="S305" s="45" t="n">
        <x:v>7.575663537743025</x:v>
      </x:c>
      <x:c r="T305" t="str">
        <x:v>NEAR</x:v>
      </x:c>
      <x:c r="U305" s="32" t="n">
        <x:f>PERCENTRANK.INC($G$2:$G$941,G305)</x:f>
        <x:v>0.893</x:v>
      </x:c>
      <x:c r="V305" s="32" t="n">
        <x:f>PERCENTRANK.INC($H$2:$H$941,H305)</x:f>
        <x:v>0.248</x:v>
      </x:c>
      <x:c r="W305" t="n">
        <x:f>ROUND((U305*55+V305*45)*IF(S305&lt;=5,1,IF(S305&lt;=10,0.95,IF(S305&lt;=20,0.85,0.70))),0)</x:f>
        <x:v>57</x:v>
      </x:c>
      <x:c r="X305" t="n">
        <x:v>70</x:v>
      </x:c>
      <x:c r="Y305" t="str">
        <x:v>GROW</x:v>
      </x:c>
      <x:c r="Z305" s="12" t="str">
        <x:v>Family + verified grassroots + straight-line geo only; transport not yet routed</x:v>
      </x:c>
      <x:c r="AA305" s="12"/>
      <x:c r="AB305" s="12"/>
      <x:c r="AC305" s="12"/>
      <x:c r="AD305" s="12"/>
      <x:c r="AE305" t="str">
        <x:v>Crystal Palace Women</x:v>
      </x:c>
      <x:c r="AF305" s="45" t="n">
        <x:v>2.316069032690595</x:v>
      </x:c>
      <x:c r="AG305" t="str">
        <x:v>AFC Wimbledon Women</x:v>
      </x:c>
      <x:c r="AH305" s="45" t="n">
        <x:v>9.017988069156917</x:v>
      </x:c>
      <x:c r="AI305" t="n">
        <x:v>92</x:v>
      </x:c>
      <x:c r="AJ305" t="str">
        <x:v>HIGH</x:v>
      </x:c>
    </x:row>
    <x:row r="306">
      <x:c r="A306" s="12" t="str">
        <x:v>E01000976</x:v>
      </x:c>
      <x:c r="B306" s="12" t="str">
        <x:v>Croydon 022B</x:v>
      </x:c>
      <x:c r="C306" s="12" t="str">
        <x:v>Croydon</x:v>
      </x:c>
      <x:c r="D306" s="44" t="n">
        <x:v>51.38086221727896</x:v>
      </x:c>
      <x:c r="E306" s="44" t="n">
        <x:v>-0.08844378083135027</x:v>
      </x:c>
      <x:c r="F306" s="33" t="n">
        <x:v>875</x:v>
      </x:c>
      <x:c r="G306" s="33" t="n">
        <x:v>291</x:v>
      </x:c>
      <x:c r="H306" s="26" t="n">
        <x:v>0.3325714285714286</x:v>
      </x:c>
      <x:c r="I306" s="12" t="n">
        <x:v>3</x:v>
      </x:c>
      <x:c r="J306" s="12" t="n">
        <x:v>92</x:v>
      </x:c>
      <x:c r="K306" s="12"/>
      <x:c r="L306" s="12"/>
      <x:c r="M306" s="12" t="str">
        <x:f>IF(K306="", "", MAX(0,IF(K306&lt;=20,100,IF(K306&lt;=30,85,IF(K306&lt;=40,70,IF(K306&lt;=50,55,IF(K306&lt;=60,40,20)))))-MIN(L306*5,20)))</x:f>
      </x:c>
      <x:c r="N306" s="12"/>
      <x:c r="O306" s="12"/>
      <x:c r="P306" s="12" t="str">
        <x:f>IF(OR(H306="",J306="",M306=""),"",ROUND(PERCENTRANK.INC($H$2:$H$941,H306)*35+J306*0.35+M306*0.30,0))</x:f>
      </x:c>
      <x:c r="Q306" s="12" t="str">
        <x:f>IF(P306="","",IF(P306&gt;=80,"ATTACK",IF(P306&gt;=65,"GROW",IF(P306&gt;=50,"PARTNER","WATCH"))))</x:f>
      </x:c>
      <x:c r="R306" s="12" t="str">
        <x:f>IF(Q306="","",IF(Q306="ATTACK","Grassroots + family acquisition",IF(Q306="GROW","Test local campaign",IF(Q306="PARTNER","Organisation-first partnership","Low priority / validate"))))</x:f>
      </x:c>
      <x:c r="S306" s="45" t="n">
        <x:v>7.451886346199449</x:v>
      </x:c>
      <x:c r="T306" t="str">
        <x:v>NEAR</x:v>
      </x:c>
      <x:c r="U306" s="32" t="n">
        <x:f>PERCENTRANK.INC($G$2:$G$941,G306)</x:f>
        <x:v>0.929</x:v>
      </x:c>
      <x:c r="V306" s="32" t="n">
        <x:f>PERCENTRANK.INC($H$2:$H$941,H306)</x:f>
        <x:v>0.584</x:v>
      </x:c>
      <x:c r="W306" t="n">
        <x:f>ROUND((U306*55+V306*45)*IF(S306&lt;=5,1,IF(S306&lt;=10,0.95,IF(S306&lt;=20,0.85,0.70))),0)</x:f>
        <x:v>74</x:v>
      </x:c>
      <x:c r="X306" t="n">
        <x:v>82</x:v>
      </x:c>
      <x:c r="Y306" t="str">
        <x:v>ATTACK</x:v>
      </x:c>
      <x:c r="Z306" s="12" t="str">
        <x:v>Family + verified grassroots + straight-line geo only; transport not yet routed</x:v>
      </x:c>
      <x:c r="AA306" s="12"/>
      <x:c r="AB306" s="12"/>
      <x:c r="AC306" s="12"/>
      <x:c r="AD306" s="12"/>
      <x:c r="AE306" t="str">
        <x:v>Crystal Palace Women</x:v>
      </x:c>
      <x:c r="AF306" s="45" t="n">
        <x:v>1.950210147647817</x:v>
      </x:c>
      <x:c r="AG306" t="str">
        <x:v>AFC Wimbledon Women</x:v>
      </x:c>
      <x:c r="AH306" s="45" t="n">
        <x:v>8.830812443301037</x:v>
      </x:c>
      <x:c r="AI306" t="n">
        <x:v>92</x:v>
      </x:c>
      <x:c r="AJ306" t="str">
        <x:v>HIGH</x:v>
      </x:c>
    </x:row>
    <x:row r="307">
      <x:c r="A307" s="12" t="str">
        <x:v>E01000977</x:v>
      </x:c>
      <x:c r="B307" s="12" t="str">
        <x:v>Croydon 022C</x:v>
      </x:c>
      <x:c r="C307" s="12" t="str">
        <x:v>Croydon</x:v>
      </x:c>
      <x:c r="D307" s="44" t="n">
        <x:v>51.378264863167885</x:v>
      </x:c>
      <x:c r="E307" s="44" t="n">
        <x:v>-0.0763521524573107</x:v>
      </x:c>
      <x:c r="F307" s="33" t="n">
        <x:v>949</x:v>
      </x:c>
      <x:c r="G307" s="33" t="n">
        <x:v>228</x:v>
      </x:c>
      <x:c r="H307" s="26" t="n">
        <x:v>0.24025289778714437</x:v>
      </x:c>
      <x:c r="I307" s="12" t="n">
        <x:v>3</x:v>
      </x:c>
      <x:c r="J307" s="12" t="n">
        <x:v>85</x:v>
      </x:c>
      <x:c r="K307" s="12"/>
      <x:c r="L307" s="12"/>
      <x:c r="M307" s="12" t="str">
        <x:f>IF(K307="", "", MAX(0,IF(K307&lt;=20,100,IF(K307&lt;=30,85,IF(K307&lt;=40,70,IF(K307&lt;=50,55,IF(K307&lt;=60,40,20)))))-MIN(L307*5,20)))</x:f>
      </x:c>
      <x:c r="N307" s="12"/>
      <x:c r="O307" s="12"/>
      <x:c r="P307" s="12" t="str">
        <x:f>IF(OR(H307="",J307="",M307=""),"",ROUND(PERCENTRANK.INC($H$2:$H$941,H307)*35+J307*0.35+M307*0.30,0))</x:f>
      </x:c>
      <x:c r="Q307" s="12" t="str">
        <x:f>IF(P307="","",IF(P307&gt;=80,"ATTACK",IF(P307&gt;=65,"GROW",IF(P307&gt;=50,"PARTNER","WATCH"))))</x:f>
      </x:c>
      <x:c r="R307" s="12" t="str">
        <x:f>IF(Q307="","",IF(Q307="ATTACK","Grassroots + family acquisition",IF(Q307="GROW","Test local campaign",IF(Q307="PARTNER","Organisation-first partnership","Low priority / validate"))))</x:f>
      </x:c>
      <x:c r="S307" s="45" t="n">
        <x:v>6.678965195405815</x:v>
      </x:c>
      <x:c r="T307" t="str">
        <x:v>NEAR</x:v>
      </x:c>
      <x:c r="U307" s="32" t="n">
        <x:f>PERCENTRANK.INC($G$2:$G$941,G307)</x:f>
        <x:v>0.616</x:v>
      </x:c>
      <x:c r="V307" s="32" t="n">
        <x:f>PERCENTRANK.INC($H$2:$H$941,H307)</x:f>
        <x:v>0.156</x:v>
      </x:c>
      <x:c r="W307" t="n">
        <x:f>ROUND((U307*55+V307*45)*IF(S307&lt;=5,1,IF(S307&lt;=10,0.95,IF(S307&lt;=20,0.85,0.70))),0)</x:f>
        <x:v>39</x:v>
      </x:c>
      <x:c r="X307" t="n">
        <x:v>60</x:v>
      </x:c>
      <x:c r="Y307" t="str">
        <x:v>PARTNER</x:v>
      </x:c>
      <x:c r="Z307" s="12" t="str">
        <x:v>Family + verified grassroots + straight-line geo only; transport not yet routed</x:v>
      </x:c>
      <x:c r="AA307" s="12"/>
      <x:c r="AB307" s="12"/>
      <x:c r="AC307" s="12"/>
      <x:c r="AD307" s="12"/>
      <x:c r="AE307" t="str">
        <x:v>Crystal Palace Women</x:v>
      </x:c>
      <x:c r="AF307" s="45" t="n">
        <x:v>2.307795022538045</x:v>
      </x:c>
      <x:c r="AG307" t="str">
        <x:v>Dulwich Hamlet Women</x:v>
      </x:c>
      <x:c r="AH307" s="45" t="n">
        <x:v>9.250456910124006</x:v>
      </x:c>
      <x:c r="AI307" t="n">
        <x:v>92</x:v>
      </x:c>
      <x:c r="AJ307" t="str">
        <x:v>HIGH</x:v>
      </x:c>
    </x:row>
    <x:row r="308">
      <x:c r="A308" s="12" t="str">
        <x:v>E01000978</x:v>
      </x:c>
      <x:c r="B308" s="12" t="str">
        <x:v>Croydon 022D</x:v>
      </x:c>
      <x:c r="C308" s="12" t="str">
        <x:v>Croydon</x:v>
      </x:c>
      <x:c r="D308" s="44" t="n">
        <x:v>51.37720879420758</x:v>
      </x:c>
      <x:c r="E308" s="44" t="n">
        <x:v>-0.0803374834875524</x:v>
      </x:c>
      <x:c r="F308" s="33" t="n">
        <x:v>838</x:v>
      </x:c>
      <x:c r="G308" s="33" t="n">
        <x:v>216</x:v>
      </x:c>
      <x:c r="H308" s="26" t="n">
        <x:v>0.2577565632458234</x:v>
      </x:c>
      <x:c r="I308" s="12" t="n">
        <x:v>3</x:v>
      </x:c>
      <x:c r="J308" s="12" t="n">
        <x:v>85</x:v>
      </x:c>
      <x:c r="K308" s="12"/>
      <x:c r="L308" s="12"/>
      <x:c r="M308" s="12" t="str">
        <x:f>IF(K308="", "", MAX(0,IF(K308&lt;=20,100,IF(K308&lt;=30,85,IF(K308&lt;=40,70,IF(K308&lt;=50,55,IF(K308&lt;=60,40,20)))))-MIN(L308*5,20)))</x:f>
      </x:c>
      <x:c r="N308" s="12"/>
      <x:c r="O308" s="12"/>
      <x:c r="P308" s="12" t="str">
        <x:f>IF(OR(H308="",J308="",M308=""),"",ROUND(PERCENTRANK.INC($H$2:$H$941,H308)*35+J308*0.35+M308*0.30,0))</x:f>
      </x:c>
      <x:c r="Q308" s="12" t="str">
        <x:f>IF(P308="","",IF(P308&gt;=80,"ATTACK",IF(P308&gt;=65,"GROW",IF(P308&gt;=50,"PARTNER","WATCH"))))</x:f>
      </x:c>
      <x:c r="R308" s="12" t="str">
        <x:f>IF(Q308="","",IF(Q308="ATTACK","Grassroots + family acquisition",IF(Q308="GROW","Test local campaign",IF(Q308="PARTNER","Organisation-first partnership","Low priority / validate"))))</x:f>
      </x:c>
      <x:c r="S308" s="45" t="n">
        <x:v>6.9744274574907505</x:v>
      </x:c>
      <x:c r="T308" t="str">
        <x:v>NEAR</x:v>
      </x:c>
      <x:c r="U308" s="32" t="n">
        <x:f>PERCENTRANK.INC($G$2:$G$941,G308)</x:f>
        <x:v>0.523</x:v>
      </x:c>
      <x:c r="V308" s="32" t="n">
        <x:f>PERCENTRANK.INC($H$2:$H$941,H308)</x:f>
        <x:v>0.209</x:v>
      </x:c>
      <x:c r="W308" t="n">
        <x:f>ROUND((U308*55+V308*45)*IF(S308&lt;=5,1,IF(S308&lt;=10,0.95,IF(S308&lt;=20,0.85,0.70))),0)</x:f>
        <x:v>36</x:v>
      </x:c>
      <x:c r="X308" t="n">
        <x:v>58</x:v>
      </x:c>
      <x:c r="Y308" t="str">
        <x:v>PARTNER</x:v>
      </x:c>
      <x:c r="Z308" s="12" t="str">
        <x:v>Family + verified grassroots + straight-line geo only; transport not yet routed</x:v>
      </x:c>
      <x:c r="AA308" s="12"/>
      <x:c r="AB308" s="12"/>
      <x:c r="AC308" s="12"/>
      <x:c r="AD308" s="12"/>
      <x:c r="AE308" t="str">
        <x:v>Crystal Palace Women</x:v>
      </x:c>
      <x:c r="AF308" s="45" t="n">
        <x:v>2.366693012353732</x:v>
      </x:c>
      <x:c r="AG308" t="str">
        <x:v>Dulwich Hamlet Women</x:v>
      </x:c>
      <x:c r="AH308" s="45" t="n">
        <x:v>9.356162326794426</x:v>
      </x:c>
      <x:c r="AI308" t="n">
        <x:v>92</x:v>
      </x:c>
      <x:c r="AJ308" t="str">
        <x:v>HIGH</x:v>
      </x:c>
    </x:row>
    <x:row r="309">
      <x:c r="A309" s="12" t="str">
        <x:v>E01000979</x:v>
      </x:c>
      <x:c r="B309" s="12" t="str">
        <x:v>Croydon 022E</x:v>
      </x:c>
      <x:c r="C309" s="12" t="str">
        <x:v>Croydon</x:v>
      </x:c>
      <x:c r="D309" s="44" t="n">
        <x:v>51.377003603703905</x:v>
      </x:c>
      <x:c r="E309" s="44" t="n">
        <x:v>-0.0843337338135452</x:v>
      </x:c>
      <x:c r="F309" s="33" t="n">
        <x:v>776</x:v>
      </x:c>
      <x:c r="G309" s="33" t="n">
        <x:v>213</x:v>
      </x:c>
      <x:c r="H309" s="26" t="n">
        <x:v>0.27448453608247425</x:v>
      </x:c>
      <x:c r="I309" s="12" t="n">
        <x:v>3</x:v>
      </x:c>
      <x:c r="J309" s="12" t="n">
        <x:v>85</x:v>
      </x:c>
      <x:c r="K309" s="12"/>
      <x:c r="L309" s="12"/>
      <x:c r="M309" s="12" t="str">
        <x:f>IF(K309="", "", MAX(0,IF(K309&lt;=20,100,IF(K309&lt;=30,85,IF(K309&lt;=40,70,IF(K309&lt;=50,55,IF(K309&lt;=60,40,20)))))-MIN(L309*5,20)))</x:f>
      </x:c>
      <x:c r="N309" s="12"/>
      <x:c r="O309" s="12"/>
      <x:c r="P309" s="12" t="str">
        <x:f>IF(OR(H309="",J309="",M309=""),"",ROUND(PERCENTRANK.INC($H$2:$H$941,H309)*35+J309*0.35+M309*0.30,0))</x:f>
      </x:c>
      <x:c r="Q309" s="12" t="str">
        <x:f>IF(P309="","",IF(P309&gt;=80,"ATTACK",IF(P309&gt;=65,"GROW",IF(P309&gt;=50,"PARTNER","WATCH"))))</x:f>
      </x:c>
      <x:c r="R309" s="12" t="str">
        <x:f>IF(Q309="","",IF(Q309="ATTACK","Grassroots + family acquisition",IF(Q309="GROW","Test local campaign",IF(Q309="PARTNER","Organisation-first partnership","Low priority / validate"))))</x:f>
      </x:c>
      <x:c r="S309" s="45" t="n">
        <x:v>7.250111585360499</x:v>
      </x:c>
      <x:c r="T309" t="str">
        <x:v>NEAR</x:v>
      </x:c>
      <x:c r="U309" s="32" t="n">
        <x:f>PERCENTRANK.INC($G$2:$G$941,G309)</x:f>
        <x:v>0.496</x:v>
      </x:c>
      <x:c r="V309" s="32" t="n">
        <x:f>PERCENTRANK.INC($H$2:$H$941,H309)</x:f>
        <x:v>0.269</x:v>
      </x:c>
      <x:c r="W309" t="n">
        <x:f>ROUND((U309*55+V309*45)*IF(S309&lt;=5,1,IF(S309&lt;=10,0.95,IF(S309&lt;=20,0.85,0.70))),0)</x:f>
        <x:v>37</x:v>
      </x:c>
      <x:c r="X309" t="n">
        <x:v>59</x:v>
      </x:c>
      <x:c r="Y309" t="str">
        <x:v>PARTNER</x:v>
      </x:c>
      <x:c r="Z309" s="12" t="str">
        <x:v>Family + verified grassroots + straight-line geo only; transport not yet routed</x:v>
      </x:c>
      <x:c r="AA309" s="12"/>
      <x:c r="AB309" s="12"/>
      <x:c r="AC309" s="12"/>
      <x:c r="AD309" s="12"/>
      <x:c r="AE309" t="str">
        <x:v>Crystal Palace Women</x:v>
      </x:c>
      <x:c r="AF309" s="45" t="n">
        <x:v>2.3665085391717438</x:v>
      </x:c>
      <x:c r="AG309" t="str">
        <x:v>AFC Wimbledon Women</x:v>
      </x:c>
      <x:c r="AH309" s="45" t="n">
        <x:v>9.32484091462587</x:v>
      </x:c>
      <x:c r="AI309" t="n">
        <x:v>92</x:v>
      </x:c>
      <x:c r="AJ309" t="str">
        <x:v>HIGH</x:v>
      </x:c>
    </x:row>
    <x:row r="310">
      <x:c r="A310" s="12" t="str">
        <x:v>E01000984</x:v>
      </x:c>
      <x:c r="B310" s="12" t="str">
        <x:v>Croydon 022F</x:v>
      </x:c>
      <x:c r="C310" s="12" t="str">
        <x:v>Croydon</x:v>
      </x:c>
      <x:c r="D310" s="44" t="n">
        <x:v>51.38161780171208</x:v>
      </x:c>
      <x:c r="E310" s="44" t="n">
        <x:v>-0.0834469022370531</x:v>
      </x:c>
      <x:c r="F310" s="33" t="n">
        <x:v>787</x:v>
      </x:c>
      <x:c r="G310" s="33" t="n">
        <x:v>248</x:v>
      </x:c>
      <x:c r="H310" s="26" t="n">
        <x:v>0.31512071156289706</x:v>
      </x:c>
      <x:c r="I310" s="12" t="n">
        <x:v>3</x:v>
      </x:c>
      <x:c r="J310" s="12" t="n">
        <x:v>100</x:v>
      </x:c>
      <x:c r="K310" s="12"/>
      <x:c r="L310" s="12"/>
      <x:c r="M310" s="12" t="str">
        <x:f>IF(K310="", "", MAX(0,IF(K310&lt;=20,100,IF(K310&lt;=30,85,IF(K310&lt;=40,70,IF(K310&lt;=50,55,IF(K310&lt;=60,40,20)))))-MIN(L310*5,20)))</x:f>
      </x:c>
      <x:c r="N310" s="12"/>
      <x:c r="O310" s="12"/>
      <x:c r="P310" s="12" t="str">
        <x:f>IF(OR(H310="",J310="",M310=""),"",ROUND(PERCENTRANK.INC($H$2:$H$941,H310)*35+J310*0.35+M310*0.30,0))</x:f>
      </x:c>
      <x:c r="Q310" s="12" t="str">
        <x:f>IF(P310="","",IF(P310&gt;=80,"ATTACK",IF(P310&gt;=65,"GROW",IF(P310&gt;=50,"PARTNER","WATCH"))))</x:f>
      </x:c>
      <x:c r="R310" s="12" t="str">
        <x:f>IF(Q310="","",IF(Q310="ATTACK","Grassroots + family acquisition",IF(Q310="GROW","Test local campaign",IF(Q310="PARTNER","Organisation-first partnership","Low priority / validate"))))</x:f>
      </x:c>
      <x:c r="S310" s="45" t="n">
        <x:v>7.096431857073478</x:v>
      </x:c>
      <x:c r="T310" t="str">
        <x:v>NEAR</x:v>
      </x:c>
      <x:c r="U310" s="32" t="n">
        <x:f>PERCENTRANK.INC($G$2:$G$941,G310)</x:f>
        <x:v>0.757</x:v>
      </x:c>
      <x:c r="V310" s="32" t="n">
        <x:f>PERCENTRANK.INC($H$2:$H$941,H310)</x:f>
        <x:v>0.485</x:v>
      </x:c>
      <x:c r="W310" t="n">
        <x:f>ROUND((U310*55+V310*45)*IF(S310&lt;=5,1,IF(S310&lt;=10,0.95,IF(S310&lt;=20,0.85,0.70))),0)</x:f>
        <x:v>60</x:v>
      </x:c>
      <x:c r="X310" t="n">
        <x:v>78</x:v>
      </x:c>
      <x:c r="Y310" t="str">
        <x:v>GROW</x:v>
      </x:c>
      <x:c r="Z310" s="12" t="str">
        <x:v>Family + verified grassroots + straight-line geo only; transport not yet routed</x:v>
      </x:c>
      <x:c r="AA310" s="12"/>
      <x:c r="AB310" s="12"/>
      <x:c r="AC310" s="12"/>
      <x:c r="AD310" s="12"/>
      <x:c r="AE310" t="str">
        <x:v>Crystal Palace Women</x:v>
      </x:c>
      <x:c r="AF310" s="45" t="n">
        <x:v>1.856519378485228</x:v>
      </x:c>
      <x:c r="AG310" t="str">
        <x:v>Dulwich Hamlet Women</x:v>
      </x:c>
      <x:c r="AH310" s="45" t="n">
        <x:v>8.862569422059856</x:v>
      </x:c>
      <x:c r="AI310" t="n">
        <x:v>92</x:v>
      </x:c>
      <x:c r="AJ310" t="str">
        <x:v>HIGH</x:v>
      </x:c>
    </x:row>
    <x:row r="311">
      <x:c r="A311" s="12" t="str">
        <x:v>E01001044</x:v>
      </x:c>
      <x:c r="B311" s="12" t="str">
        <x:v>Croydon 023A</x:v>
      </x:c>
      <x:c r="C311" s="12" t="str">
        <x:v>Croydon</x:v>
      </x:c>
      <x:c r="D311" s="44" t="n">
        <x:v>51.36785059719069</x:v>
      </x:c>
      <x:c r="E311" s="44" t="n">
        <x:v>-0.08640301742894946</x:v>
      </x:c>
      <x:c r="F311" s="33" t="n">
        <x:v>833</x:v>
      </x:c>
      <x:c r="G311" s="33" t="n">
        <x:v>286</x:v>
      </x:c>
      <x:c r="H311" s="26" t="n">
        <x:v>0.3433373349339736</x:v>
      </x:c>
      <x:c r="I311" s="12" t="n">
        <x:v>3</x:v>
      </x:c>
      <x:c r="J311" s="12" t="n">
        <x:v>85</x:v>
      </x:c>
      <x:c r="K311" s="12"/>
      <x:c r="L311" s="12"/>
      <x:c r="M311" s="12" t="str">
        <x:f>IF(K311="", "", MAX(0,IF(K311&lt;=20,100,IF(K311&lt;=30,85,IF(K311&lt;=40,70,IF(K311&lt;=50,55,IF(K311&lt;=60,40,20)))))-MIN(L311*5,20)))</x:f>
      </x:c>
      <x:c r="N311" s="12"/>
      <x:c r="O311" s="12"/>
      <x:c r="P311" s="12" t="str">
        <x:f>IF(OR(H311="",J311="",M311=""),"",ROUND(PERCENTRANK.INC($H$2:$H$941,H311)*35+J311*0.35+M311*0.30,0))</x:f>
      </x:c>
      <x:c r="Q311" s="12" t="str">
        <x:f>IF(P311="","",IF(P311&gt;=80,"ATTACK",IF(P311&gt;=65,"GROW",IF(P311&gt;=50,"PARTNER","WATCH"))))</x:f>
      </x:c>
      <x:c r="R311" s="12" t="str">
        <x:f>IF(Q311="","",IF(Q311="ATTACK","Grassroots + family acquisition",IF(Q311="GROW","Test local campaign",IF(Q311="PARTNER","Organisation-first partnership","Low priority / validate"))))</x:f>
      </x:c>
      <x:c r="S311" s="45" t="n">
        <x:v>7.670019694841479</x:v>
      </x:c>
      <x:c r="T311" t="str">
        <x:v>NEAR</x:v>
      </x:c>
      <x:c r="U311" s="32" t="n">
        <x:f>PERCENTRANK.INC($G$2:$G$941,G311)</x:f>
        <x:v>0.919</x:v>
      </x:c>
      <x:c r="V311" s="32" t="n">
        <x:f>PERCENTRANK.INC($H$2:$H$941,H311)</x:f>
        <x:v>0.64</x:v>
      </x:c>
      <x:c r="W311" t="n">
        <x:f>ROUND((U311*55+V311*45)*IF(S311&lt;=5,1,IF(S311&lt;=10,0.95,IF(S311&lt;=20,0.85,0.70))),0)</x:f>
        <x:v>75</x:v>
      </x:c>
      <x:c r="X311" t="n">
        <x:v>80</x:v>
      </x:c>
      <x:c r="Y311" t="str">
        <x:v>ATTACK</x:v>
      </x:c>
      <x:c r="Z311" s="12" t="str">
        <x:v>Family + verified grassroots + straight-line geo only; transport not yet routed</x:v>
      </x:c>
      <x:c r="AA311" s="12"/>
      <x:c r="AB311" s="12"/>
      <x:c r="AC311" s="12"/>
      <x:c r="AD311" s="12"/>
      <x:c r="AE311" t="str">
        <x:v>Crystal Palace Women</x:v>
      </x:c>
      <x:c r="AF311" s="45" t="n">
        <x:v>3.384717078498589</x:v>
      </x:c>
      <x:c r="AG311" t="str">
        <x:v>AFC Wimbledon Women</x:v>
      </x:c>
      <x:c r="AH311" s="45" t="n">
        <x:v>9.912397036868043</x:v>
      </x:c>
      <x:c r="AI311" t="n">
        <x:v>81</x:v>
      </x:c>
      <x:c r="AJ311" t="str">
        <x:v>HIGH</x:v>
      </x:c>
    </x:row>
    <x:row r="312">
      <x:c r="A312" s="12" t="str">
        <x:v>E01001046</x:v>
      </x:c>
      <x:c r="B312" s="12" t="str">
        <x:v>Croydon 023B</x:v>
      </x:c>
      <x:c r="C312" s="12" t="str">
        <x:v>Croydon</x:v>
      </x:c>
      <x:c r="D312" s="44" t="n">
        <x:v>51.371938617609864</x:v>
      </x:c>
      <x:c r="E312" s="44" t="n">
        <x:v>-0.08317448391686148</x:v>
      </x:c>
      <x:c r="F312" s="33" t="n">
        <x:v>797</x:v>
      </x:c>
      <x:c r="G312" s="33" t="n">
        <x:v>289</x:v>
      </x:c>
      <x:c r="H312" s="26" t="n">
        <x:v>0.36260978670012545</x:v>
      </x:c>
      <x:c r="I312" s="12" t="n">
        <x:v>3</x:v>
      </x:c>
      <x:c r="J312" s="12" t="n">
        <x:v>85</x:v>
      </x:c>
      <x:c r="K312" s="12"/>
      <x:c r="L312" s="12"/>
      <x:c r="M312" s="12" t="str">
        <x:f>IF(K312="", "", MAX(0,IF(K312&lt;=20,100,IF(K312&lt;=30,85,IF(K312&lt;=40,70,IF(K312&lt;=50,55,IF(K312&lt;=60,40,20)))))-MIN(L312*5,20)))</x:f>
      </x:c>
      <x:c r="N312" s="12"/>
      <x:c r="O312" s="12"/>
      <x:c r="P312" s="12" t="str">
        <x:f>IF(OR(H312="",J312="",M312=""),"",ROUND(PERCENTRANK.INC($H$2:$H$941,H312)*35+J312*0.35+M312*0.30,0))</x:f>
      </x:c>
      <x:c r="Q312" s="12" t="str">
        <x:f>IF(P312="","",IF(P312&gt;=80,"ATTACK",IF(P312&gt;=65,"GROW",IF(P312&gt;=50,"PARTNER","WATCH"))))</x:f>
      </x:c>
      <x:c r="R312" s="12" t="str">
        <x:f>IF(Q312="","",IF(Q312="ATTACK","Grassroots + family acquisition",IF(Q312="GROW","Test local campaign",IF(Q312="PARTNER","Organisation-first partnership","Low priority / validate"))))</x:f>
      </x:c>
      <x:c r="S312" s="45" t="n">
        <x:v>7.31470282675689</x:v>
      </x:c>
      <x:c r="T312" t="str">
        <x:v>NEAR</x:v>
      </x:c>
      <x:c r="U312" s="32" t="n">
        <x:f>PERCENTRANK.INC($G$2:$G$941,G312)</x:f>
        <x:v>0.928</x:v>
      </x:c>
      <x:c r="V312" s="32" t="n">
        <x:f>PERCENTRANK.INC($H$2:$H$941,H312)</x:f>
        <x:v>0.751</x:v>
      </x:c>
      <x:c r="W312" t="n">
        <x:f>ROUND((U312*55+V312*45)*IF(S312&lt;=5,1,IF(S312&lt;=10,0.95,IF(S312&lt;=20,0.85,0.70))),0)</x:f>
        <x:v>81</x:v>
      </x:c>
      <x:c r="X312" t="n">
        <x:v>83</x:v>
      </x:c>
      <x:c r="Y312" t="str">
        <x:v>ATTACK</x:v>
      </x:c>
      <x:c r="Z312" s="12" t="str">
        <x:v>Family + verified grassroots + straight-line geo only; transport not yet routed</x:v>
      </x:c>
      <x:c r="AA312" s="12"/>
      <x:c r="AB312" s="12"/>
      <x:c r="AC312" s="12"/>
      <x:c r="AD312" s="12"/>
      <x:c r="AE312" t="str">
        <x:v>Crystal Palace Women</x:v>
      </x:c>
      <x:c r="AF312" s="45" t="n">
        <x:v>2.9322385802313944</x:v>
      </x:c>
      <x:c r="AG312" t="str">
        <x:v>AFC Wimbledon Women</x:v>
      </x:c>
      <x:c r="AH312" s="45" t="n">
        <x:v>9.758077836802702</x:v>
      </x:c>
      <x:c r="AI312" t="n">
        <x:v>92</x:v>
      </x:c>
      <x:c r="AJ312" t="str">
        <x:v>HIGH</x:v>
      </x:c>
    </x:row>
    <x:row r="313">
      <x:c r="A313" s="12" t="str">
        <x:v>E01001049</x:v>
      </x:c>
      <x:c r="B313" s="12" t="str">
        <x:v>Croydon 023C</x:v>
      </x:c>
      <x:c r="C313" s="12" t="str">
        <x:v>Croydon</x:v>
      </x:c>
      <x:c r="D313" s="44" t="n">
        <x:v>51.37191095156532</x:v>
      </x:c>
      <x:c r="E313" s="44" t="n">
        <x:v>-0.07436783270211252</x:v>
      </x:c>
      <x:c r="F313" s="33" t="n">
        <x:v>520</x:v>
      </x:c>
      <x:c r="G313" s="33" t="n">
        <x:v>146</x:v>
      </x:c>
      <x:c r="H313" s="26" t="n">
        <x:v>0.28076923076923077</x:v>
      </x:c>
      <x:c r="I313" s="12" t="n">
        <x:v>3</x:v>
      </x:c>
      <x:c r="J313" s="12" t="n">
        <x:v>77</x:v>
      </x:c>
      <x:c r="K313" s="12"/>
      <x:c r="L313" s="12"/>
      <x:c r="M313" s="12" t="str">
        <x:f>IF(K313="", "", MAX(0,IF(K313&lt;=20,100,IF(K313&lt;=30,85,IF(K313&lt;=40,70,IF(K313&lt;=50,55,IF(K313&lt;=60,40,20)))))-MIN(L313*5,20)))</x:f>
      </x:c>
      <x:c r="N313" s="12"/>
      <x:c r="O313" s="12"/>
      <x:c r="P313" s="12" t="str">
        <x:f>IF(OR(H313="",J313="",M313=""),"",ROUND(PERCENTRANK.INC($H$2:$H$941,H313)*35+J313*0.35+M313*0.30,0))</x:f>
      </x:c>
      <x:c r="Q313" s="12" t="str">
        <x:f>IF(P313="","",IF(P313&gt;=80,"ATTACK",IF(P313&gt;=65,"GROW",IF(P313&gt;=50,"PARTNER","WATCH"))))</x:f>
      </x:c>
      <x:c r="R313" s="12" t="str">
        <x:f>IF(Q313="","",IF(Q313="ATTACK","Grassroots + family acquisition",IF(Q313="GROW","Test local campaign",IF(Q313="PARTNER","Organisation-first partnership","Low priority / validate"))))</x:f>
      </x:c>
      <x:c r="S313" s="45" t="n">
        <x:v>6.7329894167085005</x:v>
      </x:c>
      <x:c r="T313" t="str">
        <x:v>NEAR</x:v>
      </x:c>
      <x:c r="U313" s="32" t="n">
        <x:f>PERCENTRANK.INC($G$2:$G$941,G313)</x:f>
        <x:v>0.08</x:v>
      </x:c>
      <x:c r="V313" s="32" t="n">
        <x:f>PERCENTRANK.INC($H$2:$H$941,H313)</x:f>
        <x:v>0.298</x:v>
      </x:c>
      <x:c r="W313" t="n">
        <x:f>ROUND((U313*55+V313*45)*IF(S313&lt;=5,1,IF(S313&lt;=10,0.95,IF(S313&lt;=20,0.85,0.70))),0)</x:f>
        <x:v>17</x:v>
      </x:c>
      <x:c r="X313" t="n">
        <x:v>44</x:v>
      </x:c>
      <x:c r="Y313" t="str">
        <x:v>WATCH</x:v>
      </x:c>
      <x:c r="Z313" s="12" t="str">
        <x:v>Family + verified grassroots + straight-line geo only; transport not yet routed</x:v>
      </x:c>
      <x:c r="AA313" s="12"/>
      <x:c r="AB313" s="12"/>
      <x:c r="AC313" s="12"/>
      <x:c r="AD313" s="12"/>
      <x:c r="AE313" t="str">
        <x:v>Crystal Palace Women</x:v>
      </x:c>
      <x:c r="AF313" s="45" t="n">
        <x:v>3.0260708763007815</x:v>
      </x:c>
      <x:c r="AG313" t="str">
        <x:v>Dulwich Hamlet Women</x:v>
      </x:c>
      <x:c r="AH313" s="45" t="n">
        <x:v>9.964167379889338</x:v>
      </x:c>
      <x:c r="AI313" t="n">
        <x:v>81</x:v>
      </x:c>
      <x:c r="AJ313" t="str">
        <x:v>HIGH</x:v>
      </x:c>
    </x:row>
    <x:row r="314">
      <x:c r="A314" s="12" t="str">
        <x:v>E01001050</x:v>
      </x:c>
      <x:c r="B314" s="12" t="str">
        <x:v>Croydon 023D</x:v>
      </x:c>
      <x:c r="C314" s="12" t="str">
        <x:v>Croydon</x:v>
      </x:c>
      <x:c r="D314" s="44" t="n">
        <x:v>51.37405393098772</x:v>
      </x:c>
      <x:c r="E314" s="44" t="n">
        <x:v>-0.08526941501202766</x:v>
      </x:c>
      <x:c r="F314" s="33" t="n">
        <x:v>794</x:v>
      </x:c>
      <x:c r="G314" s="33" t="n">
        <x:v>224</x:v>
      </x:c>
      <x:c r="H314" s="26" t="n">
        <x:v>0.28211586901763225</x:v>
      </x:c>
      <x:c r="I314" s="12" t="n">
        <x:v>3</x:v>
      </x:c>
      <x:c r="J314" s="12" t="n">
        <x:v>85</x:v>
      </x:c>
      <x:c r="K314" s="12"/>
      <x:c r="L314" s="12"/>
      <x:c r="M314" s="12" t="str">
        <x:f>IF(K314="", "", MAX(0,IF(K314&lt;=20,100,IF(K314&lt;=30,85,IF(K314&lt;=40,70,IF(K314&lt;=50,55,IF(K314&lt;=60,40,20)))))-MIN(L314*5,20)))</x:f>
      </x:c>
      <x:c r="N314" s="12"/>
      <x:c r="O314" s="12"/>
      <x:c r="P314" s="12" t="str">
        <x:f>IF(OR(H314="",J314="",M314=""),"",ROUND(PERCENTRANK.INC($H$2:$H$941,H314)*35+J314*0.35+M314*0.30,0))</x:f>
      </x:c>
      <x:c r="Q314" s="12" t="str">
        <x:f>IF(P314="","",IF(P314&gt;=80,"ATTACK",IF(P314&gt;=65,"GROW",IF(P314&gt;=50,"PARTNER","WATCH"))))</x:f>
      </x:c>
      <x:c r="R314" s="12" t="str">
        <x:f>IF(Q314="","",IF(Q314="ATTACK","Grassroots + family acquisition",IF(Q314="GROW","Test local campaign",IF(Q314="PARTNER","Organisation-first partnership","Low priority / validate"))))</x:f>
      </x:c>
      <x:c r="S314" s="45" t="n">
        <x:v>7.390439763564476</x:v>
      </x:c>
      <x:c r="T314" t="str">
        <x:v>NEAR</x:v>
      </x:c>
      <x:c r="U314" s="32" t="n">
        <x:f>PERCENTRANK.INC($G$2:$G$941,G314)</x:f>
        <x:v>0.576</x:v>
      </x:c>
      <x:c r="V314" s="32" t="n">
        <x:f>PERCENTRANK.INC($H$2:$H$941,H314)</x:f>
        <x:v>0.304</x:v>
      </x:c>
      <x:c r="W314" t="n">
        <x:f>ROUND((U314*55+V314*45)*IF(S314&lt;=5,1,IF(S314&lt;=10,0.95,IF(S314&lt;=20,0.85,0.70))),0)</x:f>
        <x:v>43</x:v>
      </x:c>
      <x:c r="X314" t="n">
        <x:v>62</x:v>
      </x:c>
      <x:c r="Y314" t="str">
        <x:v>PARTNER</x:v>
      </x:c>
      <x:c r="Z314" s="12" t="str">
        <x:v>Family + verified grassroots + straight-line geo only; transport not yet routed</x:v>
      </x:c>
      <x:c r="AA314" s="12"/>
      <x:c r="AB314" s="12"/>
      <x:c r="AC314" s="12"/>
      <x:c r="AD314" s="12"/>
      <x:c r="AE314" t="str">
        <x:v>Crystal Palace Women</x:v>
      </x:c>
      <x:c r="AF314" s="45" t="n">
        <x:v>2.693832432967578</x:v>
      </x:c>
      <x:c r="AG314" t="str">
        <x:v>AFC Wimbledon Women</x:v>
      </x:c>
      <x:c r="AH314" s="45" t="n">
        <x:v>9.492174264069881</x:v>
      </x:c>
      <x:c r="AI314" t="n">
        <x:v>92</x:v>
      </x:c>
      <x:c r="AJ314" t="str">
        <x:v>HIGH</x:v>
      </x:c>
    </x:row>
    <x:row r="315">
      <x:c r="A315" s="12" t="str">
        <x:v>E01001042</x:v>
      </x:c>
      <x:c r="B315" s="12" t="str">
        <x:v>Croydon 024B</x:v>
      </x:c>
      <x:c r="C315" s="12" t="str">
        <x:v>Croydon</x:v>
      </x:c>
      <x:c r="D315" s="44" t="n">
        <x:v>51.37111779372096</x:v>
      </x:c>
      <x:c r="E315" s="44" t="n">
        <x:v>-0.10322471850715424</x:v>
      </x:c>
      <x:c r="F315" s="33" t="n">
        <x:v>945</x:v>
      </x:c>
      <x:c r="G315" s="33" t="n">
        <x:v>307</x:v>
      </x:c>
      <x:c r="H315" s="26" t="n">
        <x:v>0.32486772486772486</x:v>
      </x:c>
      <x:c r="I315" s="12" t="n">
        <x:v>3</x:v>
      </x:c>
      <x:c r="J315" s="12" t="n">
        <x:v>84</x:v>
      </x:c>
      <x:c r="K315" s="12"/>
      <x:c r="L315" s="12"/>
      <x:c r="M315" s="12" t="str">
        <x:f>IF(K315="", "", MAX(0,IF(K315&lt;=20,100,IF(K315&lt;=30,85,IF(K315&lt;=40,70,IF(K315&lt;=50,55,IF(K315&lt;=60,40,20)))))-MIN(L315*5,20)))</x:f>
      </x:c>
      <x:c r="N315" s="12"/>
      <x:c r="O315" s="12"/>
      <x:c r="P315" s="12" t="str">
        <x:f>IF(OR(H315="",J315="",M315=""),"",ROUND(PERCENTRANK.INC($H$2:$H$941,H315)*35+J315*0.35+M315*0.30,0))</x:f>
      </x:c>
      <x:c r="Q315" s="12" t="str">
        <x:f>IF(P315="","",IF(P315&gt;=80,"ATTACK",IF(P315&gt;=65,"GROW",IF(P315&gt;=50,"PARTNER","WATCH"))))</x:f>
      </x:c>
      <x:c r="R315" s="12" t="str">
        <x:f>IF(Q315="","",IF(Q315="ATTACK","Grassroots + family acquisition",IF(Q315="GROW","Test local campaign",IF(Q315="PARTNER","Organisation-first partnership","Low priority / validate"))))</x:f>
      </x:c>
      <x:c r="S315" s="45" t="n">
        <x:v>8.678837233799255</x:v>
      </x:c>
      <x:c r="T315" t="str">
        <x:v>NEAR</x:v>
      </x:c>
      <x:c r="U315" s="32" t="n">
        <x:f>PERCENTRANK.INC($G$2:$G$941,G315)</x:f>
        <x:v>0.947</x:v>
      </x:c>
      <x:c r="V315" s="32" t="n">
        <x:f>PERCENTRANK.INC($H$2:$H$941,H315)</x:f>
        <x:v>0.539</x:v>
      </x:c>
      <x:c r="W315" t="n">
        <x:f>ROUND((U315*55+V315*45)*IF(S315&lt;=5,1,IF(S315&lt;=10,0.95,IF(S315&lt;=20,0.85,0.70))),0)</x:f>
        <x:v>73</x:v>
      </x:c>
      <x:c r="X315" t="n">
        <x:v>78</x:v>
      </x:c>
      <x:c r="Y315" t="str">
        <x:v>GROW</x:v>
      </x:c>
      <x:c r="Z315" s="12" t="str">
        <x:v>Family + verified grassroots + straight-line geo only; transport not yet routed</x:v>
      </x:c>
      <x:c r="AA315" s="12"/>
      <x:c r="AB315" s="12"/>
      <x:c r="AC315" s="12"/>
      <x:c r="AD315" s="12"/>
      <x:c r="AE315" t="str">
        <x:v>Crystal Palace Women</x:v>
      </x:c>
      <x:c r="AF315" s="45" t="n">
        <x:v>3.2703998635760967</x:v>
      </x:c>
      <x:c r="AG315" t="str">
        <x:v>AFC Wimbledon Women</x:v>
      </x:c>
      <x:c r="AH315" s="45" t="n">
        <x:v>8.852181841743919</x:v>
      </x:c>
      <x:c r="AI315" t="n">
        <x:v>81</x:v>
      </x:c>
      <x:c r="AJ315" t="str">
        <x:v>HIGH</x:v>
      </x:c>
    </x:row>
    <x:row r="316">
      <x:c r="A316" s="12" t="str">
        <x:v>E01001165</x:v>
      </x:c>
      <x:c r="B316" s="12" t="str">
        <x:v>Croydon 024C</x:v>
      </x:c>
      <x:c r="C316" s="12" t="str">
        <x:v>Croydon</x:v>
      </x:c>
      <x:c r="D316" s="44" t="n">
        <x:v>51.37156029571774</x:v>
      </x:c>
      <x:c r="E316" s="44" t="n">
        <x:v>-0.11451060527582646</x:v>
      </x:c>
      <x:c r="F316" s="33" t="n">
        <x:v>723</x:v>
      </x:c>
      <x:c r="G316" s="33" t="n">
        <x:v>249</x:v>
      </x:c>
      <x:c r="H316" s="26" t="n">
        <x:v>0.34439834024896265</x:v>
      </x:c>
      <x:c r="I316" s="12" t="n">
        <x:v>3</x:v>
      </x:c>
      <x:c r="J316" s="12" t="n">
        <x:v>84</x:v>
      </x:c>
      <x:c r="K316" s="12"/>
      <x:c r="L316" s="12"/>
      <x:c r="M316" s="12" t="str">
        <x:f>IF(K316="", "", MAX(0,IF(K316&lt;=20,100,IF(K316&lt;=30,85,IF(K316&lt;=40,70,IF(K316&lt;=50,55,IF(K316&lt;=60,40,20)))))-MIN(L316*5,20)))</x:f>
      </x:c>
      <x:c r="N316" s="12"/>
      <x:c r="O316" s="12"/>
      <x:c r="P316" s="12" t="str">
        <x:f>IF(OR(H316="",J316="",M316=""),"",ROUND(PERCENTRANK.INC($H$2:$H$941,H316)*35+J316*0.35+M316*0.30,0))</x:f>
      </x:c>
      <x:c r="Q316" s="12" t="str">
        <x:f>IF(P316="","",IF(P316&gt;=80,"ATTACK",IF(P316&gt;=65,"GROW",IF(P316&gt;=50,"PARTNER","WATCH"))))</x:f>
      </x:c>
      <x:c r="R316" s="12" t="str">
        <x:f>IF(Q316="","",IF(Q316="ATTACK","Grassroots + family acquisition",IF(Q316="GROW","Test local campaign",IF(Q316="PARTNER","Organisation-first partnership","Low priority / validate"))))</x:f>
      </x:c>
      <x:c r="S316" s="45" t="n">
        <x:v>9.426961017961116</x:v>
      </x:c>
      <x:c r="T316" t="str">
        <x:v>NEAR</x:v>
      </x:c>
      <x:c r="U316" s="32" t="n">
        <x:f>PERCENTRANK.INC($G$2:$G$941,G316)</x:f>
        <x:v>0.766</x:v>
      </x:c>
      <x:c r="V316" s="32" t="n">
        <x:f>PERCENTRANK.INC($H$2:$H$941,H316)</x:f>
        <x:v>0.649</x:v>
      </x:c>
      <x:c r="W316" t="n">
        <x:f>ROUND((U316*55+V316*45)*IF(S316&lt;=5,1,IF(S316&lt;=10,0.95,IF(S316&lt;=20,0.85,0.70))),0)</x:f>
        <x:v>68</x:v>
      </x:c>
      <x:c r="X316" t="n">
        <x:v>76</x:v>
      </x:c>
      <x:c r="Y316" t="str">
        <x:v>GROW</x:v>
      </x:c>
      <x:c r="Z316" s="12" t="str">
        <x:v>Family + verified grassroots + straight-line geo only; transport not yet routed</x:v>
      </x:c>
      <x:c r="AA316" s="12"/>
      <x:c r="AB316" s="12"/>
      <x:c r="AC316" s="12"/>
      <x:c r="AD316" s="12"/>
      <x:c r="AE316" t="str">
        <x:v>Crystal Palace Women</x:v>
      </x:c>
      <x:c r="AF316" s="45" t="n">
        <x:v>3.60260731791821</x:v>
      </x:c>
      <x:c r="AG316" t="str">
        <x:v>AFC Wimbledon Women</x:v>
      </x:c>
      <x:c r="AH316" s="45" t="n">
        <x:v>8.320742142149971</x:v>
      </x:c>
      <x:c r="AI316" t="n">
        <x:v>81</x:v>
      </x:c>
      <x:c r="AJ316" t="str">
        <x:v>HIGH</x:v>
      </x:c>
    </x:row>
    <x:row r="317">
      <x:c r="A317" s="12" t="str">
        <x:v>E01001166</x:v>
      </x:c>
      <x:c r="B317" s="12" t="str">
        <x:v>Croydon 024D</x:v>
      </x:c>
      <x:c r="C317" s="12" t="str">
        <x:v>Croydon</x:v>
      </x:c>
      <x:c r="D317" s="44" t="n">
        <x:v>51.37082220258877</x:v>
      </x:c>
      <x:c r="E317" s="44" t="n">
        <x:v>-0.10704117291256192</x:v>
      </x:c>
      <x:c r="F317" s="33" t="n">
        <x:v>875</x:v>
      </x:c>
      <x:c r="G317" s="33" t="n">
        <x:v>275</x:v>
      </x:c>
      <x:c r="H317" s="26" t="n">
        <x:v>0.3142857142857143</x:v>
      </x:c>
      <x:c r="I317" s="12" t="n">
        <x:v>3</x:v>
      </x:c>
      <x:c r="J317" s="12" t="n">
        <x:v>84</x:v>
      </x:c>
      <x:c r="K317" s="12"/>
      <x:c r="L317" s="12"/>
      <x:c r="M317" s="12" t="str">
        <x:f>IF(K317="", "", MAX(0,IF(K317&lt;=20,100,IF(K317&lt;=30,85,IF(K317&lt;=40,70,IF(K317&lt;=50,55,IF(K317&lt;=60,40,20)))))-MIN(L317*5,20)))</x:f>
      </x:c>
      <x:c r="N317" s="12"/>
      <x:c r="O317" s="12"/>
      <x:c r="P317" s="12" t="str">
        <x:f>IF(OR(H317="",J317="",M317=""),"",ROUND(PERCENTRANK.INC($H$2:$H$941,H317)*35+J317*0.35+M317*0.30,0))</x:f>
      </x:c>
      <x:c r="Q317" s="12" t="str">
        <x:f>IF(P317="","",IF(P317&gt;=80,"ATTACK",IF(P317&gt;=65,"GROW",IF(P317&gt;=50,"PARTNER","WATCH"))))</x:f>
      </x:c>
      <x:c r="R317" s="12" t="str">
        <x:f>IF(Q317="","",IF(Q317="ATTACK","Grassroots + family acquisition",IF(Q317="GROW","Test local campaign",IF(Q317="PARTNER","Organisation-first partnership","Low priority / validate"))))</x:f>
      </x:c>
      <x:c r="S317" s="45" t="n">
        <x:v>8.94344378947569</x:v>
      </x:c>
      <x:c r="T317" t="str">
        <x:v>NEAR</x:v>
      </x:c>
      <x:c r="U317" s="32" t="n">
        <x:f>PERCENTRANK.INC($G$2:$G$941,G317)</x:f>
        <x:v>0.88</x:v>
      </x:c>
      <x:c r="V317" s="32" t="n">
        <x:f>PERCENTRANK.INC($H$2:$H$941,H317)</x:f>
        <x:v>0.477</x:v>
      </x:c>
      <x:c r="W317" t="n">
        <x:f>ROUND((U317*55+V317*45)*IF(S317&lt;=5,1,IF(S317&lt;=10,0.95,IF(S317&lt;=20,0.85,0.70))),0)</x:f>
        <x:v>66</x:v>
      </x:c>
      <x:c r="X317" t="n">
        <x:v>74</x:v>
      </x:c>
      <x:c r="Y317" t="str">
        <x:v>GROW</x:v>
      </x:c>
      <x:c r="Z317" s="12" t="str">
        <x:v>Family + verified grassroots + straight-line geo only; transport not yet routed</x:v>
      </x:c>
      <x:c r="AA317" s="12"/>
      <x:c r="AB317" s="12"/>
      <x:c r="AC317" s="12"/>
      <x:c r="AD317" s="12"/>
      <x:c r="AE317" t="str">
        <x:v>Crystal Palace Women</x:v>
      </x:c>
      <x:c r="AF317" s="45" t="n">
        <x:v>3.4102331696165007</x:v>
      </x:c>
      <x:c r="AG317" t="str">
        <x:v>AFC Wimbledon Women</x:v>
      </x:c>
      <x:c r="AH317" s="45" t="n">
        <x:v>8.706339288762459</x:v>
      </x:c>
      <x:c r="AI317" t="n">
        <x:v>81</x:v>
      </x:c>
      <x:c r="AJ317" t="str">
        <x:v>HIGH</x:v>
      </x:c>
    </x:row>
    <x:row r="318">
      <x:c r="A318" s="12" t="str">
        <x:v>E01001168</x:v>
      </x:c>
      <x:c r="B318" s="12" t="str">
        <x:v>Croydon 024E</x:v>
      </x:c>
      <x:c r="C318" s="12" t="str">
        <x:v>Croydon</x:v>
      </x:c>
      <x:c r="D318" s="44" t="n">
        <x:v>51.369469845884225</x:v>
      </x:c>
      <x:c r="E318" s="44" t="n">
        <x:v>-0.11285784361220118</x:v>
      </x:c>
      <x:c r="F318" s="33" t="n">
        <x:v>735</x:v>
      </x:c>
      <x:c r="G318" s="33" t="n">
        <x:v>231</x:v>
      </x:c>
      <x:c r="H318" s="26" t="n">
        <x:v>0.3142857142857143</x:v>
      </x:c>
      <x:c r="I318" s="12" t="n">
        <x:v>3</x:v>
      </x:c>
      <x:c r="J318" s="12" t="n">
        <x:v>84</x:v>
      </x:c>
      <x:c r="K318" s="12"/>
      <x:c r="L318" s="12"/>
      <x:c r="M318" s="12" t="str">
        <x:f>IF(K318="", "", MAX(0,IF(K318&lt;=20,100,IF(K318&lt;=30,85,IF(K318&lt;=40,70,IF(K318&lt;=50,55,IF(K318&lt;=60,40,20)))))-MIN(L318*5,20)))</x:f>
      </x:c>
      <x:c r="N318" s="12"/>
      <x:c r="O318" s="12"/>
      <x:c r="P318" s="12" t="str">
        <x:f>IF(OR(H318="",J318="",M318=""),"",ROUND(PERCENTRANK.INC($H$2:$H$941,H318)*35+J318*0.35+M318*0.30,0))</x:f>
      </x:c>
      <x:c r="Q318" s="12" t="str">
        <x:f>IF(P318="","",IF(P318&gt;=80,"ATTACK",IF(P318&gt;=65,"GROW",IF(P318&gt;=50,"PARTNER","WATCH"))))</x:f>
      </x:c>
      <x:c r="R318" s="12" t="str">
        <x:f>IF(Q318="","",IF(Q318="ATTACK","Grassroots + family acquisition",IF(Q318="GROW","Test local campaign",IF(Q318="PARTNER","Organisation-first partnership","Low priority / validate"))))</x:f>
      </x:c>
      <x:c r="S318" s="45" t="n">
        <x:v>9.372168843077487</x:v>
      </x:c>
      <x:c r="T318" t="str">
        <x:v>NEAR</x:v>
      </x:c>
      <x:c r="U318" s="32" t="n">
        <x:f>PERCENTRANK.INC($G$2:$G$941,G318)</x:f>
        <x:v>0.638</x:v>
      </x:c>
      <x:c r="V318" s="32" t="n">
        <x:f>PERCENTRANK.INC($H$2:$H$941,H318)</x:f>
        <x:v>0.477</x:v>
      </x:c>
      <x:c r="W318" t="n">
        <x:f>ROUND((U318*55+V318*45)*IF(S318&lt;=5,1,IF(S318&lt;=10,0.95,IF(S318&lt;=20,0.85,0.70))),0)</x:f>
        <x:v>54</x:v>
      </x:c>
      <x:c r="X318" t="n">
        <x:v>68</x:v>
      </x:c>
      <x:c r="Y318" t="str">
        <x:v>GROW</x:v>
      </x:c>
      <x:c r="Z318" s="12" t="str">
        <x:v>Family + verified grassroots + straight-line geo only; transport not yet routed</x:v>
      </x:c>
      <x:c r="AA318" s="12"/>
      <x:c r="AB318" s="12"/>
      <x:c r="AC318" s="12"/>
      <x:c r="AD318" s="12"/>
      <x:c r="AE318" t="str">
        <x:v>Crystal Palace Women</x:v>
      </x:c>
      <x:c r="AF318" s="45" t="n">
        <x:v>3.7363099572170384</x:v>
      </x:c>
      <x:c r="AG318" t="str">
        <x:v>AFC Wimbledon Women</x:v>
      </x:c>
      <x:c r="AH318" s="45" t="n">
        <x:v>8.575513492035771</x:v>
      </x:c>
      <x:c r="AI318" t="n">
        <x:v>81</x:v>
      </x:c>
      <x:c r="AJ318" t="str">
        <x:v>HIGH</x:v>
      </x:c>
    </x:row>
    <x:row r="319">
      <x:c r="A319" s="12" t="str">
        <x:v>E01034144</x:v>
      </x:c>
      <x:c r="B319" s="12" t="str">
        <x:v>Croydon 024F</x:v>
      </x:c>
      <x:c r="C319" s="12" t="str">
        <x:v>Croydon</x:v>
      </x:c>
      <x:c r="D319" s="44" t="n">
        <x:v>51.37567210408955</x:v>
      </x:c>
      <x:c r="E319" s="44" t="n">
        <x:v>-0.10953171783322267</x:v>
      </x:c>
      <x:c r="F319" s="33" t="n">
        <x:v>589</x:v>
      </x:c>
      <x:c r="G319" s="33" t="n">
        <x:v>189</x:v>
      </x:c>
      <x:c r="H319" s="26" t="n">
        <x:v>0.32088285229202035</x:v>
      </x:c>
      <x:c r="I319" s="12" t="n">
        <x:v>3</x:v>
      </x:c>
      <x:c r="J319" s="12" t="n">
        <x:v>84</x:v>
      </x:c>
      <x:c r="K319" s="12"/>
      <x:c r="L319" s="12"/>
      <x:c r="M319" s="12" t="str">
        <x:f>IF(K319="", "", MAX(0,IF(K319&lt;=20,100,IF(K319&lt;=30,85,IF(K319&lt;=40,70,IF(K319&lt;=50,55,IF(K319&lt;=60,40,20)))))-MIN(L319*5,20)))</x:f>
      </x:c>
      <x:c r="N319" s="12"/>
      <x:c r="O319" s="12"/>
      <x:c r="P319" s="12" t="str">
        <x:f>IF(OR(H319="",J319="",M319=""),"",ROUND(PERCENTRANK.INC($H$2:$H$941,H319)*35+J319*0.35+M319*0.30,0))</x:f>
      </x:c>
      <x:c r="Q319" s="12" t="str">
        <x:f>IF(P319="","",IF(P319&gt;=80,"ATTACK",IF(P319&gt;=65,"GROW",IF(P319&gt;=50,"PARTNER","WATCH"))))</x:f>
      </x:c>
      <x:c r="R319" s="12" t="str">
        <x:f>IF(Q319="","",IF(Q319="ATTACK","Grassroots + family acquisition",IF(Q319="GROW","Test local campaign",IF(Q319="PARTNER","Organisation-first partnership","Low priority / validate"))))</x:f>
      </x:c>
      <x:c r="S319" s="45" t="n">
        <x:v>8.992917914388329</x:v>
      </x:c>
      <x:c r="T319" t="str">
        <x:v>NEAR</x:v>
      </x:c>
      <x:c r="U319" s="32" t="n">
        <x:f>PERCENTRANK.INC($G$2:$G$941,G319)</x:f>
        <x:v>0.31</x:v>
      </x:c>
      <x:c r="V319" s="32" t="n">
        <x:f>PERCENTRANK.INC($H$2:$H$941,H319)</x:f>
        <x:v>0.52</x:v>
      </x:c>
      <x:c r="W319" t="n">
        <x:f>ROUND((U319*55+V319*45)*IF(S319&lt;=5,1,IF(S319&lt;=10,0.95,IF(S319&lt;=20,0.85,0.70))),0)</x:f>
        <x:v>38</x:v>
      </x:c>
      <x:c r="X319" t="n">
        <x:v>59</x:v>
      </x:c>
      <x:c r="Y319" t="str">
        <x:v>PARTNER</x:v>
      </x:c>
      <x:c r="Z319" s="12" t="str">
        <x:v>Family + verified grassroots + straight-line geo only; transport not yet routed</x:v>
      </x:c>
      <x:c r="AA319" s="12"/>
      <x:c r="AB319" s="12"/>
      <x:c r="AC319" s="12"/>
      <x:c r="AD319" s="12"/>
      <x:c r="AE319" t="str">
        <x:v>Crystal Palace Women</x:v>
      </x:c>
      <x:c r="AF319" s="45" t="n">
        <x:v>3.0302057612457793</x:v>
      </x:c>
      <x:c r="AG319" t="str">
        <x:v>AFC Wimbledon Women</x:v>
      </x:c>
      <x:c r="AH319" s="45" t="n">
        <x:v>8.182768894532153</x:v>
      </x:c>
      <x:c r="AI319" t="n">
        <x:v>81</x:v>
      </x:c>
      <x:c r="AJ319" t="str">
        <x:v>HIGH</x:v>
      </x:c>
    </x:row>
    <x:row r="320">
      <x:c r="A320" s="12" t="str">
        <x:v>E01034145</x:v>
      </x:c>
      <x:c r="B320" s="12" t="str">
        <x:v>Croydon 024G</x:v>
      </x:c>
      <x:c r="C320" s="12" t="str">
        <x:v>Croydon</x:v>
      </x:c>
      <x:c r="D320" s="44" t="n">
        <x:v>51.375799071485446</x:v>
      </x:c>
      <x:c r="E320" s="44" t="n">
        <x:v>-0.10451321724430565</x:v>
      </x:c>
      <x:c r="F320" s="33" t="n">
        <x:v>562</x:v>
      </x:c>
      <x:c r="G320" s="33" t="n">
        <x:v>198</x:v>
      </x:c>
      <x:c r="H320" s="26" t="n">
        <x:v>0.35231316725978645</x:v>
      </x:c>
      <x:c r="I320" s="12" t="n">
        <x:v>3</x:v>
      </x:c>
      <x:c r="J320" s="12" t="n">
        <x:v>84</x:v>
      </x:c>
      <x:c r="K320" s="12"/>
      <x:c r="L320" s="12"/>
      <x:c r="M320" s="12" t="str">
        <x:f>IF(K320="", "", MAX(0,IF(K320&lt;=20,100,IF(K320&lt;=30,85,IF(K320&lt;=40,70,IF(K320&lt;=50,55,IF(K320&lt;=60,40,20)))))-MIN(L320*5,20)))</x:f>
      </x:c>
      <x:c r="N320" s="12"/>
      <x:c r="O320" s="12"/>
      <x:c r="P320" s="12" t="str">
        <x:f>IF(OR(H320="",J320="",M320=""),"",ROUND(PERCENTRANK.INC($H$2:$H$941,H320)*35+J320*0.35+M320*0.30,0))</x:f>
      </x:c>
      <x:c r="Q320" s="12" t="str">
        <x:f>IF(P320="","",IF(P320&gt;=80,"ATTACK",IF(P320&gt;=65,"GROW",IF(P320&gt;=50,"PARTNER","WATCH"))))</x:f>
      </x:c>
      <x:c r="R320" s="12" t="str">
        <x:f>IF(Q320="","",IF(Q320="ATTACK","Grassroots + family acquisition",IF(Q320="GROW","Test local campaign",IF(Q320="PARTNER","Organisation-first partnership","Low priority / validate"))))</x:f>
      </x:c>
      <x:c r="S320" s="45" t="n">
        <x:v>8.648417162226211</x:v>
      </x:c>
      <x:c r="T320" t="str">
        <x:v>NEAR</x:v>
      </x:c>
      <x:c r="U320" s="32" t="n">
        <x:f>PERCENTRANK.INC($G$2:$G$941,G320)</x:f>
        <x:v>0.365</x:v>
      </x:c>
      <x:c r="V320" s="32" t="n">
        <x:f>PERCENTRANK.INC($H$2:$H$941,H320)</x:f>
        <x:v>0.699</x:v>
      </x:c>
      <x:c r="W320" t="n">
        <x:f>ROUND((U320*55+V320*45)*IF(S320&lt;=5,1,IF(S320&lt;=10,0.95,IF(S320&lt;=20,0.85,0.70))),0)</x:f>
        <x:v>49</x:v>
      </x:c>
      <x:c r="X320" t="n">
        <x:v>65</x:v>
      </x:c>
      <x:c r="Y320" t="str">
        <x:v>GROW</x:v>
      </x:c>
      <x:c r="Z320" s="12" t="str">
        <x:v>Family + verified grassroots + straight-line geo only; transport not yet routed</x:v>
      </x:c>
      <x:c r="AA320" s="12"/>
      <x:c r="AB320" s="12"/>
      <x:c r="AC320" s="12"/>
      <x:c r="AD320" s="12"/>
      <x:c r="AE320" t="str">
        <x:v>Crystal Palace Women</x:v>
      </x:c>
      <x:c r="AF320" s="45" t="n">
        <x:v>2.8380001261444106</x:v>
      </x:c>
      <x:c r="AG320" t="str">
        <x:v>AFC Wimbledon Women</x:v>
      </x:c>
      <x:c r="AH320" s="45" t="n">
        <x:v>8.404680944171307</x:v>
      </x:c>
      <x:c r="AI320" t="n">
        <x:v>92</x:v>
      </x:c>
      <x:c r="AJ320" t="str">
        <x:v>HIGH</x:v>
      </x:c>
    </x:row>
    <x:row r="321">
      <x:c r="A321" s="12" t="str">
        <x:v>E01034146</x:v>
      </x:c>
      <x:c r="B321" s="12" t="str">
        <x:v>Croydon 024H</x:v>
      </x:c>
      <x:c r="C321" s="12" t="str">
        <x:v>Croydon</x:v>
      </x:c>
      <x:c r="D321" s="44" t="n">
        <x:v>51.373993282456574</x:v>
      </x:c>
      <x:c r="E321" s="44" t="n">
        <x:v>-0.11600723220470785</x:v>
      </x:c>
      <x:c r="F321" s="33" t="n">
        <x:v>597</x:v>
      </x:c>
      <x:c r="G321" s="33" t="n">
        <x:v>256</x:v>
      </x:c>
      <x:c r="H321" s="26" t="n">
        <x:v>0.4288107202680067</x:v>
      </x:c>
      <x:c r="I321" s="12" t="n">
        <x:v>3</x:v>
      </x:c>
      <x:c r="J321" s="12" t="n">
        <x:v>84</x:v>
      </x:c>
      <x:c r="K321" s="12"/>
      <x:c r="L321" s="12"/>
      <x:c r="M321" s="12" t="str">
        <x:f>IF(K321="", "", MAX(0,IF(K321&lt;=20,100,IF(K321&lt;=30,85,IF(K321&lt;=40,70,IF(K321&lt;=50,55,IF(K321&lt;=60,40,20)))))-MIN(L321*5,20)))</x:f>
      </x:c>
      <x:c r="N321" s="12"/>
      <x:c r="O321" s="12"/>
      <x:c r="P321" s="12" t="str">
        <x:f>IF(OR(H321="",J321="",M321=""),"",ROUND(PERCENTRANK.INC($H$2:$H$941,H321)*35+J321*0.35+M321*0.30,0))</x:f>
      </x:c>
      <x:c r="Q321" s="12" t="str">
        <x:f>IF(P321="","",IF(P321&gt;=80,"ATTACK",IF(P321&gt;=65,"GROW",IF(P321&gt;=50,"PARTNER","WATCH"))))</x:f>
      </x:c>
      <x:c r="R321" s="12" t="str">
        <x:f>IF(Q321="","",IF(Q321="ATTACK","Grassroots + family acquisition",IF(Q321="GROW","Test local campaign",IF(Q321="PARTNER","Organisation-first partnership","Low priority / validate"))))</x:f>
      </x:c>
      <x:c r="S321" s="45" t="n">
        <x:v>9.470194616748476</x:v>
      </x:c>
      <x:c r="T321" t="str">
        <x:v>NEAR</x:v>
      </x:c>
      <x:c r="U321" s="32" t="n">
        <x:f>PERCENTRANK.INC($G$2:$G$941,G321)</x:f>
        <x:v>0.81</x:v>
      </x:c>
      <x:c r="V321" s="32" t="n">
        <x:f>PERCENTRANK.INC($H$2:$H$941,H321)</x:f>
        <x:v>0.954</x:v>
      </x:c>
      <x:c r="W321" t="n">
        <x:f>ROUND((U321*55+V321*45)*IF(S321&lt;=5,1,IF(S321&lt;=10,0.95,IF(S321&lt;=20,0.85,0.70))),0)</x:f>
        <x:v>83</x:v>
      </x:c>
      <x:c r="X321" t="n">
        <x:v>84</x:v>
      </x:c>
      <x:c r="Y321" t="str">
        <x:v>ATTACK</x:v>
      </x:c>
      <x:c r="Z321" s="12" t="str">
        <x:v>Family + verified grassroots + straight-line geo only; transport not yet routed</x:v>
      </x:c>
      <x:c r="AA321" s="12"/>
      <x:c r="AB321" s="12"/>
      <x:c r="AC321" s="12"/>
      <x:c r="AD321" s="12"/>
      <x:c r="AE321" t="str">
        <x:v>Crystal Palace Women</x:v>
      </x:c>
      <x:c r="AF321" s="45" t="n">
        <x:v>3.446469754016303</x:v>
      </x:c>
      <x:c r="AG321" t="str">
        <x:v>AFC Wimbledon Women</x:v>
      </x:c>
      <x:c r="AH321" s="45" t="n">
        <x:v>8.042651139352035</x:v>
      </x:c>
      <x:c r="AI321" t="n">
        <x:v>81</x:v>
      </x:c>
      <x:c r="AJ321" t="str">
        <x:v>HIGH</x:v>
      </x:c>
    </x:row>
    <x:row r="322">
      <x:c r="A322" s="12" t="str">
        <x:v>E01001127</x:v>
      </x:c>
      <x:c r="B322" s="12" t="str">
        <x:v>Croydon 025A</x:v>
      </x:c>
      <x:c r="C322" s="12" t="str">
        <x:v>Croydon</x:v>
      </x:c>
      <x:c r="D322" s="44" t="n">
        <x:v>51.36933375081776</x:v>
      </x:c>
      <x:c r="E322" s="44" t="n">
        <x:v>-0.034131738682270124</x:v>
      </x:c>
      <x:c r="F322" s="33" t="n">
        <x:v>585</x:v>
      </x:c>
      <x:c r="G322" s="33" t="n">
        <x:v>176</x:v>
      </x:c>
      <x:c r="H322" s="26" t="n">
        <x:v>0.30085470085470084</x:v>
      </x:c>
      <x:c r="I322" s="12" t="n">
        <x:v>4</x:v>
      </x:c>
      <x:c r="J322" s="12" t="n">
        <x:v>70</x:v>
      </x:c>
      <x:c r="K322" s="12"/>
      <x:c r="L322" s="12"/>
      <x:c r="M322" s="12" t="str">
        <x:f>IF(K322="", "", MAX(0,IF(K322&lt;=20,100,IF(K322&lt;=30,85,IF(K322&lt;=40,70,IF(K322&lt;=50,55,IF(K322&lt;=60,40,20)))))-MIN(L322*5,20)))</x:f>
      </x:c>
      <x:c r="N322" s="12"/>
      <x:c r="O322" s="12"/>
      <x:c r="P322" s="12" t="str">
        <x:f>IF(OR(H322="",J322="",M322=""),"",ROUND(PERCENTRANK.INC($H$2:$H$941,H322)*35+J322*0.35+M322*0.30,0))</x:f>
      </x:c>
      <x:c r="Q322" s="12" t="str">
        <x:f>IF(P322="","",IF(P322&gt;=80,"ATTACK",IF(P322&gt;=65,"GROW",IF(P322&gt;=50,"PARTNER","WATCH"))))</x:f>
      </x:c>
      <x:c r="R322" s="12" t="str">
        <x:f>IF(Q322="","",IF(Q322="ATTACK","Grassroots + family acquisition",IF(Q322="GROW","Test local campaign",IF(Q322="PARTNER","Organisation-first partnership","Low priority / validate"))))</x:f>
      </x:c>
      <x:c r="S322" s="45" t="n">
        <x:v>4.329061178324739</x:v>
      </x:c>
      <x:c r="T322" t="str">
        <x:v>CORE</x:v>
      </x:c>
      <x:c r="U322" s="32" t="n">
        <x:f>PERCENTRANK.INC($G$2:$G$941,G322)</x:f>
        <x:v>0.197</x:v>
      </x:c>
      <x:c r="V322" s="32" t="n">
        <x:f>PERCENTRANK.INC($H$2:$H$941,H322)</x:f>
        <x:v>0.399</x:v>
      </x:c>
      <x:c r="W322" t="n">
        <x:f>ROUND((U322*55+V322*45)*IF(S322&lt;=5,1,IF(S322&lt;=10,0.95,IF(S322&lt;=20,0.85,0.70))),0)</x:f>
        <x:v>29</x:v>
      </x:c>
      <x:c r="X322" t="n">
        <x:v>47</x:v>
      </x:c>
      <x:c r="Y322" t="str">
        <x:v>WATCH</x:v>
      </x:c>
      <x:c r="Z322" s="12" t="str">
        <x:v>Family + verified grassroots + straight-line geo only; transport not yet routed</x:v>
      </x:c>
      <x:c r="AA322" s="12"/>
      <x:c r="AB322" s="12"/>
      <x:c r="AC322" s="12"/>
      <x:c r="AD322" s="12"/>
      <x:c r="AE322" t="str">
        <x:v>Crystal Palace Women</x:v>
      </x:c>
      <x:c r="AF322" s="45" t="n">
        <x:v>4.784883190875322</x:v>
      </x:c>
      <x:c r="AG322" t="str">
        <x:v>Dulwich Hamlet Women</x:v>
      </x:c>
      <x:c r="AH322" s="45" t="n">
        <x:v>10.796800627366446</x:v>
      </x:c>
      <x:c r="AI322" t="n">
        <x:v>76</x:v>
      </x:c>
      <x:c r="AJ322" t="str">
        <x:v>HIGH</x:v>
      </x:c>
    </x:row>
    <x:row r="323">
      <x:c r="A323" s="12" t="str">
        <x:v>E01001128</x:v>
      </x:c>
      <x:c r="B323" s="12" t="str">
        <x:v>Croydon 025B</x:v>
      </x:c>
      <x:c r="C323" s="12" t="str">
        <x:v>Croydon</x:v>
      </x:c>
      <x:c r="D323" s="44" t="n">
        <x:v>51.3694935967008</x:v>
      </x:c>
      <x:c r="E323" s="44" t="n">
        <x:v>-0.026612099869903275</x:v>
      </x:c>
      <x:c r="F323" s="33" t="n">
        <x:v>572</x:v>
      </x:c>
      <x:c r="G323" s="33" t="n">
        <x:v>270</x:v>
      </x:c>
      <x:c r="H323" s="26" t="n">
        <x:v>0.47202797202797203</x:v>
      </x:c>
      <x:c r="I323" s="12" t="n">
        <x:v>3</x:v>
      </x:c>
      <x:c r="J323" s="12" t="n">
        <x:v>71</x:v>
      </x:c>
      <x:c r="K323" s="12"/>
      <x:c r="L323" s="12"/>
      <x:c r="M323" s="12" t="str">
        <x:f>IF(K323="", "", MAX(0,IF(K323&lt;=20,100,IF(K323&lt;=30,85,IF(K323&lt;=40,70,IF(K323&lt;=50,55,IF(K323&lt;=60,40,20)))))-MIN(L323*5,20)))</x:f>
      </x:c>
      <x:c r="N323" s="12"/>
      <x:c r="O323" s="12"/>
      <x:c r="P323" s="12" t="str">
        <x:f>IF(OR(H323="",J323="",M323=""),"",ROUND(PERCENTRANK.INC($H$2:$H$941,H323)*35+J323*0.35+M323*0.30,0))</x:f>
      </x:c>
      <x:c r="Q323" s="12" t="str">
        <x:f>IF(P323="","",IF(P323&gt;=80,"ATTACK",IF(P323&gt;=65,"GROW",IF(P323&gt;=50,"PARTNER","WATCH"))))</x:f>
      </x:c>
      <x:c r="R323" s="12" t="str">
        <x:f>IF(Q323="","",IF(Q323="ATTACK","Grassroots + family acquisition",IF(Q323="GROW","Test local campaign",IF(Q323="PARTNER","Organisation-first partnership","Low priority / validate"))))</x:f>
      </x:c>
      <x:c r="S323" s="45" t="n">
        <x:v>3.8951813824695973</x:v>
      </x:c>
      <x:c r="T323" t="str">
        <x:v>CORE</x:v>
      </x:c>
      <x:c r="U323" s="32" t="n">
        <x:f>PERCENTRANK.INC($G$2:$G$941,G323)</x:f>
        <x:v>0.872</x:v>
      </x:c>
      <x:c r="V323" s="32" t="n">
        <x:f>PERCENTRANK.INC($H$2:$H$941,H323)</x:f>
        <x:v>0.987</x:v>
      </x:c>
      <x:c r="W323" t="n">
        <x:f>ROUND((U323*55+V323*45)*IF(S323&lt;=5,1,IF(S323&lt;=10,0.95,IF(S323&lt;=20,0.85,0.70))),0)</x:f>
        <x:v>92</x:v>
      </x:c>
      <x:c r="X323" t="n">
        <x:v>83</x:v>
      </x:c>
      <x:c r="Y323" t="str">
        <x:v>ATTACK</x:v>
      </x:c>
      <x:c r="Z323" s="12" t="str">
        <x:v>Family + verified grassroots + straight-line geo only; transport not yet routed</x:v>
      </x:c>
      <x:c r="AA323" s="12"/>
      <x:c r="AB323" s="12"/>
      <x:c r="AC323" s="12"/>
      <x:c r="AD323" s="12"/>
      <x:c r="AE323" t="str">
        <x:v>Crystal Palace Women</x:v>
      </x:c>
      <x:c r="AF323" s="45" t="n">
        <x:v>5.171887365630404</x:v>
      </x:c>
      <x:c r="AG323" t="str">
        <x:v>Dulwich Hamlet Women</x:v>
      </x:c>
      <x:c r="AH323" s="45" t="n">
        <x:v>10.958327512568784</x:v>
      </x:c>
      <x:c r="AI323" t="n">
        <x:v>76</x:v>
      </x:c>
      <x:c r="AJ323" t="str">
        <x:v>HIGH</x:v>
      </x:c>
    </x:row>
    <x:row r="324">
      <x:c r="A324" s="12" t="str">
        <x:v>E01001130</x:v>
      </x:c>
      <x:c r="B324" s="12" t="str">
        <x:v>Croydon 025C</x:v>
      </x:c>
      <x:c r="C324" s="12" t="str">
        <x:v>Croydon</x:v>
      </x:c>
      <x:c r="D324" s="44" t="n">
        <x:v>51.36658442803504</x:v>
      </x:c>
      <x:c r="E324" s="44" t="n">
        <x:v>-0.027898636673230122</x:v>
      </x:c>
      <x:c r="F324" s="33" t="n">
        <x:v>561</x:v>
      </x:c>
      <x:c r="G324" s="33" t="n">
        <x:v>330</x:v>
      </x:c>
      <x:c r="H324" s="26" t="n">
        <x:v>0.5882352941176471</x:v>
      </x:c>
      <x:c r="I324" s="12" t="n">
        <x:v>3</x:v>
      </x:c>
      <x:c r="J324" s="12" t="n">
        <x:v>62</x:v>
      </x:c>
      <x:c r="K324" s="12"/>
      <x:c r="L324" s="12"/>
      <x:c r="M324" s="12" t="str">
        <x:f>IF(K324="", "", MAX(0,IF(K324&lt;=20,100,IF(K324&lt;=30,85,IF(K324&lt;=40,70,IF(K324&lt;=50,55,IF(K324&lt;=60,40,20)))))-MIN(L324*5,20)))</x:f>
      </x:c>
      <x:c r="N324" s="12"/>
      <x:c r="O324" s="12"/>
      <x:c r="P324" s="12" t="str">
        <x:f>IF(OR(H324="",J324="",M324=""),"",ROUND(PERCENTRANK.INC($H$2:$H$941,H324)*35+J324*0.35+M324*0.30,0))</x:f>
      </x:c>
      <x:c r="Q324" s="12" t="str">
        <x:f>IF(P324="","",IF(P324&gt;=80,"ATTACK",IF(P324&gt;=65,"GROW",IF(P324&gt;=50,"PARTNER","WATCH"))))</x:f>
      </x:c>
      <x:c r="R324" s="12" t="str">
        <x:f>IF(Q324="","",IF(Q324="ATTACK","Grassroots + family acquisition",IF(Q324="GROW","Test local campaign",IF(Q324="PARTNER","Organisation-first partnership","Low priority / validate"))))</x:f>
      </x:c>
      <x:c r="S324" s="45" t="n">
        <x:v>4.1690552396567755</x:v>
      </x:c>
      <x:c r="T324" t="str">
        <x:v>CORE</x:v>
      </x:c>
      <x:c r="U324" s="32" t="n">
        <x:f>PERCENTRANK.INC($G$2:$G$941,G324)</x:f>
        <x:v>0.975</x:v>
      </x:c>
      <x:c r="V324" s="32" t="n">
        <x:f>PERCENTRANK.INC($H$2:$H$941,H324)</x:f>
        <x:v>1</x:v>
      </x:c>
      <x:c r="W324" t="n">
        <x:f>ROUND((U324*55+V324*45)*IF(S324&lt;=5,1,IF(S324&lt;=10,0.95,IF(S324&lt;=20,0.85,0.70))),0)</x:f>
        <x:v>99</x:v>
      </x:c>
      <x:c r="X324" t="n">
        <x:v>82</x:v>
      </x:c>
      <x:c r="Y324" t="str">
        <x:v>ATTACK</x:v>
      </x:c>
      <x:c r="Z324" s="12" t="str">
        <x:v>Family + verified grassroots + straight-line geo only; transport not yet routed</x:v>
      </x:c>
      <x:c r="AA324" s="12"/>
      <x:c r="AB324" s="12"/>
      <x:c r="AC324" s="12"/>
      <x:c r="AD324" s="12"/>
      <x:c r="AE324" t="str">
        <x:v>Crystal Palace Women</x:v>
      </x:c>
      <x:c r="AF324" s="45" t="n">
        <x:v>5.311077480213996</x:v>
      </x:c>
      <x:c r="AG324" t="str">
        <x:v>Dulwich Hamlet Women</x:v>
      </x:c>
      <x:c r="AH324" s="45" t="n">
        <x:v>11.229184566057741</x:v>
      </x:c>
      <x:c r="AI324" t="n">
        <x:v>76</x:v>
      </x:c>
      <x:c r="AJ324" t="str">
        <x:v>HIGH</x:v>
      </x:c>
    </x:row>
    <x:row r="325">
      <x:c r="A325" s="12" t="str">
        <x:v>E01001135</x:v>
      </x:c>
      <x:c r="B325" s="12" t="str">
        <x:v>Croydon 025D</x:v>
      </x:c>
      <x:c r="C325" s="12" t="str">
        <x:v>Croydon</x:v>
      </x:c>
      <x:c r="D325" s="44" t="n">
        <x:v>51.375078186397126</x:v>
      </x:c>
      <x:c r="E325" s="44" t="n">
        <x:v>-0.029835954504106657</x:v>
      </x:c>
      <x:c r="F325" s="33" t="n">
        <x:v>641</x:v>
      </x:c>
      <x:c r="G325" s="33" t="n">
        <x:v>184</x:v>
      </x:c>
      <x:c r="H325" s="26" t="n">
        <x:v>0.2870514820592824</x:v>
      </x:c>
      <x:c r="I325" s="12" t="n">
        <x:v>3</x:v>
      </x:c>
      <x:c r="J325" s="12" t="n">
        <x:v>78</x:v>
      </x:c>
      <x:c r="K325" s="12"/>
      <x:c r="L325" s="12"/>
      <x:c r="M325" s="12" t="str">
        <x:f>IF(K325="", "", MAX(0,IF(K325&lt;=20,100,IF(K325&lt;=30,85,IF(K325&lt;=40,70,IF(K325&lt;=50,55,IF(K325&lt;=60,40,20)))))-MIN(L325*5,20)))</x:f>
      </x:c>
      <x:c r="N325" s="12"/>
      <x:c r="O325" s="12"/>
      <x:c r="P325" s="12" t="str">
        <x:f>IF(OR(H325="",J325="",M325=""),"",ROUND(PERCENTRANK.INC($H$2:$H$941,H325)*35+J325*0.35+M325*0.30,0))</x:f>
      </x:c>
      <x:c r="Q325" s="12" t="str">
        <x:f>IF(P325="","",IF(P325&gt;=80,"ATTACK",IF(P325&gt;=65,"GROW",IF(P325&gt;=50,"PARTNER","WATCH"))))</x:f>
      </x:c>
      <x:c r="R325" s="12" t="str">
        <x:f>IF(Q325="","",IF(Q325="ATTACK","Grassroots + family acquisition",IF(Q325="GROW","Test local campaign",IF(Q325="PARTNER","Organisation-first partnership","Low priority / validate"))))</x:f>
      </x:c>
      <x:c r="S325" s="45" t="n">
        <x:v>3.7437228882443976</x:v>
      </x:c>
      <x:c r="T325" t="str">
        <x:v>CORE</x:v>
      </x:c>
      <x:c r="U325" s="32" t="n">
        <x:f>PERCENTRANK.INC($G$2:$G$941,G325)</x:f>
        <x:v>0.256</x:v>
      </x:c>
      <x:c r="V325" s="32" t="n">
        <x:f>PERCENTRANK.INC($H$2:$H$941,H325)</x:f>
        <x:v>0.331</x:v>
      </x:c>
      <x:c r="W325" t="n">
        <x:f>ROUND((U325*55+V325*45)*IF(S325&lt;=5,1,IF(S325&lt;=10,0.95,IF(S325&lt;=20,0.85,0.70))),0)</x:f>
        <x:v>29</x:v>
      </x:c>
      <x:c r="X325" t="n">
        <x:v>51</x:v>
      </x:c>
      <x:c r="Y325" t="str">
        <x:v>PARTNER</x:v>
      </x:c>
      <x:c r="Z325" s="12" t="str">
        <x:v>Family + verified grassroots + straight-line geo only; transport not yet routed</x:v>
      </x:c>
      <x:c r="AA325" s="12"/>
      <x:c r="AB325" s="12"/>
      <x:c r="AC325" s="12"/>
      <x:c r="AD325" s="12"/>
      <x:c r="AE325" t="str">
        <x:v>Crystal Palace Women</x:v>
      </x:c>
      <x:c r="AF325" s="45" t="n">
        <x:v>4.624846279877206</x:v>
      </x:c>
      <x:c r="AG325" t="str">
        <x:v>Dulwich Hamlet Women</x:v>
      </x:c>
      <x:c r="AH325" s="45" t="n">
        <x:v>10.29848150812557</x:v>
      </x:c>
      <x:c r="AI325" t="n">
        <x:v>76</x:v>
      </x:c>
      <x:c r="AJ325" t="str">
        <x:v>HIGH</x:v>
      </x:c>
    </x:row>
    <x:row r="326">
      <x:c r="A326" s="12" t="str">
        <x:v>E01001062</x:v>
      </x:c>
      <x:c r="B326" s="12" t="str">
        <x:v>Croydon 026A</x:v>
      </x:c>
      <x:c r="C326" s="12" t="str">
        <x:v>Croydon</x:v>
      </x:c>
      <x:c r="D326" s="44" t="n">
        <x:v>51.374463508926986</x:v>
      </x:c>
      <x:c r="E326" s="44" t="n">
        <x:v>-0.0553026219874564</x:v>
      </x:c>
      <x:c r="F326" s="33" t="n">
        <x:v>557</x:v>
      </x:c>
      <x:c r="G326" s="33" t="n">
        <x:v>135</x:v>
      </x:c>
      <x:c r="H326" s="26" t="n">
        <x:v>0.24236983842010773</x:v>
      </x:c>
      <x:c r="I326" s="12" t="n">
        <x:v>4</x:v>
      </x:c>
      <x:c r="J326" s="12" t="n">
        <x:v>85</x:v>
      </x:c>
      <x:c r="K326" s="12"/>
      <x:c r="L326" s="12"/>
      <x:c r="M326" s="12" t="str">
        <x:f>IF(K326="", "", MAX(0,IF(K326&lt;=20,100,IF(K326&lt;=30,85,IF(K326&lt;=40,70,IF(K326&lt;=50,55,IF(K326&lt;=60,40,20)))))-MIN(L326*5,20)))</x:f>
      </x:c>
      <x:c r="N326" s="12"/>
      <x:c r="O326" s="12"/>
      <x:c r="P326" s="12" t="str">
        <x:f>IF(OR(H326="",J326="",M326=""),"",ROUND(PERCENTRANK.INC($H$2:$H$941,H326)*35+J326*0.35+M326*0.30,0))</x:f>
      </x:c>
      <x:c r="Q326" s="12" t="str">
        <x:f>IF(P326="","",IF(P326&gt;=80,"ATTACK",IF(P326&gt;=65,"GROW",IF(P326&gt;=50,"PARTNER","WATCH"))))</x:f>
      </x:c>
      <x:c r="R326" s="12" t="str">
        <x:f>IF(Q326="","",IF(Q326="ATTACK","Grassroots + family acquisition",IF(Q326="GROW","Test local campaign",IF(Q326="PARTNER","Organisation-first partnership","Low priority / validate"))))</x:f>
      </x:c>
      <x:c r="S326" s="45" t="n">
        <x:v>5.38968792494486</x:v>
      </x:c>
      <x:c r="T326" t="str">
        <x:v>NEAR</x:v>
      </x:c>
      <x:c r="U326" s="32" t="n">
        <x:f>PERCENTRANK.INC($G$2:$G$941,G326)</x:f>
        <x:v>0.06</x:v>
      </x:c>
      <x:c r="V326" s="32" t="n">
        <x:f>PERCENTRANK.INC($H$2:$H$941,H326)</x:f>
        <x:v>0.162</x:v>
      </x:c>
      <x:c r="W326" t="n">
        <x:f>ROUND((U326*55+V326*45)*IF(S326&lt;=5,1,IF(S326&lt;=10,0.95,IF(S326&lt;=20,0.85,0.70))),0)</x:f>
        <x:v>10</x:v>
      </x:c>
      <x:c r="X326" t="n">
        <x:v>44</x:v>
      </x:c>
      <x:c r="Y326" t="str">
        <x:v>WATCH</x:v>
      </x:c>
      <x:c r="Z326" s="12" t="str">
        <x:v>Family + verified grassroots + straight-line geo only; transport not yet routed</x:v>
      </x:c>
      <x:c r="AA326" s="12"/>
      <x:c r="AB326" s="12"/>
      <x:c r="AC326" s="12"/>
      <x:c r="AD326" s="12"/>
      <x:c r="AE326" t="str">
        <x:v>Crystal Palace Women</x:v>
      </x:c>
      <x:c r="AF326" s="45" t="n">
        <x:v>3.3620285073038123</x:v>
      </x:c>
      <x:c r="AG326" t="str">
        <x:v>Dulwich Hamlet Women</x:v>
      </x:c>
      <x:c r="AH326" s="45" t="n">
        <x:v>9.860624874912741</x:v>
      </x:c>
      <x:c r="AI326" t="n">
        <x:v>81</x:v>
      </x:c>
      <x:c r="AJ326" t="str">
        <x:v>HIGH</x:v>
      </x:c>
    </x:row>
    <x:row r="327">
      <x:c r="A327" s="12" t="str">
        <x:v>E01001063</x:v>
      </x:c>
      <x:c r="B327" s="12" t="str">
        <x:v>Croydon 026B</x:v>
      </x:c>
      <x:c r="C327" s="12" t="str">
        <x:v>Croydon</x:v>
      </x:c>
      <x:c r="D327" s="44" t="n">
        <x:v>51.37281797540534</x:v>
      </x:c>
      <x:c r="E327" s="44" t="n">
        <x:v>-0.04817815512528608</x:v>
      </x:c>
      <x:c r="F327" s="33" t="n">
        <x:v>571</x:v>
      </x:c>
      <x:c r="G327" s="33" t="n">
        <x:v>195</x:v>
      </x:c>
      <x:c r="H327" s="26" t="n">
        <x:v>0.3415061295971979</x:v>
      </x:c>
      <x:c r="I327" s="12" t="n">
        <x:v>4</x:v>
      </x:c>
      <x:c r="J327" s="12" t="n">
        <x:v>92</x:v>
      </x:c>
      <x:c r="K327" s="12"/>
      <x:c r="L327" s="12"/>
      <x:c r="M327" s="12" t="str">
        <x:f>IF(K327="", "", MAX(0,IF(K327&lt;=20,100,IF(K327&lt;=30,85,IF(K327&lt;=40,70,IF(K327&lt;=50,55,IF(K327&lt;=60,40,20)))))-MIN(L327*5,20)))</x:f>
      </x:c>
      <x:c r="N327" s="12"/>
      <x:c r="O327" s="12"/>
      <x:c r="P327" s="12" t="str">
        <x:f>IF(OR(H327="",J327="",M327=""),"",ROUND(PERCENTRANK.INC($H$2:$H$941,H327)*35+J327*0.35+M327*0.30,0))</x:f>
      </x:c>
      <x:c r="Q327" s="12" t="str">
        <x:f>IF(P327="","",IF(P327&gt;=80,"ATTACK",IF(P327&gt;=65,"GROW",IF(P327&gt;=50,"PARTNER","WATCH"))))</x:f>
      </x:c>
      <x:c r="R327" s="12" t="str">
        <x:f>IF(Q327="","",IF(Q327="ATTACK","Grassroots + family acquisition",IF(Q327="GROW","Test local campaign",IF(Q327="PARTNER","Organisation-first partnership","Low priority / validate"))))</x:f>
      </x:c>
      <x:c r="S327" s="45" t="n">
        <x:v>4.998917661143681</x:v>
      </x:c>
      <x:c r="T327" t="str">
        <x:v>CORE</x:v>
      </x:c>
      <x:c r="U327" s="32" t="n">
        <x:f>PERCENTRANK.INC($G$2:$G$941,G327)</x:f>
        <x:v>0.349</x:v>
      </x:c>
      <x:c r="V327" s="32" t="n">
        <x:f>PERCENTRANK.INC($H$2:$H$941,H327)</x:f>
        <x:v>0.626</x:v>
      </x:c>
      <x:c r="W327" t="n">
        <x:f>ROUND((U327*55+V327*45)*IF(S327&lt;=5,1,IF(S327&lt;=10,0.95,IF(S327&lt;=20,0.85,0.70))),0)</x:f>
        <x:v>47</x:v>
      </x:c>
      <x:c r="X327" t="n">
        <x:v>67</x:v>
      </x:c>
      <x:c r="Y327" t="str">
        <x:v>GROW</x:v>
      </x:c>
      <x:c r="Z327" s="12" t="str">
        <x:v>Family + verified grassroots + straight-line geo only; transport not yet routed</x:v>
      </x:c>
      <x:c r="AA327" s="12"/>
      <x:c r="AB327" s="12"/>
      <x:c r="AC327" s="12"/>
      <x:c r="AD327" s="12"/>
      <x:c r="AE327" t="str">
        <x:v>Crystal Palace Women</x:v>
      </x:c>
      <x:c r="AF327" s="45" t="n">
        <x:v>3.8207934791712463</x:v>
      </x:c>
      <x:c r="AG327" t="str">
        <x:v>Dulwich Hamlet Women</x:v>
      </x:c>
      <x:c r="AH327" s="45" t="n">
        <x:v>10.14933614104564</x:v>
      </x:c>
      <x:c r="AI327" t="n">
        <x:v>76</x:v>
      </x:c>
      <x:c r="AJ327" t="str">
        <x:v>HIGH</x:v>
      </x:c>
    </x:row>
    <x:row r="328">
      <x:c r="A328" s="12" t="str">
        <x:v>E01001064</x:v>
      </x:c>
      <x:c r="B328" s="12" t="str">
        <x:v>Croydon 026C</x:v>
      </x:c>
      <x:c r="C328" s="12" t="str">
        <x:v>Croydon</x:v>
      </x:c>
      <x:c r="D328" s="44" t="n">
        <x:v>51.356574523419624</x:v>
      </x:c>
      <x:c r="E328" s="44" t="n">
        <x:v>-0.04436121437707054</x:v>
      </x:c>
      <x:c r="F328" s="33" t="n">
        <x:v>610</x:v>
      </x:c>
      <x:c r="G328" s="33" t="n">
        <x:v>166</x:v>
      </x:c>
      <x:c r="H328" s="26" t="n">
        <x:v>0.2721311475409836</x:v>
      </x:c>
      <x:c r="I328" s="12" t="n">
        <x:v>4</x:v>
      </x:c>
      <x:c r="J328" s="12" t="n">
        <x:v>63</x:v>
      </x:c>
      <x:c r="K328" s="12"/>
      <x:c r="L328" s="12"/>
      <x:c r="M328" s="12" t="str">
        <x:f>IF(K328="", "", MAX(0,IF(K328&lt;=20,100,IF(K328&lt;=30,85,IF(K328&lt;=40,70,IF(K328&lt;=50,55,IF(K328&lt;=60,40,20)))))-MIN(L328*5,20)))</x:f>
      </x:c>
      <x:c r="N328" s="12"/>
      <x:c r="O328" s="12"/>
      <x:c r="P328" s="12" t="str">
        <x:f>IF(OR(H328="",J328="",M328=""),"",ROUND(PERCENTRANK.INC($H$2:$H$941,H328)*35+J328*0.35+M328*0.30,0))</x:f>
      </x:c>
      <x:c r="Q328" s="12" t="str">
        <x:f>IF(P328="","",IF(P328&gt;=80,"ATTACK",IF(P328&gt;=65,"GROW",IF(P328&gt;=50,"PARTNER","WATCH"))))</x:f>
      </x:c>
      <x:c r="R328" s="12" t="str">
        <x:f>IF(Q328="","",IF(Q328="ATTACK","Grassroots + family acquisition",IF(Q328="GROW","Test local campaign",IF(Q328="PARTNER","Organisation-first partnership","Low priority / validate"))))</x:f>
      </x:c>
      <x:c r="S328" s="45" t="n">
        <x:v>5.762173851082222</x:v>
      </x:c>
      <x:c r="T328" t="str">
        <x:v>NEAR</x:v>
      </x:c>
      <x:c r="U328" s="32" t="n">
        <x:f>PERCENTRANK.INC($G$2:$G$941,G328)</x:f>
        <x:v>0.154</x:v>
      </x:c>
      <x:c r="V328" s="32" t="n">
        <x:f>PERCENTRANK.INC($H$2:$H$941,H328)</x:f>
        <x:v>0.264</x:v>
      </x:c>
      <x:c r="W328" t="n">
        <x:f>ROUND((U328*55+V328*45)*IF(S328&lt;=5,1,IF(S328&lt;=10,0.95,IF(S328&lt;=20,0.85,0.70))),0)</x:f>
        <x:v>19</x:v>
      </x:c>
      <x:c r="X328" t="n">
        <x:v>39</x:v>
      </x:c>
      <x:c r="Y328" t="str">
        <x:v>WATCH</x:v>
      </x:c>
      <x:c r="Z328" s="12" t="str">
        <x:v>Family + verified grassroots + straight-line geo only; transport not yet routed</x:v>
      </x:c>
      <x:c r="AA328" s="12"/>
      <x:c r="AB328" s="12"/>
      <x:c r="AC328" s="12"/>
      <x:c r="AD328" s="12"/>
      <x:c r="AE328" t="str">
        <x:v>Crystal Palace Women</x:v>
      </x:c>
      <x:c r="AF328" s="45" t="n">
        <x:v>5.433277049777273</x:v>
      </x:c>
      <x:c r="AG328" t="str">
        <x:v>Dulwich Hamlet Women</x:v>
      </x:c>
      <x:c r="AH328" s="45" t="n">
        <x:v>11.966947794697624</x:v>
      </x:c>
      <x:c r="AI328" t="n">
        <x:v>76</x:v>
      </x:c>
      <x:c r="AJ328" t="str">
        <x:v>HIGH</x:v>
      </x:c>
    </x:row>
    <x:row r="329">
      <x:c r="A329" s="12" t="str">
        <x:v>E01001129</x:v>
      </x:c>
      <x:c r="B329" s="12" t="str">
        <x:v>Croydon 026D</x:v>
      </x:c>
      <x:c r="C329" s="12" t="str">
        <x:v>Croydon</x:v>
      </x:c>
      <x:c r="D329" s="44" t="n">
        <x:v>51.37196470800178</x:v>
      </x:c>
      <x:c r="E329" s="44" t="n">
        <x:v>-0.03907260652324812</x:v>
      </x:c>
      <x:c r="F329" s="33" t="n">
        <x:v>509</x:v>
      </x:c>
      <x:c r="G329" s="33" t="n">
        <x:v>146</x:v>
      </x:c>
      <x:c r="H329" s="26" t="n">
        <x:v>0.2868369351669941</x:v>
      </x:c>
      <x:c r="I329" s="12" t="n">
        <x:v>4</x:v>
      </x:c>
      <x:c r="J329" s="12" t="n">
        <x:v>77</x:v>
      </x:c>
      <x:c r="K329" s="12"/>
      <x:c r="L329" s="12"/>
      <x:c r="M329" s="12" t="str">
        <x:f>IF(K329="", "", MAX(0,IF(K329&lt;=20,100,IF(K329&lt;=30,85,IF(K329&lt;=40,70,IF(K329&lt;=50,55,IF(K329&lt;=60,40,20)))))-MIN(L329*5,20)))</x:f>
      </x:c>
      <x:c r="N329" s="12"/>
      <x:c r="O329" s="12"/>
      <x:c r="P329" s="12" t="str">
        <x:f>IF(OR(H329="",J329="",M329=""),"",ROUND(PERCENTRANK.INC($H$2:$H$941,H329)*35+J329*0.35+M329*0.30,0))</x:f>
      </x:c>
      <x:c r="Q329" s="12" t="str">
        <x:f>IF(P329="","",IF(P329&gt;=80,"ATTACK",IF(P329&gt;=65,"GROW",IF(P329&gt;=50,"PARTNER","WATCH"))))</x:f>
      </x:c>
      <x:c r="R329" s="12" t="str">
        <x:f>IF(Q329="","",IF(Q329="ATTACK","Grassroots + family acquisition",IF(Q329="GROW","Test local campaign",IF(Q329="PARTNER","Organisation-first partnership","Low priority / validate"))))</x:f>
      </x:c>
      <x:c r="S329" s="45" t="n">
        <x:v>4.4723606146781085</x:v>
      </x:c>
      <x:c r="T329" t="str">
        <x:v>CORE</x:v>
      </x:c>
      <x:c r="U329" s="32" t="n">
        <x:f>PERCENTRANK.INC($G$2:$G$941,G329)</x:f>
        <x:v>0.08</x:v>
      </x:c>
      <x:c r="V329" s="32" t="n">
        <x:f>PERCENTRANK.INC($H$2:$H$941,H329)</x:f>
        <x:v>0.328</x:v>
      </x:c>
      <x:c r="W329" t="n">
        <x:f>ROUND((U329*55+V329*45)*IF(S329&lt;=5,1,IF(S329&lt;=10,0.95,IF(S329&lt;=20,0.85,0.70))),0)</x:f>
        <x:v>19</x:v>
      </x:c>
      <x:c r="X329" t="n">
        <x:v>45</x:v>
      </x:c>
      <x:c r="Y329" t="str">
        <x:v>WATCH</x:v>
      </x:c>
      <x:c r="Z329" s="12" t="str">
        <x:v>Family + verified grassroots + straight-line geo only; transport not yet routed</x:v>
      </x:c>
      <x:c r="AA329" s="12"/>
      <x:c r="AB329" s="12"/>
      <x:c r="AC329" s="12"/>
      <x:c r="AD329" s="12"/>
      <x:c r="AE329" t="str">
        <x:v>Crystal Palace Women</x:v>
      </x:c>
      <x:c r="AF329" s="45" t="n">
        <x:v>4.3343373011908</x:v>
      </x:c>
      <x:c r="AG329" t="str">
        <x:v>Dulwich Hamlet Women</x:v>
      </x:c>
      <x:c r="AH329" s="45" t="n">
        <x:v>10.412478276523725</x:v>
      </x:c>
      <x:c r="AI329" t="n">
        <x:v>76</x:v>
      </x:c>
      <x:c r="AJ329" t="str">
        <x:v>HIGH</x:v>
      </x:c>
    </x:row>
    <x:row r="330">
      <x:c r="A330" s="12" t="str">
        <x:v>E01001133</x:v>
      </x:c>
      <x:c r="B330" s="12" t="str">
        <x:v>Croydon 026E</x:v>
      </x:c>
      <x:c r="C330" s="12" t="str">
        <x:v>Croydon</x:v>
      </x:c>
      <x:c r="D330" s="44" t="n">
        <x:v>51.37638106338643</x:v>
      </x:c>
      <x:c r="E330" s="44" t="n">
        <x:v>-0.04060530734927799</x:v>
      </x:c>
      <x:c r="F330" s="33" t="n">
        <x:v>730</x:v>
      </x:c>
      <x:c r="G330" s="33" t="n">
        <x:v>142</x:v>
      </x:c>
      <x:c r="H330" s="26" t="n">
        <x:v>0.19452054794520549</x:v>
      </x:c>
      <x:c r="I330" s="12" t="n">
        <x:v>4</x:v>
      </x:c>
      <x:c r="J330" s="12" t="n">
        <x:v>85</x:v>
      </x:c>
      <x:c r="K330" s="12"/>
      <x:c r="L330" s="12"/>
      <x:c r="M330" s="12" t="str">
        <x:f>IF(K330="", "", MAX(0,IF(K330&lt;=20,100,IF(K330&lt;=30,85,IF(K330&lt;=40,70,IF(K330&lt;=50,55,IF(K330&lt;=60,40,20)))))-MIN(L330*5,20)))</x:f>
      </x:c>
      <x:c r="N330" s="12"/>
      <x:c r="O330" s="12"/>
      <x:c r="P330" s="12" t="str">
        <x:f>IF(OR(H330="",J330="",M330=""),"",ROUND(PERCENTRANK.INC($H$2:$H$941,H330)*35+J330*0.35+M330*0.30,0))</x:f>
      </x:c>
      <x:c r="Q330" s="12" t="str">
        <x:f>IF(P330="","",IF(P330&gt;=80,"ATTACK",IF(P330&gt;=65,"GROW",IF(P330&gt;=50,"PARTNER","WATCH"))))</x:f>
      </x:c>
      <x:c r="R330" s="12" t="str">
        <x:f>IF(Q330="","",IF(Q330="ATTACK","Grassroots + family acquisition",IF(Q330="GROW","Test local campaign",IF(Q330="PARTNER","Organisation-first partnership","Low priority / validate"))))</x:f>
      </x:c>
      <x:c r="S330" s="45" t="n">
        <x:v>4.360521047178251</x:v>
      </x:c>
      <x:c r="T330" t="str">
        <x:v>CORE</x:v>
      </x:c>
      <x:c r="U330" s="32" t="n">
        <x:f>PERCENTRANK.INC($G$2:$G$941,G330)</x:f>
        <x:v>0.071</x:v>
      </x:c>
      <x:c r="V330" s="32" t="n">
        <x:f>PERCENTRANK.INC($H$2:$H$941,H330)</x:f>
        <x:v>0.058</x:v>
      </x:c>
      <x:c r="W330" t="n">
        <x:f>ROUND((U330*55+V330*45)*IF(S330&lt;=5,1,IF(S330&lt;=10,0.95,IF(S330&lt;=20,0.85,0.70))),0)</x:f>
        <x:v>7</x:v>
      </x:c>
      <x:c r="X330" t="n">
        <x:v>42</x:v>
      </x:c>
      <x:c r="Y330" t="str">
        <x:v>WATCH</x:v>
      </x:c>
      <x:c r="Z330" s="12" t="str">
        <x:v>Family + verified grassroots + straight-line geo only; transport not yet routed</x:v>
      </x:c>
      <x:c r="AA330" s="12"/>
      <x:c r="AB330" s="12"/>
      <x:c r="AC330" s="12"/>
      <x:c r="AD330" s="12"/>
      <x:c r="AE330" t="str">
        <x:v>Crystal Palace Women</x:v>
      </x:c>
      <x:c r="AF330" s="45" t="n">
        <x:v>3.9349620029024295</x:v>
      </x:c>
      <x:c r="AG330" t="str">
        <x:v>Dulwich Hamlet Women</x:v>
      </x:c>
      <x:c r="AH330" s="45" t="n">
        <x:v>9.912150441818822</x:v>
      </x:c>
      <x:c r="AI330" t="n">
        <x:v>81</x:v>
      </x:c>
      <x:c r="AJ330" t="str">
        <x:v>HIGH</x:v>
      </x:c>
    </x:row>
    <x:row r="331">
      <x:c r="A331" s="12" t="str">
        <x:v>E01001167</x:v>
      </x:c>
      <x:c r="B331" s="12" t="str">
        <x:v>Croydon 028A</x:v>
      </x:c>
      <x:c r="C331" s="12" t="str">
        <x:v>Croydon</x:v>
      </x:c>
      <x:c r="D331" s="44" t="n">
        <x:v>51.366143146727744</x:v>
      </x:c>
      <x:c r="E331" s="44" t="n">
        <x:v>-0.1175449503775697</x:v>
      </x:c>
      <x:c r="F331" s="33" t="n">
        <x:v>821</x:v>
      </x:c>
      <x:c r="G331" s="33" t="n">
        <x:v>346</x:v>
      </x:c>
      <x:c r="H331" s="26" t="n">
        <x:v>0.42143727161997563</x:v>
      </x:c>
      <x:c r="I331" s="12" t="n">
        <x:v>3</x:v>
      </x:c>
      <x:c r="J331" s="12" t="n">
        <x:v>76</x:v>
      </x:c>
      <x:c r="K331" s="12"/>
      <x:c r="L331" s="12"/>
      <x:c r="M331" s="12" t="str">
        <x:f>IF(K331="", "", MAX(0,IF(K331&lt;=20,100,IF(K331&lt;=30,85,IF(K331&lt;=40,70,IF(K331&lt;=50,55,IF(K331&lt;=60,40,20)))))-MIN(L331*5,20)))</x:f>
      </x:c>
      <x:c r="N331" s="12"/>
      <x:c r="O331" s="12"/>
      <x:c r="P331" s="12" t="str">
        <x:f>IF(OR(H331="",J331="",M331=""),"",ROUND(PERCENTRANK.INC($H$2:$H$941,H331)*35+J331*0.35+M331*0.30,0))</x:f>
      </x:c>
      <x:c r="Q331" s="12" t="str">
        <x:f>IF(P331="","",IF(P331&gt;=80,"ATTACK",IF(P331&gt;=65,"GROW",IF(P331&gt;=50,"PARTNER","WATCH"))))</x:f>
      </x:c>
      <x:c r="R331" s="12" t="str">
        <x:f>IF(Q331="","",IF(Q331="ATTACK","Grassroots + family acquisition",IF(Q331="GROW","Test local campaign",IF(Q331="PARTNER","Organisation-first partnership","Low priority / validate"))))</x:f>
      </x:c>
      <x:c r="S331" s="45" t="n">
        <x:v>9.785292039007468</x:v>
      </x:c>
      <x:c r="T331" t="str">
        <x:v>NEAR</x:v>
      </x:c>
      <x:c r="U331" s="32" t="n">
        <x:f>PERCENTRANK.INC($G$2:$G$941,G331)</x:f>
        <x:v>0.985</x:v>
      </x:c>
      <x:c r="V331" s="32" t="n">
        <x:f>PERCENTRANK.INC($H$2:$H$941,H331)</x:f>
        <x:v>0.946</x:v>
      </x:c>
      <x:c r="W331" t="n">
        <x:f>ROUND((U331*55+V331*45)*IF(S331&lt;=5,1,IF(S331&lt;=10,0.95,IF(S331&lt;=20,0.85,0.70))),0)</x:f>
        <x:v>92</x:v>
      </x:c>
      <x:c r="X331" t="n">
        <x:v>85</x:v>
      </x:c>
      <x:c r="Y331" t="str">
        <x:v>ATTACK</x:v>
      </x:c>
      <x:c r="Z331" s="12" t="str">
        <x:v>Family + verified grassroots + straight-line geo only; transport not yet routed</x:v>
      </x:c>
      <x:c r="AA331" s="12"/>
      <x:c r="AB331" s="12"/>
      <x:c r="AC331" s="12"/>
      <x:c r="AD331" s="12"/>
      <x:c r="AE331" t="str">
        <x:v>Crystal Palace Women</x:v>
      </x:c>
      <x:c r="AF331" s="45" t="n">
        <x:v>4.2218434721555935</x:v>
      </x:c>
      <x:c r="AG331" t="str">
        <x:v>AFC Wimbledon Women</x:v>
      </x:c>
      <x:c r="AH331" s="45" t="n">
        <x:v>8.690685380014015</x:v>
      </x:c>
      <x:c r="AI331" t="n">
        <x:v>81</x:v>
      </x:c>
      <x:c r="AJ331" t="str">
        <x:v>HIGH</x:v>
      </x:c>
    </x:row>
    <x:row r="332">
      <x:c r="A332" s="12" t="str">
        <x:v>E01001169</x:v>
      </x:c>
      <x:c r="B332" s="12" t="str">
        <x:v>Croydon 028B</x:v>
      </x:c>
      <x:c r="C332" s="12" t="str">
        <x:v>Croydon</x:v>
      </x:c>
      <x:c r="D332" s="44" t="n">
        <x:v>51.361768376274874</x:v>
      </x:c>
      <x:c r="E332" s="44" t="n">
        <x:v>-0.11049152511204835</x:v>
      </x:c>
      <x:c r="F332" s="33" t="n">
        <x:v>641</x:v>
      </x:c>
      <x:c r="G332" s="33" t="n">
        <x:v>256</x:v>
      </x:c>
      <x:c r="H332" s="26" t="n">
        <x:v>0.3993759750390016</x:v>
      </x:c>
      <x:c r="I332" s="12" t="n">
        <x:v>3</x:v>
      </x:c>
      <x:c r="J332" s="12" t="n">
        <x:v>69</x:v>
      </x:c>
      <x:c r="K332" s="12"/>
      <x:c r="L332" s="12"/>
      <x:c r="M332" s="12" t="str">
        <x:f>IF(K332="", "", MAX(0,IF(K332&lt;=20,100,IF(K332&lt;=30,85,IF(K332&lt;=40,70,IF(K332&lt;=50,55,IF(K332&lt;=60,40,20)))))-MIN(L332*5,20)))</x:f>
      </x:c>
      <x:c r="N332" s="12"/>
      <x:c r="O332" s="12"/>
      <x:c r="P332" s="12" t="str">
        <x:f>IF(OR(H332="",J332="",M332=""),"",ROUND(PERCENTRANK.INC($H$2:$H$941,H332)*35+J332*0.35+M332*0.30,0))</x:f>
      </x:c>
      <x:c r="Q332" s="12" t="str">
        <x:f>IF(P332="","",IF(P332&gt;=80,"ATTACK",IF(P332&gt;=65,"GROW",IF(P332&gt;=50,"PARTNER","WATCH"))))</x:f>
      </x:c>
      <x:c r="R332" s="12" t="str">
        <x:f>IF(Q332="","",IF(Q332="ATTACK","Grassroots + family acquisition",IF(Q332="GROW","Test local campaign",IF(Q332="PARTNER","Organisation-first partnership","Low priority / validate"))))</x:f>
      </x:c>
      <x:c r="S332" s="45" t="n">
        <x:v>9.472704858501073</x:v>
      </x:c>
      <x:c r="T332" t="str">
        <x:v>NEAR</x:v>
      </x:c>
      <x:c r="U332" s="32" t="n">
        <x:f>PERCENTRANK.INC($G$2:$G$941,G332)</x:f>
        <x:v>0.81</x:v>
      </x:c>
      <x:c r="V332" s="32" t="n">
        <x:f>PERCENTRANK.INC($H$2:$H$941,H332)</x:f>
        <x:v>0.903</x:v>
      </x:c>
      <x:c r="W332" t="n">
        <x:f>ROUND((U332*55+V332*45)*IF(S332&lt;=5,1,IF(S332&lt;=10,0.95,IF(S332&lt;=20,0.85,0.70))),0)</x:f>
        <x:v>81</x:v>
      </x:c>
      <x:c r="X332" t="n">
        <x:v>76</x:v>
      </x:c>
      <x:c r="Y332" t="str">
        <x:v>GROW</x:v>
      </x:c>
      <x:c r="Z332" s="12" t="str">
        <x:v>Family + verified grassroots + straight-line geo only; transport not yet routed</x:v>
      </x:c>
      <x:c r="AA332" s="12"/>
      <x:c r="AB332" s="12"/>
      <x:c r="AC332" s="12"/>
      <x:c r="AD332" s="12"/>
      <x:c r="AE332" t="str">
        <x:v>Crystal Palace Women</x:v>
      </x:c>
      <x:c r="AF332" s="45" t="n">
        <x:v>4.424495387400653</x:v>
      </x:c>
      <x:c r="AG332" t="str">
        <x:v>AFC Wimbledon Women</x:v>
      </x:c>
      <x:c r="AH332" s="45" t="n">
        <x:v>9.367792403393102</x:v>
      </x:c>
      <x:c r="AI332" t="n">
        <x:v>81</x:v>
      </x:c>
      <x:c r="AJ332" t="str">
        <x:v>HIGH</x:v>
      </x:c>
    </x:row>
    <x:row r="333">
      <x:c r="A333" s="12" t="str">
        <x:v>E01001171</x:v>
      </x:c>
      <x:c r="B333" s="12" t="str">
        <x:v>Croydon 028C</x:v>
      </x:c>
      <x:c r="C333" s="12" t="str">
        <x:v>Croydon</x:v>
      </x:c>
      <x:c r="D333" s="44" t="n">
        <x:v>51.364391818753475</x:v>
      </x:c>
      <x:c r="E333" s="44" t="n">
        <x:v>-0.10629645073751078</x:v>
      </x:c>
      <x:c r="F333" s="33" t="n">
        <x:v>685</x:v>
      </x:c>
      <x:c r="G333" s="33" t="n">
        <x:v>239</x:v>
      </x:c>
      <x:c r="H333" s="26" t="n">
        <x:v>0.34890510948905107</x:v>
      </x:c>
      <x:c r="I333" s="12" t="n">
        <x:v>3</x:v>
      </x:c>
      <x:c r="J333" s="12" t="n">
        <x:v>84</x:v>
      </x:c>
      <x:c r="K333" s="12"/>
      <x:c r="L333" s="12"/>
      <x:c r="M333" s="12" t="str">
        <x:f>IF(K333="", "", MAX(0,IF(K333&lt;=20,100,IF(K333&lt;=30,85,IF(K333&lt;=40,70,IF(K333&lt;=50,55,IF(K333&lt;=60,40,20)))))-MIN(L333*5,20)))</x:f>
      </x:c>
      <x:c r="N333" s="12"/>
      <x:c r="O333" s="12"/>
      <x:c r="P333" s="12" t="str">
        <x:f>IF(OR(H333="",J333="",M333=""),"",ROUND(PERCENTRANK.INC($H$2:$H$941,H333)*35+J333*0.35+M333*0.30,0))</x:f>
      </x:c>
      <x:c r="Q333" s="12" t="str">
        <x:f>IF(P333="","",IF(P333&gt;=80,"ATTACK",IF(P333&gt;=65,"GROW",IF(P333&gt;=50,"PARTNER","WATCH"))))</x:f>
      </x:c>
      <x:c r="R333" s="12" t="str">
        <x:f>IF(Q333="","",IF(Q333="ATTACK","Grassroots + family acquisition",IF(Q333="GROW","Test local campaign",IF(Q333="PARTNER","Organisation-first partnership","Low priority / validate"))))</x:f>
      </x:c>
      <x:c r="S333" s="45" t="n">
        <x:v>9.10058194931442</x:v>
      </x:c>
      <x:c r="T333" t="str">
        <x:v>NEAR</x:v>
      </x:c>
      <x:c r="U333" s="32" t="n">
        <x:f>PERCENTRANK.INC($G$2:$G$941,G333)</x:f>
        <x:v>0.699</x:v>
      </x:c>
      <x:c r="V333" s="32" t="n">
        <x:f>PERCENTRANK.INC($H$2:$H$941,H333)</x:f>
        <x:v>0.682</x:v>
      </x:c>
      <x:c r="W333" t="n">
        <x:f>ROUND((U333*55+V333*45)*IF(S333&lt;=5,1,IF(S333&lt;=10,0.95,IF(S333&lt;=20,0.85,0.70))),0)</x:f>
        <x:v>66</x:v>
      </x:c>
      <x:c r="X333" t="n">
        <x:v>74</x:v>
      </x:c>
      <x:c r="Y333" t="str">
        <x:v>GROW</x:v>
      </x:c>
      <x:c r="Z333" s="12" t="str">
        <x:v>Family + verified grassroots + straight-line geo only; transport not yet routed</x:v>
      </x:c>
      <x:c r="AA333" s="12"/>
      <x:c r="AB333" s="12"/>
      <x:c r="AC333" s="12"/>
      <x:c r="AD333" s="12"/>
      <x:c r="AE333" t="str">
        <x:v>Crystal Palace Women</x:v>
      </x:c>
      <x:c r="AF333" s="45" t="n">
        <x:v>4.0438974817695605</x:v>
      </x:c>
      <x:c r="AG333" t="str">
        <x:v>AFC Wimbledon Women</x:v>
      </x:c>
      <x:c r="AH333" s="45" t="n">
        <x:v>9.300517731082593</x:v>
      </x:c>
      <x:c r="AI333" t="n">
        <x:v>81</x:v>
      </x:c>
      <x:c r="AJ333" t="str">
        <x:v>HIGH</x:v>
      </x:c>
    </x:row>
    <x:row r="334">
      <x:c r="A334" s="12" t="str">
        <x:v>E01001172</x:v>
      </x:c>
      <x:c r="B334" s="12" t="str">
        <x:v>Croydon 028D</x:v>
      </x:c>
      <x:c r="C334" s="12" t="str">
        <x:v>Croydon</x:v>
      </x:c>
      <x:c r="D334" s="44" t="n">
        <x:v>51.361593744497284</x:v>
      </x:c>
      <x:c r="E334" s="44" t="n">
        <x:v>-0.11560361068259448</x:v>
      </x:c>
      <x:c r="F334" s="33" t="n">
        <x:v>728</x:v>
      </x:c>
      <x:c r="G334" s="33" t="n">
        <x:v>327</x:v>
      </x:c>
      <x:c r="H334" s="26" t="n">
        <x:v>0.4491758241758242</x:v>
      </x:c>
      <x:c r="I334" s="12" t="n">
        <x:v>3</x:v>
      </x:c>
      <x:c r="J334" s="12" t="n">
        <x:v>69</x:v>
      </x:c>
      <x:c r="K334" s="12"/>
      <x:c r="L334" s="12"/>
      <x:c r="M334" s="12" t="str">
        <x:f>IF(K334="", "", MAX(0,IF(K334&lt;=20,100,IF(K334&lt;=30,85,IF(K334&lt;=40,70,IF(K334&lt;=50,55,IF(K334&lt;=60,40,20)))))-MIN(L334*5,20)))</x:f>
      </x:c>
      <x:c r="N334" s="12"/>
      <x:c r="O334" s="12"/>
      <x:c r="P334" s="12" t="str">
        <x:f>IF(OR(H334="",J334="",M334=""),"",ROUND(PERCENTRANK.INC($H$2:$H$941,H334)*35+J334*0.35+M334*0.30,0))</x:f>
      </x:c>
      <x:c r="Q334" s="12" t="str">
        <x:f>IF(P334="","",IF(P334&gt;=80,"ATTACK",IF(P334&gt;=65,"GROW",IF(P334&gt;=50,"PARTNER","WATCH"))))</x:f>
      </x:c>
      <x:c r="R334" s="12" t="str">
        <x:f>IF(Q334="","",IF(Q334="ATTACK","Grassroots + family acquisition",IF(Q334="GROW","Test local campaign",IF(Q334="PARTNER","Organisation-first partnership","Low priority / validate"))))</x:f>
      </x:c>
      <x:c r="S334" s="45" t="n">
        <x:v>9.813228318748441</x:v>
      </x:c>
      <x:c r="T334" t="str">
        <x:v>NEAR</x:v>
      </x:c>
      <x:c r="U334" s="32" t="n">
        <x:f>PERCENTRANK.INC($G$2:$G$941,G334)</x:f>
        <x:v>0.973</x:v>
      </x:c>
      <x:c r="V334" s="32" t="n">
        <x:f>PERCENTRANK.INC($H$2:$H$941,H334)</x:f>
        <x:v>0.978</x:v>
      </x:c>
      <x:c r="W334" t="n">
        <x:f>ROUND((U334*55+V334*45)*IF(S334&lt;=5,1,IF(S334&lt;=10,0.95,IF(S334&lt;=20,0.85,0.70))),0)</x:f>
        <x:v>93</x:v>
      </x:c>
      <x:c r="X334" t="n">
        <x:v>82</x:v>
      </x:c>
      <x:c r="Y334" t="str">
        <x:v>ATTACK</x:v>
      </x:c>
      <x:c r="Z334" s="12" t="str">
        <x:v>Family + verified grassroots + straight-line geo only; transport not yet routed</x:v>
      </x:c>
      <x:c r="AA334" s="12"/>
      <x:c r="AB334" s="12"/>
      <x:c r="AC334" s="12"/>
      <x:c r="AD334" s="12"/>
      <x:c r="AE334" t="str">
        <x:v>Crystal Palace Women</x:v>
      </x:c>
      <x:c r="AF334" s="45" t="n">
        <x:v>4.594355005644998</x:v>
      </x:c>
      <x:c r="AG334" t="str">
        <x:v>AFC Wimbledon Women</x:v>
      </x:c>
      <x:c r="AH334" s="45" t="n">
        <x:v>9.188260217121003</x:v>
      </x:c>
      <x:c r="AI334" t="n">
        <x:v>81</x:v>
      </x:c>
      <x:c r="AJ334" t="str">
        <x:v>HIGH</x:v>
      </x:c>
    </x:row>
    <x:row r="335">
      <x:c r="A335" s="12" t="str">
        <x:v>E01001173</x:v>
      </x:c>
      <x:c r="B335" s="12" t="str">
        <x:v>Croydon 028E</x:v>
      </x:c>
      <x:c r="C335" s="12" t="str">
        <x:v>Croydon</x:v>
      </x:c>
      <x:c r="D335" s="44" t="n">
        <x:v>51.35392259519687</x:v>
      </x:c>
      <x:c r="E335" s="44" t="n">
        <x:v>-0.10601656160962604</x:v>
      </x:c>
      <x:c r="F335" s="33" t="n">
        <x:v>1120</x:v>
      </x:c>
      <x:c r="G335" s="33" t="n">
        <x:v>417</x:v>
      </x:c>
      <x:c r="H335" s="26" t="n">
        <x:v>0.3723214285714286</x:v>
      </x:c>
      <x:c r="I335" s="12" t="n">
        <x:v>3</x:v>
      </x:c>
      <x:c r="J335" s="12" t="n">
        <x:v>69</x:v>
      </x:c>
      <x:c r="K335" s="12"/>
      <x:c r="L335" s="12"/>
      <x:c r="M335" s="12" t="str">
        <x:f>IF(K335="", "", MAX(0,IF(K335&lt;=20,100,IF(K335&lt;=30,85,IF(K335&lt;=40,70,IF(K335&lt;=50,55,IF(K335&lt;=60,40,20)))))-MIN(L335*5,20)))</x:f>
      </x:c>
      <x:c r="N335" s="12"/>
      <x:c r="O335" s="12"/>
      <x:c r="P335" s="12" t="str">
        <x:f>IF(OR(H335="",J335="",M335=""),"",ROUND(PERCENTRANK.INC($H$2:$H$941,H335)*35+J335*0.35+M335*0.30,0))</x:f>
      </x:c>
      <x:c r="Q335" s="12" t="str">
        <x:f>IF(P335="","",IF(P335&gt;=80,"ATTACK",IF(P335&gt;=65,"GROW",IF(P335&gt;=50,"PARTNER","WATCH"))))</x:f>
      </x:c>
      <x:c r="R335" s="12" t="str">
        <x:f>IF(Q335="","",IF(Q335="ATTACK","Grassroots + family acquisition",IF(Q335="GROW","Test local campaign",IF(Q335="PARTNER","Organisation-first partnership","Low priority / validate"))))</x:f>
      </x:c>
      <x:c r="S335" s="45" t="n">
        <x:v>9.525916269018573</x:v>
      </x:c>
      <x:c r="T335" t="str">
        <x:v>NEAR</x:v>
      </x:c>
      <x:c r="U335" s="32" t="n">
        <x:f>PERCENTRANK.INC($G$2:$G$941,G335)</x:f>
        <x:v>0.996</x:v>
      </x:c>
      <x:c r="V335" s="32" t="n">
        <x:f>PERCENTRANK.INC($H$2:$H$941,H335)</x:f>
        <x:v>0.802</x:v>
      </x:c>
      <x:c r="W335" t="n">
        <x:f>ROUND((U335*55+V335*45)*IF(S335&lt;=5,1,IF(S335&lt;=10,0.95,IF(S335&lt;=20,0.85,0.70))),0)</x:f>
        <x:v>86</x:v>
      </x:c>
      <x:c r="X335" t="n">
        <x:v>79</x:v>
      </x:c>
      <x:c r="Y335" t="str">
        <x:v>GROW</x:v>
      </x:c>
      <x:c r="Z335" s="12" t="str">
        <x:v>Family + verified grassroots + straight-line geo only; transport not yet routed</x:v>
      </x:c>
      <x:c r="AA335" s="12"/>
      <x:c r="AB335" s="12"/>
      <x:c r="AC335" s="12"/>
      <x:c r="AD335" s="12"/>
      <x:c r="AE335" t="str">
        <x:v>Crystal Palace Women</x:v>
      </x:c>
      <x:c r="AF335" s="45" t="n">
        <x:v>5.140569768460671</x:v>
      </x:c>
      <x:c r="AG335" t="str">
        <x:v>AFC Wimbledon Women</x:v>
      </x:c>
      <x:c r="AH335" s="45" t="n">
        <x:v>10.265882483301676</x:v>
      </x:c>
      <x:c r="AI335" t="n">
        <x:v>76</x:v>
      </x:c>
      <x:c r="AJ335" t="str">
        <x:v>HIGH</x:v>
      </x:c>
    </x:row>
    <x:row r="336">
      <x:c r="A336" s="12" t="str">
        <x:v>E01001036</x:v>
      </x:c>
      <x:c r="B336" s="12" t="str">
        <x:v>Croydon 029A</x:v>
      </x:c>
      <x:c r="C336" s="12" t="str">
        <x:v>Croydon</x:v>
      </x:c>
      <x:c r="D336" s="44" t="n">
        <x:v>51.361002714955426</x:v>
      </x:c>
      <x:c r="E336" s="44" t="n">
        <x:v>-0.08287061294554558</x:v>
      </x:c>
      <x:c r="F336" s="33" t="n">
        <x:v>660</x:v>
      </x:c>
      <x:c r="G336" s="33" t="n">
        <x:v>182</x:v>
      </x:c>
      <x:c r="H336" s="26" t="n">
        <x:v>0.27575757575757576</x:v>
      </x:c>
      <x:c r="I336" s="12" t="n">
        <x:v>3</x:v>
      </x:c>
      <x:c r="J336" s="12" t="n">
        <x:v>69</x:v>
      </x:c>
      <x:c r="K336" s="12"/>
      <x:c r="L336" s="12"/>
      <x:c r="M336" s="12" t="str">
        <x:f>IF(K336="", "", MAX(0,IF(K336&lt;=20,100,IF(K336&lt;=30,85,IF(K336&lt;=40,70,IF(K336&lt;=50,55,IF(K336&lt;=60,40,20)))))-MIN(L336*5,20)))</x:f>
      </x:c>
      <x:c r="N336" s="12"/>
      <x:c r="O336" s="12"/>
      <x:c r="P336" s="12" t="str">
        <x:f>IF(OR(H336="",J336="",M336=""),"",ROUND(PERCENTRANK.INC($H$2:$H$941,H336)*35+J336*0.35+M336*0.30,0))</x:f>
      </x:c>
      <x:c r="Q336" s="12" t="str">
        <x:f>IF(P336="","",IF(P336&gt;=80,"ATTACK",IF(P336&gt;=65,"GROW",IF(P336&gt;=50,"PARTNER","WATCH"))))</x:f>
      </x:c>
      <x:c r="R336" s="12" t="str">
        <x:f>IF(Q336="","",IF(Q336="ATTACK","Grassroots + family acquisition",IF(Q336="GROW","Test local campaign",IF(Q336="PARTNER","Organisation-first partnership","Low priority / validate"))))</x:f>
      </x:c>
      <x:c r="S336" s="45" t="n">
        <x:v>7.736330683667351</x:v>
      </x:c>
      <x:c r="T336" t="str">
        <x:v>NEAR</x:v>
      </x:c>
      <x:c r="U336" s="32" t="n">
        <x:f>PERCENTRANK.INC($G$2:$G$941,G336)</x:f>
        <x:v>0.238</x:v>
      </x:c>
      <x:c r="V336" s="32" t="n">
        <x:f>PERCENTRANK.INC($H$2:$H$941,H336)</x:f>
        <x:v>0.275</x:v>
      </x:c>
      <x:c r="W336" t="n">
        <x:f>ROUND((U336*55+V336*45)*IF(S336&lt;=5,1,IF(S336&lt;=10,0.95,IF(S336&lt;=20,0.85,0.70))),0)</x:f>
        <x:v>24</x:v>
      </x:c>
      <x:c r="X336" t="n">
        <x:v>45</x:v>
      </x:c>
      <x:c r="Y336" t="str">
        <x:v>WATCH</x:v>
      </x:c>
      <x:c r="Z336" s="12" t="str">
        <x:v>Family + verified grassroots + straight-line geo only; transport not yet routed</x:v>
      </x:c>
      <x:c r="AA336" s="12"/>
      <x:c r="AB336" s="12"/>
      <x:c r="AC336" s="12"/>
      <x:c r="AD336" s="12"/>
      <x:c r="AE336" t="str">
        <x:v>Crystal Palace Women</x:v>
      </x:c>
      <x:c r="AF336" s="45" t="n">
        <x:v>4.148068410365744</x:v>
      </x:c>
      <x:c r="AG336" t="str">
        <x:v>AFC Wimbledon Women</x:v>
      </x:c>
      <x:c r="AH336" s="45" t="n">
        <x:v>10.632707793223751</x:v>
      </x:c>
      <x:c r="AI336" t="n">
        <x:v>76</x:v>
      </x:c>
      <x:c r="AJ336" t="str">
        <x:v>HIGH</x:v>
      </x:c>
    </x:row>
    <x:row r="337">
      <x:c r="A337" s="12" t="str">
        <x:v>E01001037</x:v>
      </x:c>
      <x:c r="B337" s="12" t="str">
        <x:v>Croydon 029B</x:v>
      </x:c>
      <x:c r="C337" s="12" t="str">
        <x:v>Croydon</x:v>
      </x:c>
      <x:c r="D337" s="44" t="n">
        <x:v>51.360535110677894</x:v>
      </x:c>
      <x:c r="E337" s="44" t="n">
        <x:v>-0.09597014270902526</x:v>
      </x:c>
      <x:c r="F337" s="33" t="n">
        <x:v>685</x:v>
      </x:c>
      <x:c r="G337" s="33" t="n">
        <x:v>232</x:v>
      </x:c>
      <x:c r="H337" s="26" t="n">
        <x:v>0.3386861313868613</x:v>
      </x:c>
      <x:c r="I337" s="12" t="n">
        <x:v>3</x:v>
      </x:c>
      <x:c r="J337" s="12" t="n">
        <x:v>69</x:v>
      </x:c>
      <x:c r="K337" s="12"/>
      <x:c r="L337" s="12"/>
      <x:c r="M337" s="12" t="str">
        <x:f>IF(K337="", "", MAX(0,IF(K337&lt;=20,100,IF(K337&lt;=30,85,IF(K337&lt;=40,70,IF(K337&lt;=50,55,IF(K337&lt;=60,40,20)))))-MIN(L337*5,20)))</x:f>
      </x:c>
      <x:c r="N337" s="12"/>
      <x:c r="O337" s="12"/>
      <x:c r="P337" s="12" t="str">
        <x:f>IF(OR(H337="",J337="",M337=""),"",ROUND(PERCENTRANK.INC($H$2:$H$941,H337)*35+J337*0.35+M337*0.30,0))</x:f>
      </x:c>
      <x:c r="Q337" s="12" t="str">
        <x:f>IF(P337="","",IF(P337&gt;=80,"ATTACK",IF(P337&gt;=65,"GROW",IF(P337&gt;=50,"PARTNER","WATCH"))))</x:f>
      </x:c>
      <x:c r="R337" s="12" t="str">
        <x:f>IF(Q337="","",IF(Q337="ATTACK","Grassroots + family acquisition",IF(Q337="GROW","Test local campaign",IF(Q337="PARTNER","Organisation-first partnership","Low priority / validate"))))</x:f>
      </x:c>
      <x:c r="S337" s="45" t="n">
        <x:v>8.586174016494493</x:v>
      </x:c>
      <x:c r="T337" t="str">
        <x:v>NEAR</x:v>
      </x:c>
      <x:c r="U337" s="32" t="n">
        <x:f>PERCENTRANK.INC($G$2:$G$941,G337)</x:f>
        <x:v>0.648</x:v>
      </x:c>
      <x:c r="V337" s="32" t="n">
        <x:f>PERCENTRANK.INC($H$2:$H$941,H337)</x:f>
        <x:v>0.613</x:v>
      </x:c>
      <x:c r="W337" t="n">
        <x:f>ROUND((U337*55+V337*45)*IF(S337&lt;=5,1,IF(S337&lt;=10,0.95,IF(S337&lt;=20,0.85,0.70))),0)</x:f>
        <x:v>60</x:v>
      </x:c>
      <x:c r="X337" t="n">
        <x:v>64</x:v>
      </x:c>
      <x:c r="Y337" t="str">
        <x:v>PARTNER</x:v>
      </x:c>
      <x:c r="Z337" s="12" t="str">
        <x:v>Family + verified grassroots + straight-line geo only; transport not yet routed</x:v>
      </x:c>
      <x:c r="AA337" s="12"/>
      <x:c r="AB337" s="12"/>
      <x:c r="AC337" s="12"/>
      <x:c r="AD337" s="12"/>
      <x:c r="AE337" t="str">
        <x:v>Crystal Palace Women</x:v>
      </x:c>
      <x:c r="AF337" s="45" t="n">
        <x:v>4.263699179748686</x:v>
      </x:c>
      <x:c r="AG337" t="str">
        <x:v>AFC Wimbledon Women</x:v>
      </x:c>
      <x:c r="AH337" s="45" t="n">
        <x:v>10.078865528421588</x:v>
      </x:c>
      <x:c r="AI337" t="n">
        <x:v>76</x:v>
      </x:c>
      <x:c r="AJ337" t="str">
        <x:v>HIGH</x:v>
      </x:c>
    </x:row>
    <x:row r="338">
      <x:c r="A338" s="12" t="str">
        <x:v>E01001038</x:v>
      </x:c>
      <x:c r="B338" s="12" t="str">
        <x:v>Croydon 029C</x:v>
      </x:c>
      <x:c r="C338" s="12" t="str">
        <x:v>Croydon</x:v>
      </x:c>
      <x:c r="D338" s="44" t="n">
        <x:v>51.36016199287727</x:v>
      </x:c>
      <x:c r="E338" s="44" t="n">
        <x:v>-0.08994265643146288</x:v>
      </x:c>
      <x:c r="F338" s="33" t="n">
        <x:v>950</x:v>
      </x:c>
      <x:c r="G338" s="33" t="n">
        <x:v>247</x:v>
      </x:c>
      <x:c r="H338" s="26" t="n">
        <x:v>0.26</x:v>
      </x:c>
      <x:c r="I338" s="12" t="n">
        <x:v>3</x:v>
      </x:c>
      <x:c r="J338" s="12" t="n">
        <x:v>69</x:v>
      </x:c>
      <x:c r="K338" s="12"/>
      <x:c r="L338" s="12"/>
      <x:c r="M338" s="12" t="str">
        <x:f>IF(K338="", "", MAX(0,IF(K338&lt;=20,100,IF(K338&lt;=30,85,IF(K338&lt;=40,70,IF(K338&lt;=50,55,IF(K338&lt;=60,40,20)))))-MIN(L338*5,20)))</x:f>
      </x:c>
      <x:c r="N338" s="12"/>
      <x:c r="O338" s="12"/>
      <x:c r="P338" s="12" t="str">
        <x:f>IF(OR(H338="",J338="",M338=""),"",ROUND(PERCENTRANK.INC($H$2:$H$941,H338)*35+J338*0.35+M338*0.30,0))</x:f>
      </x:c>
      <x:c r="Q338" s="12" t="str">
        <x:f>IF(P338="","",IF(P338&gt;=80,"ATTACK",IF(P338&gt;=65,"GROW",IF(P338&gt;=50,"PARTNER","WATCH"))))</x:f>
      </x:c>
      <x:c r="R338" s="12" t="str">
        <x:f>IF(Q338="","",IF(Q338="ATTACK","Grassroots + family acquisition",IF(Q338="GROW","Test local campaign",IF(Q338="PARTNER","Organisation-first partnership","Low priority / validate"))))</x:f>
      </x:c>
      <x:c r="S338" s="45" t="n">
        <x:v>8.220608860178261</x:v>
      </x:c>
      <x:c r="T338" t="str">
        <x:v>NEAR</x:v>
      </x:c>
      <x:c r="U338" s="32" t="n">
        <x:f>PERCENTRANK.INC($G$2:$G$941,G338)</x:f>
        <x:v>0.752</x:v>
      </x:c>
      <x:c r="V338" s="32" t="n">
        <x:f>PERCENTRANK.INC($H$2:$H$941,H338)</x:f>
        <x:v>0.218</x:v>
      </x:c>
      <x:c r="W338" t="n">
        <x:f>ROUND((U338*55+V338*45)*IF(S338&lt;=5,1,IF(S338&lt;=10,0.95,IF(S338&lt;=20,0.85,0.70))),0)</x:f>
        <x:v>49</x:v>
      </x:c>
      <x:c r="X338" t="n">
        <x:v>58</x:v>
      </x:c>
      <x:c r="Y338" t="str">
        <x:v>PARTNER</x:v>
      </x:c>
      <x:c r="Z338" s="12" t="str">
        <x:v>Family + verified grassroots + straight-line geo only; transport not yet routed</x:v>
      </x:c>
      <x:c r="AA338" s="12"/>
      <x:c r="AB338" s="12"/>
      <x:c r="AC338" s="12"/>
      <x:c r="AD338" s="12"/>
      <x:c r="AE338" t="str">
        <x:v>Crystal Palace Women</x:v>
      </x:c>
      <x:c r="AF338" s="45" t="n">
        <x:v>4.251566731540269</x:v>
      </x:c>
      <x:c r="AG338" t="str">
        <x:v>AFC Wimbledon Women</x:v>
      </x:c>
      <x:c r="AH338" s="45" t="n">
        <x:v>10.37719997129946</x:v>
      </x:c>
      <x:c r="AI338" t="n">
        <x:v>76</x:v>
      </x:c>
      <x:c r="AJ338" t="str">
        <x:v>HIGH</x:v>
      </x:c>
    </x:row>
    <x:row r="339">
      <x:c r="A339" s="12" t="str">
        <x:v>E01001039</x:v>
      </x:c>
      <x:c r="B339" s="12" t="str">
        <x:v>Croydon 029D</x:v>
      </x:c>
      <x:c r="C339" s="12" t="str">
        <x:v>Croydon</x:v>
      </x:c>
      <x:c r="D339" s="44" t="n">
        <x:v>51.35472127866314</x:v>
      </x:c>
      <x:c r="E339" s="44" t="n">
        <x:v>-0.08904427382576866</x:v>
      </x:c>
      <x:c r="F339" s="33" t="n">
        <x:v>601</x:v>
      </x:c>
      <x:c r="G339" s="33" t="n">
        <x:v>211</x:v>
      </x:c>
      <x:c r="H339" s="26" t="n">
        <x:v>0.35108153078202997</x:v>
      </x:c>
      <x:c r="I339" s="12" t="n">
        <x:v>3</x:v>
      </x:c>
      <x:c r="J339" s="12" t="n">
        <x:v>61</x:v>
      </x:c>
      <x:c r="K339" s="12"/>
      <x:c r="L339" s="12"/>
      <x:c r="M339" s="12" t="str">
        <x:f>IF(K339="", "", MAX(0,IF(K339&lt;=20,100,IF(K339&lt;=30,85,IF(K339&lt;=40,70,IF(K339&lt;=50,55,IF(K339&lt;=60,40,20)))))-MIN(L339*5,20)))</x:f>
      </x:c>
      <x:c r="N339" s="12"/>
      <x:c r="O339" s="12"/>
      <x:c r="P339" s="12" t="str">
        <x:f>IF(OR(H339="",J339="",M339=""),"",ROUND(PERCENTRANK.INC($H$2:$H$941,H339)*35+J339*0.35+M339*0.30,0))</x:f>
      </x:c>
      <x:c r="Q339" s="12" t="str">
        <x:f>IF(P339="","",IF(P339&gt;=80,"ATTACK",IF(P339&gt;=65,"GROW",IF(P339&gt;=50,"PARTNER","WATCH"))))</x:f>
      </x:c>
      <x:c r="R339" s="12" t="str">
        <x:f>IF(Q339="","",IF(Q339="ATTACK","Grassroots + family acquisition",IF(Q339="GROW","Test local campaign",IF(Q339="PARTNER","Organisation-first partnership","Low priority / validate"))))</x:f>
      </x:c>
      <x:c r="S339" s="45" t="n">
        <x:v>8.436219864395659</x:v>
      </x:c>
      <x:c r="T339" t="str">
        <x:v>NEAR</x:v>
      </x:c>
      <x:c r="U339" s="32" t="n">
        <x:f>PERCENTRANK.INC($G$2:$G$941,G339)</x:f>
        <x:v>0.482</x:v>
      </x:c>
      <x:c r="V339" s="32" t="n">
        <x:f>PERCENTRANK.INC($H$2:$H$941,H339)</x:f>
        <x:v>0.695</x:v>
      </x:c>
      <x:c r="W339" t="n">
        <x:f>ROUND((U339*55+V339*45)*IF(S339&lt;=5,1,IF(S339&lt;=10,0.95,IF(S339&lt;=20,0.85,0.70))),0)</x:f>
        <x:v>55</x:v>
      </x:c>
      <x:c r="X339" t="n">
        <x:v>58</x:v>
      </x:c>
      <x:c r="Y339" t="str">
        <x:v>PARTNER</x:v>
      </x:c>
      <x:c r="Z339" s="12" t="str">
        <x:v>Family + verified grassroots + straight-line geo only; transport not yet routed</x:v>
      </x:c>
      <x:c r="AA339" s="12"/>
      <x:c r="AB339" s="12"/>
      <x:c r="AC339" s="12"/>
      <x:c r="AD339" s="12"/>
      <x:c r="AE339" t="str">
        <x:v>Crystal Palace Women</x:v>
      </x:c>
      <x:c r="AF339" s="45" t="n">
        <x:v>4.851051554266042</x:v>
      </x:c>
      <x:c r="AG339" t="str">
        <x:v>AFC Wimbledon Women</x:v>
      </x:c>
      <x:c r="AH339" s="45" t="n">
        <x:v>10.884119292522382</x:v>
      </x:c>
      <x:c r="AI339" t="n">
        <x:v>76</x:v>
      </x:c>
      <x:c r="AJ339" t="str">
        <x:v>HIGH</x:v>
      </x:c>
    </x:row>
    <x:row r="340">
      <x:c r="A340" s="12" t="str">
        <x:v>E01001040</x:v>
      </x:c>
      <x:c r="B340" s="12" t="str">
        <x:v>Croydon 029E</x:v>
      </x:c>
      <x:c r="C340" s="12" t="str">
        <x:v>Croydon</x:v>
      </x:c>
      <x:c r="D340" s="44" t="n">
        <x:v>51.35644916561432</x:v>
      </x:c>
      <x:c r="E340" s="44" t="n">
        <x:v>-0.09588320340959874</x:v>
      </x:c>
      <x:c r="F340" s="33" t="n">
        <x:v>742</x:v>
      </x:c>
      <x:c r="G340" s="33" t="n">
        <x:v>241</x:v>
      </x:c>
      <x:c r="H340" s="26" t="n">
        <x:v>0.3247978436657682</x:v>
      </x:c>
      <x:c r="I340" s="12" t="n">
        <x:v>3</x:v>
      </x:c>
      <x:c r="J340" s="12" t="n">
        <x:v>69</x:v>
      </x:c>
      <x:c r="K340" s="12"/>
      <x:c r="L340" s="12"/>
      <x:c r="M340" s="12" t="str">
        <x:f>IF(K340="", "", MAX(0,IF(K340&lt;=20,100,IF(K340&lt;=30,85,IF(K340&lt;=40,70,IF(K340&lt;=50,55,IF(K340&lt;=60,40,20)))))-MIN(L340*5,20)))</x:f>
      </x:c>
      <x:c r="N340" s="12"/>
      <x:c r="O340" s="12"/>
      <x:c r="P340" s="12" t="str">
        <x:f>IF(OR(H340="",J340="",M340=""),"",ROUND(PERCENTRANK.INC($H$2:$H$941,H340)*35+J340*0.35+M340*0.30,0))</x:f>
      </x:c>
      <x:c r="Q340" s="12" t="str">
        <x:f>IF(P340="","",IF(P340&gt;=80,"ATTACK",IF(P340&gt;=65,"GROW",IF(P340&gt;=50,"PARTNER","WATCH"))))</x:f>
      </x:c>
      <x:c r="R340" s="12" t="str">
        <x:f>IF(Q340="","",IF(Q340="ATTACK","Grassroots + family acquisition",IF(Q340="GROW","Test local campaign",IF(Q340="PARTNER","Organisation-first partnership","Low priority / validate"))))</x:f>
      </x:c>
      <x:c r="S340" s="45" t="n">
        <x:v>8.770160729367774</x:v>
      </x:c>
      <x:c r="T340" t="str">
        <x:v>NEAR</x:v>
      </x:c>
      <x:c r="U340" s="32" t="n">
        <x:f>PERCENTRANK.INC($G$2:$G$941,G340)</x:f>
        <x:v>0.714</x:v>
      </x:c>
      <x:c r="V340" s="32" t="n">
        <x:f>PERCENTRANK.INC($H$2:$H$941,H340)</x:f>
        <x:v>0.538</x:v>
      </x:c>
      <x:c r="W340" t="n">
        <x:f>ROUND((U340*55+V340*45)*IF(S340&lt;=5,1,IF(S340&lt;=10,0.95,IF(S340&lt;=20,0.85,0.70))),0)</x:f>
        <x:v>60</x:v>
      </x:c>
      <x:c r="X340" t="n">
        <x:v>65</x:v>
      </x:c>
      <x:c r="Y340" t="str">
        <x:v>GROW</x:v>
      </x:c>
      <x:c r="Z340" s="12" t="str">
        <x:v>Family + verified grassroots + straight-line geo only; transport not yet routed</x:v>
      </x:c>
      <x:c r="AA340" s="12"/>
      <x:c r="AB340" s="12"/>
      <x:c r="AC340" s="12"/>
      <x:c r="AD340" s="12"/>
      <x:c r="AE340" t="str">
        <x:v>Crystal Palace Women</x:v>
      </x:c>
      <x:c r="AF340" s="45" t="n">
        <x:v>4.7106605489352065</x:v>
      </x:c>
      <x:c r="AG340" t="str">
        <x:v>AFC Wimbledon Women</x:v>
      </x:c>
      <x:c r="AH340" s="45" t="n">
        <x:v>10.441007719633689</x:v>
      </x:c>
      <x:c r="AI340" t="n">
        <x:v>76</x:v>
      </x:c>
      <x:c r="AJ340" t="str">
        <x:v>HIGH</x:v>
      </x:c>
    </x:row>
    <x:row r="341">
      <x:c r="A341" s="12" t="str">
        <x:v>E01001051</x:v>
      </x:c>
      <x:c r="B341" s="12" t="str">
        <x:v>Croydon 030A</x:v>
      </x:c>
      <x:c r="C341" s="12" t="str">
        <x:v>Croydon</x:v>
      </x:c>
      <x:c r="D341" s="44" t="n">
        <x:v>51.35580289531343</x:v>
      </x:c>
      <x:c r="E341" s="44" t="n">
        <x:v>-0.02161376862339203</x:v>
      </x:c>
      <x:c r="F341" s="33" t="n">
        <x:v>562</x:v>
      </x:c>
      <x:c r="G341" s="33" t="n">
        <x:v>223</x:v>
      </x:c>
      <x:c r="H341" s="26" t="n">
        <x:v>0.39679715302491103</x:v>
      </x:c>
      <x:c r="I341" s="12" t="n">
        <x:v>1</x:v>
      </x:c>
      <x:c r="J341" s="12" t="n">
        <x:v>47</x:v>
      </x:c>
      <x:c r="K341" s="12"/>
      <x:c r="L341" s="12"/>
      <x:c r="M341" s="12" t="str">
        <x:f>IF(K341="", "", MAX(0,IF(K341&lt;=20,100,IF(K341&lt;=30,85,IF(K341&lt;=40,70,IF(K341&lt;=50,55,IF(K341&lt;=60,40,20)))))-MIN(L341*5,20)))</x:f>
      </x:c>
      <x:c r="N341" s="12"/>
      <x:c r="O341" s="12"/>
      <x:c r="P341" s="12" t="str">
        <x:f>IF(OR(H341="",J341="",M341=""),"",ROUND(PERCENTRANK.INC($H$2:$H$941,H341)*35+J341*0.35+M341*0.30,0))</x:f>
      </x:c>
      <x:c r="Q341" s="12" t="str">
        <x:f>IF(P341="","",IF(P341&gt;=80,"ATTACK",IF(P341&gt;=65,"GROW",IF(P341&gt;=50,"PARTNER","WATCH"))))</x:f>
      </x:c>
      <x:c r="R341" s="12" t="str">
        <x:f>IF(Q341="","",IF(Q341="ATTACK","Grassroots + family acquisition",IF(Q341="GROW","Test local campaign",IF(Q341="PARTNER","Organisation-first partnership","Low priority / validate"))))</x:f>
      </x:c>
      <x:c r="S341" s="45" t="n">
        <x:v>4.770117279394674</x:v>
      </x:c>
      <x:c r="T341" t="str">
        <x:v>CORE</x:v>
      </x:c>
      <x:c r="U341" s="32" t="n">
        <x:f>PERCENTRANK.INC($G$2:$G$941,G341)</x:f>
        <x:v>0.567</x:v>
      </x:c>
      <x:c r="V341" s="32" t="n">
        <x:f>PERCENTRANK.INC($H$2:$H$941,H341)</x:f>
        <x:v>0.893</x:v>
      </x:c>
      <x:c r="W341" t="n">
        <x:f>ROUND((U341*55+V341*45)*IF(S341&lt;=5,1,IF(S341&lt;=10,0.95,IF(S341&lt;=20,0.85,0.70))),0)</x:f>
        <x:v>71</x:v>
      </x:c>
      <x:c r="X341" t="n">
        <x:v>61</x:v>
      </x:c>
      <x:c r="Y341" t="str">
        <x:v>PARTNER</x:v>
      </x:c>
      <x:c r="Z341" s="12" t="str">
        <x:v>Family + verified grassroots + straight-line geo only; transport not yet routed</x:v>
      </x:c>
      <x:c r="AA341" s="12"/>
      <x:c r="AB341" s="12"/>
      <x:c r="AC341" s="12"/>
      <x:c r="AD341" s="12"/>
      <x:c r="AE341" t="str">
        <x:v>Crystal Palace Women</x:v>
      </x:c>
      <x:c r="AF341" s="45" t="n">
        <x:v>6.461887054844241</x:v>
      </x:c>
      <x:c r="AG341" t="str">
        <x:v>Dulwich Hamlet Women</x:v>
      </x:c>
      <x:c r="AH341" s="45" t="n">
        <x:v>12.504974149607703</x:v>
      </x:c>
      <x:c r="AI341" t="n">
        <x:v>65</x:v>
      </x:c>
      <x:c r="AJ341" t="str">
        <x:v>MEDIUM</x:v>
      </x:c>
    </x:row>
    <x:row r="342">
      <x:c r="A342" s="12" t="str">
        <x:v>E01001052</x:v>
      </x:c>
      <x:c r="B342" s="12" t="str">
        <x:v>Croydon 030B</x:v>
      </x:c>
      <x:c r="C342" s="12" t="str">
        <x:v>Croydon</x:v>
      </x:c>
      <x:c r="D342" s="44" t="n">
        <x:v>51.3577566956151</x:v>
      </x:c>
      <x:c r="E342" s="44" t="n">
        <x:v>-0.018016288559784</x:v>
      </x:c>
      <x:c r="F342" s="33" t="n">
        <x:v>456</x:v>
      </x:c>
      <x:c r="G342" s="33" t="n">
        <x:v>215</x:v>
      </x:c>
      <x:c r="H342" s="26" t="n">
        <x:v>0.47149122807017546</x:v>
      </x:c>
      <x:c r="I342" s="12" t="n">
        <x:v>1</x:v>
      </x:c>
      <x:c r="J342" s="12" t="n">
        <x:v>47</x:v>
      </x:c>
      <x:c r="K342" s="12"/>
      <x:c r="L342" s="12"/>
      <x:c r="M342" s="12" t="str">
        <x:f>IF(K342="", "", MAX(0,IF(K342&lt;=20,100,IF(K342&lt;=30,85,IF(K342&lt;=40,70,IF(K342&lt;=50,55,IF(K342&lt;=60,40,20)))))-MIN(L342*5,20)))</x:f>
      </x:c>
      <x:c r="N342" s="12"/>
      <x:c r="O342" s="12"/>
      <x:c r="P342" s="12" t="str">
        <x:f>IF(OR(H342="",J342="",M342=""),"",ROUND(PERCENTRANK.INC($H$2:$H$941,H342)*35+J342*0.35+M342*0.30,0))</x:f>
      </x:c>
      <x:c r="Q342" s="12" t="str">
        <x:f>IF(P342="","",IF(P342&gt;=80,"ATTACK",IF(P342&gt;=65,"GROW",IF(P342&gt;=50,"PARTNER","WATCH"))))</x:f>
      </x:c>
      <x:c r="R342" s="12" t="str">
        <x:f>IF(Q342="","",IF(Q342="ATTACK","Grassroots + family acquisition",IF(Q342="GROW","Test local campaign",IF(Q342="PARTNER","Organisation-first partnership","Low priority / validate"))))</x:f>
      </x:c>
      <x:c r="S342" s="45" t="n">
        <x:v>4.44975655751509</x:v>
      </x:c>
      <x:c r="T342" t="str">
        <x:v>CORE</x:v>
      </x:c>
      <x:c r="U342" s="32" t="n">
        <x:f>PERCENTRANK.INC($G$2:$G$941,G342)</x:f>
        <x:v>0.515</x:v>
      </x:c>
      <x:c r="V342" s="32" t="n">
        <x:f>PERCENTRANK.INC($H$2:$H$941,H342)</x:f>
        <x:v>0.986</x:v>
      </x:c>
      <x:c r="W342" t="n">
        <x:f>ROUND((U342*55+V342*45)*IF(S342&lt;=5,1,IF(S342&lt;=10,0.95,IF(S342&lt;=20,0.85,0.70))),0)</x:f>
        <x:v>73</x:v>
      </x:c>
      <x:c r="X342" t="n">
        <x:v>61</x:v>
      </x:c>
      <x:c r="Y342" t="str">
        <x:v>PARTNER</x:v>
      </x:c>
      <x:c r="Z342" s="12" t="str">
        <x:v>Family + verified grassroots + straight-line geo only; transport not yet routed</x:v>
      </x:c>
      <x:c r="AA342" s="12"/>
      <x:c r="AB342" s="12"/>
      <x:c r="AC342" s="12"/>
      <x:c r="AD342" s="12"/>
      <x:c r="AE342" t="str">
        <x:v>Crystal Palace Women</x:v>
      </x:c>
      <x:c r="AF342" s="45" t="n">
        <x:v>6.481861741357121</x:v>
      </x:c>
      <x:c r="AG342" t="str">
        <x:v>Dulwich Hamlet Women</x:v>
      </x:c>
      <x:c r="AH342" s="45" t="n">
        <x:v>12.391269812255748</x:v>
      </x:c>
      <x:c r="AI342" t="n">
        <x:v>65</x:v>
      </x:c>
      <x:c r="AJ342" t="str">
        <x:v>MEDIUM</x:v>
      </x:c>
    </x:row>
    <x:row r="343">
      <x:c r="A343" s="12" t="str">
        <x:v>E01001054</x:v>
      </x:c>
      <x:c r="B343" s="12" t="str">
        <x:v>Croydon 030C</x:v>
      </x:c>
      <x:c r="C343" s="12" t="str">
        <x:v>Croydon</x:v>
      </x:c>
      <x:c r="D343" s="44" t="n">
        <x:v>51.35316584013288</x:v>
      </x:c>
      <x:c r="E343" s="44" t="n">
        <x:v>-0.02318180967047871</x:v>
      </x:c>
      <x:c r="F343" s="33" t="n">
        <x:v>594</x:v>
      </x:c>
      <x:c r="G343" s="33" t="n">
        <x:v>250</x:v>
      </x:c>
      <x:c r="H343" s="26" t="n">
        <x:v>0.4208754208754209</x:v>
      </x:c>
      <x:c r="I343" s="12" t="n">
        <x:v>1</x:v>
      </x:c>
      <x:c r="J343" s="12" t="n">
        <x:v>47</x:v>
      </x:c>
      <x:c r="K343" s="12"/>
      <x:c r="L343" s="12"/>
      <x:c r="M343" s="12" t="str">
        <x:f>IF(K343="", "", MAX(0,IF(K343&lt;=20,100,IF(K343&lt;=30,85,IF(K343&lt;=40,70,IF(K343&lt;=50,55,IF(K343&lt;=60,40,20)))))-MIN(L343*5,20)))</x:f>
      </x:c>
      <x:c r="N343" s="12"/>
      <x:c r="O343" s="12"/>
      <x:c r="P343" s="12" t="str">
        <x:f>IF(OR(H343="",J343="",M343=""),"",ROUND(PERCENTRANK.INC($H$2:$H$941,H343)*35+J343*0.35+M343*0.30,0))</x:f>
      </x:c>
      <x:c r="Q343" s="12" t="str">
        <x:f>IF(P343="","",IF(P343&gt;=80,"ATTACK",IF(P343&gt;=65,"GROW",IF(P343&gt;=50,"PARTNER","WATCH"))))</x:f>
      </x:c>
      <x:c r="R343" s="12" t="str">
        <x:f>IF(Q343="","",IF(Q343="ATTACK","Grassroots + family acquisition",IF(Q343="GROW","Test local campaign",IF(Q343="PARTNER","Organisation-first partnership","Low priority / validate"))))</x:f>
      </x:c>
      <x:c r="S343" s="45" t="n">
        <x:v>5.073528061452832</x:v>
      </x:c>
      <x:c r="T343" t="str">
        <x:v>NEAR</x:v>
      </x:c>
      <x:c r="U343" s="32" t="n">
        <x:f>PERCENTRANK.INC($G$2:$G$941,G343)</x:f>
        <x:v>0.782</x:v>
      </x:c>
      <x:c r="V343" s="32" t="n">
        <x:f>PERCENTRANK.INC($H$2:$H$941,H343)</x:f>
        <x:v>0.945</x:v>
      </x:c>
      <x:c r="W343" t="n">
        <x:f>ROUND((U343*55+V343*45)*IF(S343&lt;=5,1,IF(S343&lt;=10,0.95,IF(S343&lt;=20,0.85,0.70))),0)</x:f>
        <x:v>81</x:v>
      </x:c>
      <x:c r="X343" t="n">
        <x:v>66</x:v>
      </x:c>
      <x:c r="Y343" t="str">
        <x:v>GROW</x:v>
      </x:c>
      <x:c r="Z343" s="12" t="str">
        <x:v>Family + verified grassroots + straight-line geo only; transport not yet routed</x:v>
      </x:c>
      <x:c r="AA343" s="12"/>
      <x:c r="AB343" s="12"/>
      <x:c r="AC343" s="12"/>
      <x:c r="AD343" s="12"/>
      <x:c r="AE343" t="str">
        <x:v>Crystal Palace Women</x:v>
      </x:c>
      <x:c r="AF343" s="45" t="n">
        <x:v>6.607947267908813</x:v>
      </x:c>
      <x:c r="AG343" t="str">
        <x:v>Dulwich Hamlet Women</x:v>
      </x:c>
      <x:c r="AH343" s="45" t="n">
        <x:v>12.744142781479637</x:v>
      </x:c>
      <x:c r="AI343" t="n">
        <x:v>65</x:v>
      </x:c>
      <x:c r="AJ343" t="str">
        <x:v>MEDIUM</x:v>
      </x:c>
    </x:row>
    <x:row r="344">
      <x:c r="A344" s="12" t="str">
        <x:v>E01001056</x:v>
      </x:c>
      <x:c r="B344" s="12" t="str">
        <x:v>Croydon 030D</x:v>
      </x:c>
      <x:c r="C344" s="12" t="str">
        <x:v>Croydon</x:v>
      </x:c>
      <x:c r="D344" s="44" t="n">
        <x:v>51.350957225455396</x:v>
      </x:c>
      <x:c r="E344" s="44" t="n">
        <x:v>-0.015773701934078718</x:v>
      </x:c>
      <x:c r="F344" s="33" t="n">
        <x:v>576</x:v>
      </x:c>
      <x:c r="G344" s="33" t="n">
        <x:v>326</x:v>
      </x:c>
      <x:c r="H344" s="26" t="n">
        <x:v>0.5659722222222222</x:v>
      </x:c>
      <x:c r="I344" s="12" t="n">
        <x:v>1</x:v>
      </x:c>
      <x:c r="J344" s="12" t="n">
        <x:v>47</x:v>
      </x:c>
      <x:c r="K344" s="12"/>
      <x:c r="L344" s="12"/>
      <x:c r="M344" s="12" t="str">
        <x:f>IF(K344="", "", MAX(0,IF(K344&lt;=20,100,IF(K344&lt;=30,85,IF(K344&lt;=40,70,IF(K344&lt;=50,55,IF(K344&lt;=60,40,20)))))-MIN(L344*5,20)))</x:f>
      </x:c>
      <x:c r="N344" s="12"/>
      <x:c r="O344" s="12"/>
      <x:c r="P344" s="12" t="str">
        <x:f>IF(OR(H344="",J344="",M344=""),"",ROUND(PERCENTRANK.INC($H$2:$H$941,H344)*35+J344*0.35+M344*0.30,0))</x:f>
      </x:c>
      <x:c r="Q344" s="12" t="str">
        <x:f>IF(P344="","",IF(P344&gt;=80,"ATTACK",IF(P344&gt;=65,"GROW",IF(P344&gt;=50,"PARTNER","WATCH"))))</x:f>
      </x:c>
      <x:c r="R344" s="12" t="str">
        <x:f>IF(Q344="","",IF(Q344="ATTACK","Grassroots + family acquisition",IF(Q344="GROW","Test local campaign",IF(Q344="PARTNER","Organisation-first partnership","Low priority / validate"))))</x:f>
      </x:c>
      <x:c r="S344" s="45" t="n">
        <x:v>5.021144628100536</x:v>
      </x:c>
      <x:c r="T344" t="str">
        <x:v>NEAR</x:v>
      </x:c>
      <x:c r="U344" s="32" t="n">
        <x:f>PERCENTRANK.INC($G$2:$G$941,G344)</x:f>
        <x:v>0.971</x:v>
      </x:c>
      <x:c r="V344" s="32" t="n">
        <x:f>PERCENTRANK.INC($H$2:$H$941,H344)</x:f>
        <x:v>0.997</x:v>
      </x:c>
      <x:c r="W344" t="n">
        <x:f>ROUND((U344*55+V344*45)*IF(S344&lt;=5,1,IF(S344&lt;=10,0.95,IF(S344&lt;=20,0.85,0.70))),0)</x:f>
        <x:v>93</x:v>
      </x:c>
      <x:c r="X344" t="n">
        <x:v>73</x:v>
      </x:c>
      <x:c r="Y344" t="str">
        <x:v>GROW</x:v>
      </x:c>
      <x:c r="Z344" s="12" t="str">
        <x:v>Family + verified grassroots + straight-line geo only; transport not yet routed</x:v>
      </x:c>
      <x:c r="AA344" s="12"/>
      <x:c r="AB344" s="12"/>
      <x:c r="AC344" s="12"/>
      <x:c r="AD344" s="12"/>
      <x:c r="AE344" t="str">
        <x:v>Crystal Palace Women</x:v>
      </x:c>
      <x:c r="AF344" s="45" t="n">
        <x:v>7.132880272020281</x:v>
      </x:c>
      <x:c r="AG344" t="str">
        <x:v>Dulwich Hamlet Women</x:v>
      </x:c>
      <x:c r="AH344" s="45" t="n">
        <x:v>13.152159270333808</x:v>
      </x:c>
      <x:c r="AI344" t="n">
        <x:v>65</x:v>
      </x:c>
      <x:c r="AJ344" t="str">
        <x:v>MEDIUM</x:v>
      </x:c>
    </x:row>
    <x:row r="345">
      <x:c r="A345" s="12" t="str">
        <x:v>E01001057</x:v>
      </x:c>
      <x:c r="B345" s="12" t="str">
        <x:v>Croydon 030E</x:v>
      </x:c>
      <x:c r="C345" s="12" t="str">
        <x:v>Croydon</x:v>
      </x:c>
      <x:c r="D345" s="44" t="n">
        <x:v>51.34906043269985</x:v>
      </x:c>
      <x:c r="E345" s="44" t="n">
        <x:v>-0.020536413409796242</x:v>
      </x:c>
      <x:c r="F345" s="33" t="n">
        <x:v>602</x:v>
      </x:c>
      <x:c r="G345" s="33" t="n">
        <x:v>342</x:v>
      </x:c>
      <x:c r="H345" s="26" t="n">
        <x:v>0.5681063122923588</x:v>
      </x:c>
      <x:c r="I345" s="12" t="n">
        <x:v>1</x:v>
      </x:c>
      <x:c r="J345" s="12" t="n">
        <x:v>47</x:v>
      </x:c>
      <x:c r="K345" s="12"/>
      <x:c r="L345" s="12"/>
      <x:c r="M345" s="12" t="str">
        <x:f>IF(K345="", "", MAX(0,IF(K345&lt;=20,100,IF(K345&lt;=30,85,IF(K345&lt;=40,70,IF(K345&lt;=50,55,IF(K345&lt;=60,40,20)))))-MIN(L345*5,20)))</x:f>
      </x:c>
      <x:c r="N345" s="12"/>
      <x:c r="O345" s="12"/>
      <x:c r="P345" s="12" t="str">
        <x:f>IF(OR(H345="",J345="",M345=""),"",ROUND(PERCENTRANK.INC($H$2:$H$941,H345)*35+J345*0.35+M345*0.30,0))</x:f>
      </x:c>
      <x:c r="Q345" s="12" t="str">
        <x:f>IF(P345="","",IF(P345&gt;=80,"ATTACK",IF(P345&gt;=65,"GROW",IF(P345&gt;=50,"PARTNER","WATCH"))))</x:f>
      </x:c>
      <x:c r="R345" s="12" t="str">
        <x:f>IF(Q345="","",IF(Q345="ATTACK","Grassroots + family acquisition",IF(Q345="GROW","Test local campaign",IF(Q345="PARTNER","Organisation-first partnership","Low priority / validate"))))</x:f>
      </x:c>
      <x:c r="S345" s="45" t="n">
        <x:v>5.364729421802171</x:v>
      </x:c>
      <x:c r="T345" t="str">
        <x:v>NEAR</x:v>
      </x:c>
      <x:c r="U345" s="32" t="n">
        <x:f>PERCENTRANK.INC($G$2:$G$941,G345)</x:f>
        <x:v>0.982</x:v>
      </x:c>
      <x:c r="V345" s="32" t="n">
        <x:f>PERCENTRANK.INC($H$2:$H$941,H345)</x:f>
        <x:v>0.998</x:v>
      </x:c>
      <x:c r="W345" t="n">
        <x:f>ROUND((U345*55+V345*45)*IF(S345&lt;=5,1,IF(S345&lt;=10,0.95,IF(S345&lt;=20,0.85,0.70))),0)</x:f>
        <x:v>94</x:v>
      </x:c>
      <x:c r="X345" t="n">
        <x:v>73</x:v>
      </x:c>
      <x:c r="Y345" t="str">
        <x:v>GROW</x:v>
      </x:c>
      <x:c r="Z345" s="12" t="str">
        <x:v>Family + verified grassroots + straight-line geo only; transport not yet routed</x:v>
      </x:c>
      <x:c r="AA345" s="12"/>
      <x:c r="AB345" s="12"/>
      <x:c r="AC345" s="12"/>
      <x:c r="AD345" s="12"/>
      <x:c r="AE345" t="str">
        <x:v>Crystal Palace Women</x:v>
      </x:c>
      <x:c r="AF345" s="45" t="n">
        <x:v>7.07590558741804</x:v>
      </x:c>
      <x:c r="AG345" t="str">
        <x:v>Dulwich Hamlet Women</x:v>
      </x:c>
      <x:c r="AH345" s="45" t="n">
        <x:v>13.235727522176306</x:v>
      </x:c>
      <x:c r="AI345" t="n">
        <x:v>65</x:v>
      </x:c>
      <x:c r="AJ345" t="str">
        <x:v>MEDIUM</x:v>
      </x:c>
    </x:row>
    <x:row r="346">
      <x:c r="A346" s="12" t="str">
        <x:v>E01001033</x:v>
      </x:c>
      <x:c r="B346" s="12" t="str">
        <x:v>Croydon 031A</x:v>
      </x:c>
      <x:c r="C346" s="12" t="str">
        <x:v>Croydon</x:v>
      </x:c>
      <x:c r="D346" s="44" t="n">
        <x:v>51.350515003990544</x:v>
      </x:c>
      <x:c r="E346" s="44" t="n">
        <x:v>-0.1015568906564224</x:v>
      </x:c>
      <x:c r="F346" s="33" t="n">
        <x:v>683</x:v>
      </x:c>
      <x:c r="G346" s="33" t="n">
        <x:v>215</x:v>
      </x:c>
      <x:c r="H346" s="26" t="n">
        <x:v>0.31478770131771594</x:v>
      </x:c>
      <x:c r="I346" s="12" t="n">
        <x:v>3</x:v>
      </x:c>
      <x:c r="J346" s="12" t="n">
        <x:v>69</x:v>
      </x:c>
      <x:c r="K346" s="12"/>
      <x:c r="L346" s="12"/>
      <x:c r="M346" s="12" t="str">
        <x:f>IF(K346="", "", MAX(0,IF(K346&lt;=20,100,IF(K346&lt;=30,85,IF(K346&lt;=40,70,IF(K346&lt;=50,55,IF(K346&lt;=60,40,20)))))-MIN(L346*5,20)))</x:f>
      </x:c>
      <x:c r="N346" s="12"/>
      <x:c r="O346" s="12"/>
      <x:c r="P346" s="12" t="str">
        <x:f>IF(OR(H346="",J346="",M346=""),"",ROUND(PERCENTRANK.INC($H$2:$H$941,H346)*35+J346*0.35+M346*0.30,0))</x:f>
      </x:c>
      <x:c r="Q346" s="12" t="str">
        <x:f>IF(P346="","",IF(P346&gt;=80,"ATTACK",IF(P346&gt;=65,"GROW",IF(P346&gt;=50,"PARTNER","WATCH"))))</x:f>
      </x:c>
      <x:c r="R346" s="12" t="str">
        <x:f>IF(Q346="","",IF(Q346="ATTACK","Grassroots + family acquisition",IF(Q346="GROW","Test local campaign",IF(Q346="PARTNER","Organisation-first partnership","Low priority / validate"))))</x:f>
      </x:c>
      <x:c r="S346" s="45" t="n">
        <x:v>9.42301814154658</x:v>
      </x:c>
      <x:c r="T346" t="str">
        <x:v>NEAR</x:v>
      </x:c>
      <x:c r="U346" s="32" t="n">
        <x:f>PERCENTRANK.INC($G$2:$G$941,G346)</x:f>
        <x:v>0.515</x:v>
      </x:c>
      <x:c r="V346" s="32" t="n">
        <x:f>PERCENTRANK.INC($H$2:$H$941,H346)</x:f>
        <x:v>0.484</x:v>
      </x:c>
      <x:c r="W346" t="n">
        <x:f>ROUND((U346*55+V346*45)*IF(S346&lt;=5,1,IF(S346&lt;=10,0.95,IF(S346&lt;=20,0.85,0.70))),0)</x:f>
        <x:v>48</x:v>
      </x:c>
      <x:c r="X346" t="n">
        <x:v>57</x:v>
      </x:c>
      <x:c r="Y346" t="str">
        <x:v>PARTNER</x:v>
      </x:c>
      <x:c r="Z346" s="12" t="str">
        <x:v>Family + verified grassroots + straight-line geo only; transport not yet routed</x:v>
      </x:c>
      <x:c r="AA346" s="12"/>
      <x:c r="AB346" s="12"/>
      <x:c r="AC346" s="12"/>
      <x:c r="AD346" s="12"/>
      <x:c r="AE346" t="str">
        <x:v>Crystal Palace Women</x:v>
      </x:c>
      <x:c r="AF346" s="45" t="n">
        <x:v>5.4319522399113565</x:v>
      </x:c>
      <x:c r="AG346" t="str">
        <x:v>AFC Wimbledon Women</x:v>
      </x:c>
      <x:c r="AH346" s="45" t="n">
        <x:v>10.752541019777063</x:v>
      </x:c>
      <x:c r="AI346" t="n">
        <x:v>76</x:v>
      </x:c>
      <x:c r="AJ346" t="str">
        <x:v>HIGH</x:v>
      </x:c>
    </x:row>
    <x:row r="347">
      <x:c r="A347" s="12" t="str">
        <x:v>E01001034</x:v>
      </x:c>
      <x:c r="B347" s="12" t="str">
        <x:v>Croydon 031B</x:v>
      </x:c>
      <x:c r="C347" s="12" t="str">
        <x:v>Croydon</x:v>
      </x:c>
      <x:c r="D347" s="44" t="n">
        <x:v>51.34972724636786</x:v>
      </x:c>
      <x:c r="E347" s="44" t="n">
        <x:v>-0.09340742394589199</x:v>
      </x:c>
      <x:c r="F347" s="33" t="n">
        <x:v>665</x:v>
      </x:c>
      <x:c r="G347" s="33" t="n">
        <x:v>229</x:v>
      </x:c>
      <x:c r="H347" s="26" t="n">
        <x:v>0.3443609022556391</x:v>
      </x:c>
      <x:c r="I347" s="12" t="n">
        <x:v>3</x:v>
      </x:c>
      <x:c r="J347" s="12" t="n">
        <x:v>61</x:v>
      </x:c>
      <x:c r="K347" s="12"/>
      <x:c r="L347" s="12"/>
      <x:c r="M347" s="12" t="str">
        <x:f>IF(K347="", "", MAX(0,IF(K347&lt;=20,100,IF(K347&lt;=30,85,IF(K347&lt;=40,70,IF(K347&lt;=50,55,IF(K347&lt;=60,40,20)))))-MIN(L347*5,20)))</x:f>
      </x:c>
      <x:c r="N347" s="12"/>
      <x:c r="O347" s="12"/>
      <x:c r="P347" s="12" t="str">
        <x:f>IF(OR(H347="",J347="",M347=""),"",ROUND(PERCENTRANK.INC($H$2:$H$941,H347)*35+J347*0.35+M347*0.30,0))</x:f>
      </x:c>
      <x:c r="Q347" s="12" t="str">
        <x:f>IF(P347="","",IF(P347&gt;=80,"ATTACK",IF(P347&gt;=65,"GROW",IF(P347&gt;=50,"PARTNER","WATCH"))))</x:f>
      </x:c>
      <x:c r="R347" s="12" t="str">
        <x:f>IF(Q347="","",IF(Q347="ATTACK","Grassroots + family acquisition",IF(Q347="GROW","Test local campaign",IF(Q347="PARTNER","Organisation-first partnership","Low priority / validate"))))</x:f>
      </x:c>
      <x:c r="S347" s="45" t="n">
        <x:v>8.974586615597612</x:v>
      </x:c>
      <x:c r="T347" t="str">
        <x:v>NEAR</x:v>
      </x:c>
      <x:c r="U347" s="32" t="n">
        <x:f>PERCENTRANK.INC($G$2:$G$941,G347)</x:f>
        <x:v>0.627</x:v>
      </x:c>
      <x:c r="V347" s="32" t="n">
        <x:f>PERCENTRANK.INC($H$2:$H$941,H347)</x:f>
        <x:v>0.648</x:v>
      </x:c>
      <x:c r="W347" t="n">
        <x:f>ROUND((U347*55+V347*45)*IF(S347&lt;=5,1,IF(S347&lt;=10,0.95,IF(S347&lt;=20,0.85,0.70))),0)</x:f>
        <x:v>60</x:v>
      </x:c>
      <x:c r="X347" t="n">
        <x:v>61</x:v>
      </x:c>
      <x:c r="Y347" t="str">
        <x:v>PARTNER</x:v>
      </x:c>
      <x:c r="Z347" s="12" t="str">
        <x:v>Family + verified grassroots + straight-line geo only; transport not yet routed</x:v>
      </x:c>
      <x:c r="AA347" s="12"/>
      <x:c r="AB347" s="12"/>
      <x:c r="AC347" s="12"/>
      <x:c r="AD347" s="12"/>
      <x:c r="AE347" t="str">
        <x:v>Crystal Palace Women</x:v>
      </x:c>
      <x:c r="AF347" s="45" t="n">
        <x:v>5.429166748107975</x:v>
      </x:c>
      <x:c r="AG347" t="str">
        <x:v>AFC Wimbledon Women</x:v>
      </x:c>
      <x:c r="AH347" s="45" t="n">
        <x:v>11.144997870930089</x:v>
      </x:c>
      <x:c r="AI347" t="n">
        <x:v>76</x:v>
      </x:c>
      <x:c r="AJ347" t="str">
        <x:v>HIGH</x:v>
      </x:c>
    </x:row>
    <x:row r="348">
      <x:c r="A348" s="12" t="str">
        <x:v>E01001041</x:v>
      </x:c>
      <x:c r="B348" s="12" t="str">
        <x:v>Croydon 031C</x:v>
      </x:c>
      <x:c r="C348" s="12" t="str">
        <x:v>Croydon</x:v>
      </x:c>
      <x:c r="D348" s="44" t="n">
        <x:v>51.35383693077042</x:v>
      </x:c>
      <x:c r="E348" s="44" t="n">
        <x:v>-0.09962362793273902</x:v>
      </x:c>
      <x:c r="F348" s="33" t="n">
        <x:v>724</x:v>
      </x:c>
      <x:c r="G348" s="33" t="n">
        <x:v>252</x:v>
      </x:c>
      <x:c r="H348" s="26" t="n">
        <x:v>0.34806629834254144</x:v>
      </x:c>
      <x:c r="I348" s="12" t="n">
        <x:v>3</x:v>
      </x:c>
      <x:c r="J348" s="12" t="n">
        <x:v>69</x:v>
      </x:c>
      <x:c r="K348" s="12"/>
      <x:c r="L348" s="12"/>
      <x:c r="M348" s="12" t="str">
        <x:f>IF(K348="", "", MAX(0,IF(K348&lt;=20,100,IF(K348&lt;=30,85,IF(K348&lt;=40,70,IF(K348&lt;=50,55,IF(K348&lt;=60,40,20)))))-MIN(L348*5,20)))</x:f>
      </x:c>
      <x:c r="N348" s="12"/>
      <x:c r="O348" s="12"/>
      <x:c r="P348" s="12" t="str">
        <x:f>IF(OR(H348="",J348="",M348=""),"",ROUND(PERCENTRANK.INC($H$2:$H$941,H348)*35+J348*0.35+M348*0.30,0))</x:f>
      </x:c>
      <x:c r="Q348" s="12" t="str">
        <x:f>IF(P348="","",IF(P348&gt;=80,"ATTACK",IF(P348&gt;=65,"GROW",IF(P348&gt;=50,"PARTNER","WATCH"))))</x:f>
      </x:c>
      <x:c r="R348" s="12" t="str">
        <x:f>IF(Q348="","",IF(Q348="ATTACK","Grassroots + family acquisition",IF(Q348="GROW","Test local campaign",IF(Q348="PARTNER","Organisation-first partnership","Low priority / validate"))))</x:f>
      </x:c>
      <x:c r="S348" s="45" t="n">
        <x:v>9.132162174748148</x:v>
      </x:c>
      <x:c r="T348" t="str">
        <x:v>NEAR</x:v>
      </x:c>
      <x:c r="U348" s="32" t="n">
        <x:f>PERCENTRANK.INC($G$2:$G$941,G348)</x:f>
        <x:v>0.797</x:v>
      </x:c>
      <x:c r="V348" s="32" t="n">
        <x:f>PERCENTRANK.INC($H$2:$H$941,H348)</x:f>
        <x:v>0.675</x:v>
      </x:c>
      <x:c r="W348" t="n">
        <x:f>ROUND((U348*55+V348*45)*IF(S348&lt;=5,1,IF(S348&lt;=10,0.95,IF(S348&lt;=20,0.85,0.70))),0)</x:f>
        <x:v>70</x:v>
      </x:c>
      <x:c r="X348" t="n">
        <x:v>70</x:v>
      </x:c>
      <x:c r="Y348" t="str">
        <x:v>GROW</x:v>
      </x:c>
      <x:c r="Z348" s="12" t="str">
        <x:v>Family + verified grassroots + straight-line geo only; transport not yet routed</x:v>
      </x:c>
      <x:c r="AA348" s="12"/>
      <x:c r="AB348" s="12"/>
      <x:c r="AC348" s="12"/>
      <x:c r="AD348" s="12"/>
      <x:c r="AE348" t="str">
        <x:v>Crystal Palace Women</x:v>
      </x:c>
      <x:c r="AF348" s="45" t="n">
        <x:v>5.042925594851217</x:v>
      </x:c>
      <x:c r="AG348" t="str">
        <x:v>AFC Wimbledon Women</x:v>
      </x:c>
      <x:c r="AH348" s="45" t="n">
        <x:v>10.522572472824436</x:v>
      </x:c>
      <x:c r="AI348" t="n">
        <x:v>76</x:v>
      </x:c>
      <x:c r="AJ348" t="str">
        <x:v>HIGH</x:v>
      </x:c>
    </x:row>
    <x:row r="349">
      <x:c r="A349" s="12" t="str">
        <x:v>E01001095</x:v>
      </x:c>
      <x:c r="B349" s="12" t="str">
        <x:v>Croydon 031D</x:v>
      </x:c>
      <x:c r="C349" s="12" t="str">
        <x:v>Croydon</x:v>
      </x:c>
      <x:c r="D349" s="44" t="n">
        <x:v>51.344700089610065</x:v>
      </x:c>
      <x:c r="E349" s="44" t="n">
        <x:v>-0.10530376495158807</x:v>
      </x:c>
      <x:c r="F349" s="33" t="n">
        <x:v>592</x:v>
      </x:c>
      <x:c r="G349" s="33" t="n">
        <x:v>226</x:v>
      </x:c>
      <x:c r="H349" s="26" t="n">
        <x:v>0.38175675675675674</x:v>
      </x:c>
      <x:c r="I349" s="12" t="n">
        <x:v>2</x:v>
      </x:c>
      <x:c r="J349" s="12" t="n">
        <x:v>53</x:v>
      </x:c>
      <x:c r="K349" s="12"/>
      <x:c r="L349" s="12"/>
      <x:c r="M349" s="12" t="str">
        <x:f>IF(K349="", "", MAX(0,IF(K349&lt;=20,100,IF(K349&lt;=30,85,IF(K349&lt;=40,70,IF(K349&lt;=50,55,IF(K349&lt;=60,40,20)))))-MIN(L349*5,20)))</x:f>
      </x:c>
      <x:c r="N349" s="12"/>
      <x:c r="O349" s="12"/>
      <x:c r="P349" s="12" t="str">
        <x:f>IF(OR(H349="",J349="",M349=""),"",ROUND(PERCENTRANK.INC($H$2:$H$941,H349)*35+J349*0.35+M349*0.30,0))</x:f>
      </x:c>
      <x:c r="Q349" s="12" t="str">
        <x:f>IF(P349="","",IF(P349&gt;=80,"ATTACK",IF(P349&gt;=65,"GROW",IF(P349&gt;=50,"PARTNER","WATCH"))))</x:f>
      </x:c>
      <x:c r="R349" s="12" t="str">
        <x:f>IF(Q349="","",IF(Q349="ATTACK","Grassroots + family acquisition",IF(Q349="GROW","Test local campaign",IF(Q349="PARTNER","Organisation-first partnership","Low priority / validate"))))</x:f>
      </x:c>
      <x:c r="S349" s="45" t="n">
        <x:v>9.970668112261121</x:v>
      </x:c>
      <x:c r="T349" t="str">
        <x:v>NEAR</x:v>
      </x:c>
      <x:c r="U349" s="32" t="n">
        <x:f>PERCENTRANK.INC($G$2:$G$941,G349)</x:f>
        <x:v>0.595</x:v>
      </x:c>
      <x:c r="V349" s="32" t="n">
        <x:f>PERCENTRANK.INC($H$2:$H$941,H349)</x:f>
        <x:v>0.838</x:v>
      </x:c>
      <x:c r="W349" t="n">
        <x:f>ROUND((U349*55+V349*45)*IF(S349&lt;=5,1,IF(S349&lt;=10,0.95,IF(S349&lt;=20,0.85,0.70))),0)</x:f>
        <x:v>67</x:v>
      </x:c>
      <x:c r="X349" t="n">
        <x:v>61</x:v>
      </x:c>
      <x:c r="Y349" t="str">
        <x:v>PARTNER</x:v>
      </x:c>
      <x:c r="Z349" s="12" t="str">
        <x:v>Family + verified grassroots + straight-line geo only; transport not yet routed</x:v>
      </x:c>
      <x:c r="AA349" s="12"/>
      <x:c r="AB349" s="12"/>
      <x:c r="AC349" s="12"/>
      <x:c r="AD349" s="12"/>
      <x:c r="AE349" t="str">
        <x:v>Crystal Palace Women</x:v>
      </x:c>
      <x:c r="AF349" s="45" t="n">
        <x:v>6.119869840012733</x:v>
      </x:c>
      <x:c r="AG349" t="str">
        <x:v>AFC Wimbledon Women</x:v>
      </x:c>
      <x:c r="AH349" s="45" t="n">
        <x:v>11.16418198818561</x:v>
      </x:c>
      <x:c r="AI349" t="n">
        <x:v>65</x:v>
      </x:c>
      <x:c r="AJ349" t="str">
        <x:v>MEDIUM</x:v>
      </x:c>
    </x:row>
    <x:row r="350">
      <x:c r="A350" s="12" t="str">
        <x:v>E01001100</x:v>
      </x:c>
      <x:c r="B350" s="12" t="str">
        <x:v>Croydon 031E</x:v>
      </x:c>
      <x:c r="C350" s="12" t="str">
        <x:v>Croydon</x:v>
      </x:c>
      <x:c r="D350" s="44" t="n">
        <x:v>51.34648015870666</x:v>
      </x:c>
      <x:c r="E350" s="44" t="n">
        <x:v>-0.0975811811891735</x:v>
      </x:c>
      <x:c r="F350" s="33" t="n">
        <x:v>604</x:v>
      </x:c>
      <x:c r="G350" s="33" t="n">
        <x:v>192</x:v>
      </x:c>
      <x:c r="H350" s="26" t="n">
        <x:v>0.31788079470198677</x:v>
      </x:c>
      <x:c r="I350" s="12" t="n">
        <x:v>3</x:v>
      </x:c>
      <x:c r="J350" s="12" t="n">
        <x:v>61</x:v>
      </x:c>
      <x:c r="K350" s="12"/>
      <x:c r="L350" s="12"/>
      <x:c r="M350" s="12" t="str">
        <x:f>IF(K350="", "", MAX(0,IF(K350&lt;=20,100,IF(K350&lt;=30,85,IF(K350&lt;=40,70,IF(K350&lt;=50,55,IF(K350&lt;=60,40,20)))))-MIN(L350*5,20)))</x:f>
      </x:c>
      <x:c r="N350" s="12"/>
      <x:c r="O350" s="12"/>
      <x:c r="P350" s="12" t="str">
        <x:f>IF(OR(H350="",J350="",M350=""),"",ROUND(PERCENTRANK.INC($H$2:$H$941,H350)*35+J350*0.35+M350*0.30,0))</x:f>
      </x:c>
      <x:c r="Q350" s="12" t="str">
        <x:f>IF(P350="","",IF(P350&gt;=80,"ATTACK",IF(P350&gt;=65,"GROW",IF(P350&gt;=50,"PARTNER","WATCH"))))</x:f>
      </x:c>
      <x:c r="R350" s="12" t="str">
        <x:f>IF(Q350="","",IF(Q350="ATTACK","Grassroots + family acquisition",IF(Q350="GROW","Test local campaign",IF(Q350="PARTNER","Organisation-first partnership","Low priority / validate"))))</x:f>
      </x:c>
      <x:c r="S350" s="45" t="n">
        <x:v>9.40980734691071</x:v>
      </x:c>
      <x:c r="T350" t="str">
        <x:v>NEAR</x:v>
      </x:c>
      <x:c r="U350" s="32" t="n">
        <x:f>PERCENTRANK.INC($G$2:$G$941,G350)</x:f>
        <x:v>0.325</x:v>
      </x:c>
      <x:c r="V350" s="32" t="n">
        <x:f>PERCENTRANK.INC($H$2:$H$941,H350)</x:f>
        <x:v>0.5</x:v>
      </x:c>
      <x:c r="W350" t="n">
        <x:f>ROUND((U350*55+V350*45)*IF(S350&lt;=5,1,IF(S350&lt;=10,0.95,IF(S350&lt;=20,0.85,0.70))),0)</x:f>
        <x:v>38</x:v>
      </x:c>
      <x:c r="X350" t="n">
        <x:v>49</x:v>
      </x:c>
      <x:c r="Y350" t="str">
        <x:v>WATCH</x:v>
      </x:c>
      <x:c r="Z350" s="12" t="str">
        <x:v>Family + verified grassroots + straight-line geo only; transport not yet routed</x:v>
      </x:c>
      <x:c r="AA350" s="12"/>
      <x:c r="AB350" s="12"/>
      <x:c r="AC350" s="12"/>
      <x:c r="AD350" s="12"/>
      <x:c r="AE350" t="str">
        <x:v>Crystal Palace Women</x:v>
      </x:c>
      <x:c r="AF350" s="45" t="n">
        <x:v>5.824165316303306</x:v>
      </x:c>
      <x:c r="AG350" t="str">
        <x:v>AFC Wimbledon Women</x:v>
      </x:c>
      <x:c r="AH350" s="45" t="n">
        <x:v>11.279118501092107</x:v>
      </x:c>
      <x:c r="AI350" t="n">
        <x:v>76</x:v>
      </x:c>
      <x:c r="AJ350" t="str">
        <x:v>HIGH</x:v>
      </x:c>
    </x:row>
    <x:row r="351">
      <x:c r="A351" s="12" t="str">
        <x:v>E01001053</x:v>
      </x:c>
      <x:c r="B351" s="12" t="str">
        <x:v>Croydon 032A</x:v>
      </x:c>
      <x:c r="C351" s="12" t="str">
        <x:v>Croydon</x:v>
      </x:c>
      <x:c r="D351" s="44" t="n">
        <x:v>51.35017682172535</x:v>
      </x:c>
      <x:c r="E351" s="44" t="n">
        <x:v>-0.012615679480656198</x:v>
      </x:c>
      <x:c r="F351" s="33" t="n">
        <x:v>534</x:v>
      </x:c>
      <x:c r="G351" s="33" t="n">
        <x:v>223</x:v>
      </x:c>
      <x:c r="H351" s="26" t="n">
        <x:v>0.41760299625468167</x:v>
      </x:c>
      <x:c r="I351" s="12" t="n">
        <x:v>1</x:v>
      </x:c>
      <x:c r="J351" s="12" t="n">
        <x:v>47</x:v>
      </x:c>
      <x:c r="K351" s="12"/>
      <x:c r="L351" s="12"/>
      <x:c r="M351" s="12" t="str">
        <x:f>IF(K351="", "", MAX(0,IF(K351&lt;=20,100,IF(K351&lt;=30,85,IF(K351&lt;=40,70,IF(K351&lt;=50,55,IF(K351&lt;=60,40,20)))))-MIN(L351*5,20)))</x:f>
      </x:c>
      <x:c r="N351" s="12"/>
      <x:c r="O351" s="12"/>
      <x:c r="P351" s="12" t="str">
        <x:f>IF(OR(H351="",J351="",M351=""),"",ROUND(PERCENTRANK.INC($H$2:$H$941,H351)*35+J351*0.35+M351*0.30,0))</x:f>
      </x:c>
      <x:c r="Q351" s="12" t="str">
        <x:f>IF(P351="","",IF(P351&gt;=80,"ATTACK",IF(P351&gt;=65,"GROW",IF(P351&gt;=50,"PARTNER","WATCH"))))</x:f>
      </x:c>
      <x:c r="R351" s="12" t="str">
        <x:f>IF(Q351="","",IF(Q351="ATTACK","Grassroots + family acquisition",IF(Q351="GROW","Test local campaign",IF(Q351="PARTNER","Organisation-first partnership","Low priority / validate"))))</x:f>
      </x:c>
      <x:c r="S351" s="45" t="n">
        <x:v>5.002093680148974</x:v>
      </x:c>
      <x:c r="T351" t="str">
        <x:v>NEAR</x:v>
      </x:c>
      <x:c r="U351" s="32" t="n">
        <x:f>PERCENTRANK.INC($G$2:$G$941,G351)</x:f>
        <x:v>0.567</x:v>
      </x:c>
      <x:c r="V351" s="32" t="n">
        <x:f>PERCENTRANK.INC($H$2:$H$941,H351)</x:f>
        <x:v>0.942</x:v>
      </x:c>
      <x:c r="W351" t="n">
        <x:f>ROUND((U351*55+V351*45)*IF(S351&lt;=5,1,IF(S351&lt;=10,0.95,IF(S351&lt;=20,0.85,0.70))),0)</x:f>
        <x:v>70</x:v>
      </x:c>
      <x:c r="X351" t="n">
        <x:v>60</x:v>
      </x:c>
      <x:c r="Y351" t="str">
        <x:v>PARTNER</x:v>
      </x:c>
      <x:c r="Z351" s="12" t="str">
        <x:v>Family + verified grassroots + straight-line geo only; transport not yet routed</x:v>
      </x:c>
      <x:c r="AA351" s="12"/>
      <x:c r="AB351" s="12"/>
      <x:c r="AC351" s="12"/>
      <x:c r="AD351" s="12"/>
      <x:c r="AE351" t="str">
        <x:v>Crystal Palace Women</x:v>
      </x:c>
      <x:c r="AF351" s="45" t="n">
        <x:v>7.345634961137758</x:v>
      </x:c>
      <x:c r="AG351" t="str">
        <x:v>Dulwich Hamlet Women</x:v>
      </x:c>
      <x:c r="AH351" s="45" t="n">
        <x:v>13.313064646480727</x:v>
      </x:c>
      <x:c r="AI351" t="n">
        <x:v>65</x:v>
      </x:c>
      <x:c r="AJ351" t="str">
        <x:v>MEDIUM</x:v>
      </x:c>
    </x:row>
    <x:row r="352">
      <x:c r="A352" s="12" t="str">
        <x:v>E01001055</x:v>
      </x:c>
      <x:c r="B352" s="12" t="str">
        <x:v>Croydon 032B</x:v>
      </x:c>
      <x:c r="C352" s="12" t="str">
        <x:v>Croydon</x:v>
      </x:c>
      <x:c r="D352" s="44" t="n">
        <x:v>51.354352596386256</x:v>
      </x:c>
      <x:c r="E352" s="44" t="n">
        <x:v>-0.014203265063310625</x:v>
      </x:c>
      <x:c r="F352" s="33" t="n">
        <x:v>577</x:v>
      </x:c>
      <x:c r="G352" s="33" t="n">
        <x:v>199</x:v>
      </x:c>
      <x:c r="H352" s="26" t="n">
        <x:v>0.34488734835355284</x:v>
      </x:c>
      <x:c r="I352" s="12" t="n">
        <x:v>1</x:v>
      </x:c>
      <x:c r="J352" s="12" t="n">
        <x:v>47</x:v>
      </x:c>
      <x:c r="K352" s="12"/>
      <x:c r="L352" s="12"/>
      <x:c r="M352" s="12" t="str">
        <x:f>IF(K352="", "", MAX(0,IF(K352&lt;=20,100,IF(K352&lt;=30,85,IF(K352&lt;=40,70,IF(K352&lt;=50,55,IF(K352&lt;=60,40,20)))))-MIN(L352*5,20)))</x:f>
      </x:c>
      <x:c r="N352" s="12"/>
      <x:c r="O352" s="12"/>
      <x:c r="P352" s="12" t="str">
        <x:f>IF(OR(H352="",J352="",M352=""),"",ROUND(PERCENTRANK.INC($H$2:$H$941,H352)*35+J352*0.35+M352*0.30,0))</x:f>
      </x:c>
      <x:c r="Q352" s="12" t="str">
        <x:f>IF(P352="","",IF(P352&gt;=80,"ATTACK",IF(P352&gt;=65,"GROW",IF(P352&gt;=50,"PARTNER","WATCH"))))</x:f>
      </x:c>
      <x:c r="R352" s="12" t="str">
        <x:f>IF(Q352="","",IF(Q352="ATTACK","Grassroots + family acquisition",IF(Q352="GROW","Test local campaign",IF(Q352="PARTNER","Organisation-first partnership","Low priority / validate"))))</x:f>
      </x:c>
      <x:c r="S352" s="45" t="n">
        <x:v>4.636638782396251</x:v>
      </x:c>
      <x:c r="T352" t="str">
        <x:v>CORE</x:v>
      </x:c>
      <x:c r="U352" s="32" t="n">
        <x:f>PERCENTRANK.INC($G$2:$G$941,G352)</x:f>
        <x:v>0.376</x:v>
      </x:c>
      <x:c r="V352" s="32" t="n">
        <x:f>PERCENTRANK.INC($H$2:$H$941,H352)</x:f>
        <x:v>0.653</x:v>
      </x:c>
      <x:c r="W352" t="n">
        <x:f>ROUND((U352*55+V352*45)*IF(S352&lt;=5,1,IF(S352&lt;=10,0.95,IF(S352&lt;=20,0.85,0.70))),0)</x:f>
        <x:v>50</x:v>
      </x:c>
      <x:c r="X352" t="n">
        <x:v>49</x:v>
      </x:c>
      <x:c r="Y352" t="str">
        <x:v>WATCH</x:v>
      </x:c>
      <x:c r="Z352" s="12" t="str">
        <x:v>Family + verified grassroots + straight-line geo only; transport not yet routed</x:v>
      </x:c>
      <x:c r="AA352" s="12"/>
      <x:c r="AB352" s="12"/>
      <x:c r="AC352" s="12"/>
      <x:c r="AD352" s="12"/>
      <x:c r="AE352" t="str">
        <x:v>Crystal Palace Women</x:v>
      </x:c>
      <x:c r="AF352" s="45" t="n">
        <x:v>6.935925685921104</x:v>
      </x:c>
      <x:c r="AG352" t="str">
        <x:v>Dulwich Hamlet Women</x:v>
      </x:c>
      <x:c r="AH352" s="45" t="n">
        <x:v>12.841193946243518</x:v>
      </x:c>
      <x:c r="AI352" t="n">
        <x:v>65</x:v>
      </x:c>
      <x:c r="AJ352" t="str">
        <x:v>MEDIUM</x:v>
      </x:c>
    </x:row>
    <x:row r="353">
      <x:c r="A353" s="12" t="str">
        <x:v>E01001077</x:v>
      </x:c>
      <x:c r="B353" s="12" t="str">
        <x:v>Croydon 032C</x:v>
      </x:c>
      <x:c r="C353" s="12" t="str">
        <x:v>Croydon</x:v>
      </x:c>
      <x:c r="D353" s="44" t="n">
        <x:v>51.34486458275425</x:v>
      </x:c>
      <x:c r="E353" s="44" t="n">
        <x:v>-0.015239749790802257</x:v>
      </x:c>
      <x:c r="F353" s="33" t="n">
        <x:v>517</x:v>
      </x:c>
      <x:c r="G353" s="33" t="n">
        <x:v>171</x:v>
      </x:c>
      <x:c r="H353" s="26" t="n">
        <x:v>0.3307543520309478</x:v>
      </x:c>
      <x:c r="I353" s="12" t="n">
        <x:v>1</x:v>
      </x:c>
      <x:c r="J353" s="12" t="n">
        <x:v>47</x:v>
      </x:c>
      <x:c r="K353" s="12"/>
      <x:c r="L353" s="12"/>
      <x:c r="M353" s="12" t="str">
        <x:f>IF(K353="", "", MAX(0,IF(K353&lt;=20,100,IF(K353&lt;=30,85,IF(K353&lt;=40,70,IF(K353&lt;=50,55,IF(K353&lt;=60,40,20)))))-MIN(L353*5,20)))</x:f>
      </x:c>
      <x:c r="N353" s="12"/>
      <x:c r="O353" s="12"/>
      <x:c r="P353" s="12" t="str">
        <x:f>IF(OR(H353="",J353="",M353=""),"",ROUND(PERCENTRANK.INC($H$2:$H$941,H353)*35+J353*0.35+M353*0.30,0))</x:f>
      </x:c>
      <x:c r="Q353" s="12" t="str">
        <x:f>IF(P353="","",IF(P353&gt;=80,"ATTACK",IF(P353&gt;=65,"GROW",IF(P353&gt;=50,"PARTNER","WATCH"))))</x:f>
      </x:c>
      <x:c r="R353" s="12" t="str">
        <x:f>IF(Q353="","",IF(Q353="ATTACK","Grassroots + family acquisition",IF(Q353="GROW","Test local campaign",IF(Q353="PARTNER","Organisation-first partnership","Low priority / validate"))))</x:f>
      </x:c>
      <x:c r="S353" s="45" t="n">
        <x:v>5.615263729325615</x:v>
      </x:c>
      <x:c r="T353" t="str">
        <x:v>NEAR</x:v>
      </x:c>
      <x:c r="U353" s="32" t="n">
        <x:f>PERCENTRANK.INC($G$2:$G$941,G353)</x:f>
        <x:v>0.177</x:v>
      </x:c>
      <x:c r="V353" s="32" t="n">
        <x:f>PERCENTRANK.INC($H$2:$H$941,H353)</x:f>
        <x:v>0.571</x:v>
      </x:c>
      <x:c r="W353" t="n">
        <x:f>ROUND((U353*55+V353*45)*IF(S353&lt;=5,1,IF(S353&lt;=10,0.95,IF(S353&lt;=20,0.85,0.70))),0)</x:f>
        <x:v>34</x:v>
      </x:c>
      <x:c r="X353" t="n">
        <x:v>40</x:v>
      </x:c>
      <x:c r="Y353" t="str">
        <x:v>WATCH</x:v>
      </x:c>
      <x:c r="Z353" s="12" t="str">
        <x:v>Family + verified grassroots + straight-line geo only; transport not yet routed</x:v>
      </x:c>
      <x:c r="AA353" s="12"/>
      <x:c r="AB353" s="12"/>
      <x:c r="AC353" s="12"/>
      <x:c r="AD353" s="12"/>
      <x:c r="AE353" t="str">
        <x:v>Crystal Palace Women</x:v>
      </x:c>
      <x:c r="AF353" s="45" t="n">
        <x:v>7.669953821472235</x:v>
      </x:c>
      <x:c r="AG353" t="str">
        <x:v>Dulwich Hamlet Women</x:v>
      </x:c>
      <x:c r="AH353" s="45" t="n">
        <x:v>13.799300432489384</x:v>
      </x:c>
      <x:c r="AI353" t="n">
        <x:v>65</x:v>
      </x:c>
      <x:c r="AJ353" t="str">
        <x:v>MEDIUM</x:v>
      </x:c>
    </x:row>
    <x:row r="354">
      <x:c r="A354" s="12" t="str">
        <x:v>E01001078</x:v>
      </x:c>
      <x:c r="B354" s="12" t="str">
        <x:v>Croydon 032D</x:v>
      </x:c>
      <x:c r="C354" s="12" t="str">
        <x:v>Croydon</x:v>
      </x:c>
      <x:c r="D354" s="44" t="n">
        <x:v>51.34225216728767</x:v>
      </x:c>
      <x:c r="E354" s="44" t="n">
        <x:v>-0.019397196927947793</x:v>
      </x:c>
      <x:c r="F354" s="33" t="n">
        <x:v>513</x:v>
      </x:c>
      <x:c r="G354" s="33" t="n">
        <x:v>192</x:v>
      </x:c>
      <x:c r="H354" s="26" t="n">
        <x:v>0.3742690058479532</x:v>
      </x:c>
      <x:c r="I354" s="12" t="n">
        <x:v>1</x:v>
      </x:c>
      <x:c r="J354" s="12" t="n">
        <x:v>47</x:v>
      </x:c>
      <x:c r="K354" s="12"/>
      <x:c r="L354" s="12"/>
      <x:c r="M354" s="12" t="str">
        <x:f>IF(K354="", "", MAX(0,IF(K354&lt;=20,100,IF(K354&lt;=30,85,IF(K354&lt;=40,70,IF(K354&lt;=50,55,IF(K354&lt;=60,40,20)))))-MIN(L354*5,20)))</x:f>
      </x:c>
      <x:c r="N354" s="12"/>
      <x:c r="O354" s="12"/>
      <x:c r="P354" s="12" t="str">
        <x:f>IF(OR(H354="",J354="",M354=""),"",ROUND(PERCENTRANK.INC($H$2:$H$941,H354)*35+J354*0.35+M354*0.30,0))</x:f>
      </x:c>
      <x:c r="Q354" s="12" t="str">
        <x:f>IF(P354="","",IF(P354&gt;=80,"ATTACK",IF(P354&gt;=65,"GROW",IF(P354&gt;=50,"PARTNER","WATCH"))))</x:f>
      </x:c>
      <x:c r="R354" s="12" t="str">
        <x:f>IF(Q354="","",IF(Q354="ATTACK","Grassroots + family acquisition",IF(Q354="GROW","Test local campaign",IF(Q354="PARTNER","Organisation-first partnership","Low priority / validate"))))</x:f>
      </x:c>
      <x:c r="S354" s="45" t="n">
        <x:v>5.999915715635861</x:v>
      </x:c>
      <x:c r="T354" t="str">
        <x:v>NEAR</x:v>
      </x:c>
      <x:c r="U354" s="32" t="n">
        <x:f>PERCENTRANK.INC($G$2:$G$941,G354)</x:f>
        <x:v>0.325</x:v>
      </x:c>
      <x:c r="V354" s="32" t="n">
        <x:f>PERCENTRANK.INC($H$2:$H$941,H354)</x:f>
        <x:v>0.813</x:v>
      </x:c>
      <x:c r="W354" t="n">
        <x:f>ROUND((U354*55+V354*45)*IF(S354&lt;=5,1,IF(S354&lt;=10,0.95,IF(S354&lt;=20,0.85,0.70))),0)</x:f>
        <x:v>52</x:v>
      </x:c>
      <x:c r="X354" t="n">
        <x:v>50</x:v>
      </x:c>
      <x:c r="Y354" t="str">
        <x:v>PARTNER</x:v>
      </x:c>
      <x:c r="Z354" s="12" t="str">
        <x:v>Family + verified grassroots + straight-line geo only; transport not yet routed</x:v>
      </x:c>
      <x:c r="AA354" s="12"/>
      <x:c r="AB354" s="12"/>
      <x:c r="AC354" s="12"/>
      <x:c r="AD354" s="12"/>
      <x:c r="AE354" t="str">
        <x:v>Crystal Palace Women</x:v>
      </x:c>
      <x:c r="AF354" s="45" t="n">
        <x:v>7.723133564160642</x:v>
      </x:c>
      <x:c r="AG354" t="str">
        <x:v>Dulwich Hamlet Women</x:v>
      </x:c>
      <x:c r="AH354" s="45" t="n">
        <x:v>13.977206197894214</x:v>
      </x:c>
      <x:c r="AI354" t="n">
        <x:v>65</x:v>
      </x:c>
      <x:c r="AJ354" t="str">
        <x:v>MEDIUM</x:v>
      </x:c>
    </x:row>
    <x:row r="355">
      <x:c r="A355" s="12" t="str">
        <x:v>E01001082</x:v>
      </x:c>
      <x:c r="B355" s="12" t="str">
        <x:v>Croydon 032E</x:v>
      </x:c>
      <x:c r="C355" s="12" t="str">
        <x:v>Croydon</x:v>
      </x:c>
      <x:c r="D355" s="44" t="n">
        <x:v>51.345523202887826</x:v>
      </x:c>
      <x:c r="E355" s="44" t="n">
        <x:v>-0.009017434685906423</x:v>
      </x:c>
      <x:c r="F355" s="33" t="n">
        <x:v>523</x:v>
      </x:c>
      <x:c r="G355" s="33" t="n">
        <x:v>211</x:v>
      </x:c>
      <x:c r="H355" s="26" t="n">
        <x:v>0.40344168260038243</x:v>
      </x:c>
      <x:c r="I355" s="12" t="n">
        <x:v>1</x:v>
      </x:c>
      <x:c r="J355" s="12" t="n">
        <x:v>47</x:v>
      </x:c>
      <x:c r="K355" s="12"/>
      <x:c r="L355" s="12"/>
      <x:c r="M355" s="12" t="str">
        <x:f>IF(K355="", "", MAX(0,IF(K355&lt;=20,100,IF(K355&lt;=30,85,IF(K355&lt;=40,70,IF(K355&lt;=50,55,IF(K355&lt;=60,40,20)))))-MIN(L355*5,20)))</x:f>
      </x:c>
      <x:c r="N355" s="12"/>
      <x:c r="O355" s="12"/>
      <x:c r="P355" s="12" t="str">
        <x:f>IF(OR(H355="",J355="",M355=""),"",ROUND(PERCENTRANK.INC($H$2:$H$941,H355)*35+J355*0.35+M355*0.30,0))</x:f>
      </x:c>
      <x:c r="Q355" s="12" t="str">
        <x:f>IF(P355="","",IF(P355&gt;=80,"ATTACK",IF(P355&gt;=65,"GROW",IF(P355&gt;=50,"PARTNER","WATCH"))))</x:f>
      </x:c>
      <x:c r="R355" s="12" t="str">
        <x:f>IF(Q355="","",IF(Q355="ATTACK","Grassroots + family acquisition",IF(Q355="GROW","Test local campaign",IF(Q355="PARTNER","Organisation-first partnership","Low priority / validate"))))</x:f>
      </x:c>
      <x:c r="S355" s="45" t="n">
        <x:v>5.384776804344603</x:v>
      </x:c>
      <x:c r="T355" t="str">
        <x:v>NEAR</x:v>
      </x:c>
      <x:c r="U355" s="32" t="n">
        <x:f>PERCENTRANK.INC($G$2:$G$941,G355)</x:f>
        <x:v>0.482</x:v>
      </x:c>
      <x:c r="V355" s="32" t="n">
        <x:f>PERCENTRANK.INC($H$2:$H$941,H355)</x:f>
        <x:v>0.917</x:v>
      </x:c>
      <x:c r="W355" t="n">
        <x:f>ROUND((U355*55+V355*45)*IF(S355&lt;=5,1,IF(S355&lt;=10,0.95,IF(S355&lt;=20,0.85,0.70))),0)</x:f>
        <x:v>64</x:v>
      </x:c>
      <x:c r="X355" t="n">
        <x:v>57</x:v>
      </x:c>
      <x:c r="Y355" t="str">
        <x:v>PARTNER</x:v>
      </x:c>
      <x:c r="Z355" s="12" t="str">
        <x:v>Family + verified grassroots + straight-line geo only; transport not yet routed</x:v>
      </x:c>
      <x:c r="AA355" s="12"/>
      <x:c r="AB355" s="12"/>
      <x:c r="AC355" s="12"/>
      <x:c r="AD355" s="12"/>
      <x:c r="AE355" t="str">
        <x:v>Crystal Palace Women</x:v>
      </x:c>
      <x:c r="AF355" s="45" t="n">
        <x:v>7.895687235177772</x:v>
      </x:c>
      <x:c r="AG355" t="str">
        <x:v>Dulwich Hamlet Women</x:v>
      </x:c>
      <x:c r="AH355" s="45" t="n">
        <x:v>13.886380845838593</x:v>
      </x:c>
      <x:c r="AI355" t="n">
        <x:v>65</x:v>
      </x:c>
      <x:c r="AJ355" t="str">
        <x:v>MEDIUM</x:v>
      </x:c>
    </x:row>
    <x:row r="356">
      <x:c r="A356" s="12" t="str">
        <x:v>E01001120</x:v>
      </x:c>
      <x:c r="B356" s="12" t="str">
        <x:v>Croydon 033A</x:v>
      </x:c>
      <x:c r="C356" s="12" t="str">
        <x:v>Croydon</x:v>
      </x:c>
      <x:c r="D356" s="44" t="n">
        <x:v>51.34397330332064</x:v>
      </x:c>
      <x:c r="E356" s="44" t="n">
        <x:v>-0.05786782265836791</x:v>
      </x:c>
      <x:c r="F356" s="33" t="n">
        <x:v>507</x:v>
      </x:c>
      <x:c r="G356" s="33" t="n">
        <x:v>168</x:v>
      </x:c>
      <x:c r="H356" s="26" t="n">
        <x:v>0.33136094674556216</x:v>
      </x:c>
      <x:c r="I356" s="12" t="n">
        <x:v>2</x:v>
      </x:c>
      <x:c r="J356" s="12" t="n">
        <x:v>47</x:v>
      </x:c>
      <x:c r="K356" s="12"/>
      <x:c r="L356" s="12"/>
      <x:c r="M356" s="12" t="str">
        <x:f>IF(K356="", "", MAX(0,IF(K356&lt;=20,100,IF(K356&lt;=30,85,IF(K356&lt;=40,70,IF(K356&lt;=50,55,IF(K356&lt;=60,40,20)))))-MIN(L356*5,20)))</x:f>
      </x:c>
      <x:c r="N356" s="12"/>
      <x:c r="O356" s="12"/>
      <x:c r="P356" s="12" t="str">
        <x:f>IF(OR(H356="",J356="",M356=""),"",ROUND(PERCENTRANK.INC($H$2:$H$941,H356)*35+J356*0.35+M356*0.30,0))</x:f>
      </x:c>
      <x:c r="Q356" s="12" t="str">
        <x:f>IF(P356="","",IF(P356&gt;=80,"ATTACK",IF(P356&gt;=65,"GROW",IF(P356&gt;=50,"PARTNER","WATCH"))))</x:f>
      </x:c>
      <x:c r="R356" s="12" t="str">
        <x:f>IF(Q356="","",IF(Q356="ATTACK","Grassroots + family acquisition",IF(Q356="GROW","Test local campaign",IF(Q356="PARTNER","Organisation-first partnership","Low priority / validate"))))</x:f>
      </x:c>
      <x:c r="S356" s="45" t="n">
        <x:v>7.4063160914120285</x:v>
      </x:c>
      <x:c r="T356" t="str">
        <x:v>NEAR</x:v>
      </x:c>
      <x:c r="U356" s="32" t="n">
        <x:f>PERCENTRANK.INC($G$2:$G$941,G356)</x:f>
        <x:v>0.166</x:v>
      </x:c>
      <x:c r="V356" s="32" t="n">
        <x:f>PERCENTRANK.INC($H$2:$H$941,H356)</x:f>
        <x:v>0.577</x:v>
      </x:c>
      <x:c r="W356" t="n">
        <x:f>ROUND((U356*55+V356*45)*IF(S356&lt;=5,1,IF(S356&lt;=10,0.95,IF(S356&lt;=20,0.85,0.70))),0)</x:f>
        <x:v>33</x:v>
      </x:c>
      <x:c r="X356" t="n">
        <x:v>40</x:v>
      </x:c>
      <x:c r="Y356" t="str">
        <x:v>WATCH</x:v>
      </x:c>
      <x:c r="Z356" s="12" t="str">
        <x:v>Family + verified grassroots + straight-line geo only; transport not yet routed</x:v>
      </x:c>
      <x:c r="AA356" s="12"/>
      <x:c r="AB356" s="12"/>
      <x:c r="AC356" s="12"/>
      <x:c r="AD356" s="12"/>
      <x:c r="AE356" t="str">
        <x:v>Crystal Palace Women</x:v>
      </x:c>
      <x:c r="AF356" s="45" t="n">
        <x:v>6.328641793985432</x:v>
      </x:c>
      <x:c r="AG356" t="str">
        <x:v>Dulwich Hamlet Women</x:v>
      </x:c>
      <x:c r="AH356" s="45" t="n">
        <x:v>13.173500325057626</x:v>
      </x:c>
      <x:c r="AI356" t="n">
        <x:v>65</x:v>
      </x:c>
      <x:c r="AJ356" t="str">
        <x:v>MEDIUM</x:v>
      </x:c>
    </x:row>
    <x:row r="357">
      <x:c r="A357" s="12" t="str">
        <x:v>E01001122</x:v>
      </x:c>
      <x:c r="B357" s="12" t="str">
        <x:v>Croydon 033B</x:v>
      </x:c>
      <x:c r="C357" s="12" t="str">
        <x:v>Croydon</x:v>
      </x:c>
      <x:c r="D357" s="44" t="n">
        <x:v>51.35446261689568</x:v>
      </x:c>
      <x:c r="E357" s="44" t="n">
        <x:v>-0.06788250373635947</x:v>
      </x:c>
      <x:c r="F357" s="33" t="n">
        <x:v>458</x:v>
      </x:c>
      <x:c r="G357" s="33" t="n">
        <x:v>135</x:v>
      </x:c>
      <x:c r="H357" s="26" t="n">
        <x:v>0.29475982532751094</x:v>
      </x:c>
      <x:c r="I357" s="12" t="n">
        <x:v>3</x:v>
      </x:c>
      <x:c r="J357" s="12" t="n">
        <x:v>69</x:v>
      </x:c>
      <x:c r="K357" s="12"/>
      <x:c r="L357" s="12"/>
      <x:c r="M357" s="12" t="str">
        <x:f>IF(K357="", "", MAX(0,IF(K357&lt;=20,100,IF(K357&lt;=30,85,IF(K357&lt;=40,70,IF(K357&lt;=50,55,IF(K357&lt;=60,40,20)))))-MIN(L357*5,20)))</x:f>
      </x:c>
      <x:c r="N357" s="12"/>
      <x:c r="O357" s="12"/>
      <x:c r="P357" s="12" t="str">
        <x:f>IF(OR(H357="",J357="",M357=""),"",ROUND(PERCENTRANK.INC($H$2:$H$941,H357)*35+J357*0.35+M357*0.30,0))</x:f>
      </x:c>
      <x:c r="Q357" s="12" t="str">
        <x:f>IF(P357="","",IF(P357&gt;=80,"ATTACK",IF(P357&gt;=65,"GROW",IF(P357&gt;=50,"PARTNER","WATCH"))))</x:f>
      </x:c>
      <x:c r="R357" s="12" t="str">
        <x:f>IF(Q357="","",IF(Q357="ATTACK","Grassroots + family acquisition",IF(Q357="GROW","Test local campaign",IF(Q357="PARTNER","Organisation-first partnership","Low priority / validate"))))</x:f>
      </x:c>
      <x:c r="S357" s="45" t="n">
        <x:v>7.1965724472795465</x:v>
      </x:c>
      <x:c r="T357" t="str">
        <x:v>NEAR</x:v>
      </x:c>
      <x:c r="U357" s="32" t="n">
        <x:f>PERCENTRANK.INC($G$2:$G$941,G357)</x:f>
        <x:v>0.06</x:v>
      </x:c>
      <x:c r="V357" s="32" t="n">
        <x:f>PERCENTRANK.INC($H$2:$H$941,H357)</x:f>
        <x:v>0.367</x:v>
      </x:c>
      <x:c r="W357" t="n">
        <x:f>ROUND((U357*55+V357*45)*IF(S357&lt;=5,1,IF(S357&lt;=10,0.95,IF(S357&lt;=20,0.85,0.70))),0)</x:f>
        <x:v>19</x:v>
      </x:c>
      <x:c r="X357" t="n">
        <x:v>41</x:v>
      </x:c>
      <x:c r="Y357" t="str">
        <x:v>WATCH</x:v>
      </x:c>
      <x:c r="Z357" s="12" t="str">
        <x:v>Family + verified grassroots + straight-line geo only; transport not yet routed</x:v>
      </x:c>
      <x:c r="AA357" s="12"/>
      <x:c r="AB357" s="12"/>
      <x:c r="AC357" s="12"/>
      <x:c r="AD357" s="12"/>
      <x:c r="AE357" t="str">
        <x:v>Crystal Palace Women</x:v>
      </x:c>
      <x:c r="AF357" s="45" t="n">
        <x:v>5.01751951669006</x:v>
      </x:c>
      <x:c r="AG357" t="str">
        <x:v>AFC Wimbledon Women</x:v>
      </x:c>
      <x:c r="AH357" s="45" t="n">
        <x:v>11.875942951434734</x:v>
      </x:c>
      <x:c r="AI357" t="n">
        <x:v>76</x:v>
      </x:c>
      <x:c r="AJ357" t="str">
        <x:v>HIGH</x:v>
      </x:c>
    </x:row>
    <x:row r="358">
      <x:c r="A358" s="12" t="str">
        <x:v>E01001123</x:v>
      </x:c>
      <x:c r="B358" s="12" t="str">
        <x:v>Croydon 033C</x:v>
      </x:c>
      <x:c r="C358" s="12" t="str">
        <x:v>Croydon</x:v>
      </x:c>
      <x:c r="D358" s="44" t="n">
        <x:v>51.35184887557947</x:v>
      </x:c>
      <x:c r="E358" s="44" t="n">
        <x:v>-0.062200502296553266</x:v>
      </x:c>
      <x:c r="F358" s="33" t="n">
        <x:v>608</x:v>
      </x:c>
      <x:c r="G358" s="33" t="n">
        <x:v>195</x:v>
      </x:c>
      <x:c r="H358" s="26" t="n">
        <x:v>0.3207236842105263</x:v>
      </x:c>
      <x:c r="I358" s="12" t="n">
        <x:v>3</x:v>
      </x:c>
      <x:c r="J358" s="12" t="n">
        <x:v>54</x:v>
      </x:c>
      <x:c r="K358" s="12"/>
      <x:c r="L358" s="12"/>
      <x:c r="M358" s="12" t="str">
        <x:f>IF(K358="", "", MAX(0,IF(K358&lt;=20,100,IF(K358&lt;=30,85,IF(K358&lt;=40,70,IF(K358&lt;=50,55,IF(K358&lt;=60,40,20)))))-MIN(L358*5,20)))</x:f>
      </x:c>
      <x:c r="N358" s="12"/>
      <x:c r="O358" s="12"/>
      <x:c r="P358" s="12" t="str">
        <x:f>IF(OR(H358="",J358="",M358=""),"",ROUND(PERCENTRANK.INC($H$2:$H$941,H358)*35+J358*0.35+M358*0.30,0))</x:f>
      </x:c>
      <x:c r="Q358" s="12" t="str">
        <x:f>IF(P358="","",IF(P358&gt;=80,"ATTACK",IF(P358&gt;=65,"GROW",IF(P358&gt;=50,"PARTNER","WATCH"))))</x:f>
      </x:c>
      <x:c r="R358" s="12" t="str">
        <x:f>IF(Q358="","",IF(Q358="ATTACK","Grassroots + family acquisition",IF(Q358="GROW","Test local campaign",IF(Q358="PARTNER","Organisation-first partnership","Low priority / validate"))))</x:f>
      </x:c>
      <x:c r="S358" s="45" t="n">
        <x:v>7.050275270500478</x:v>
      </x:c>
      <x:c r="T358" t="str">
        <x:v>NEAR</x:v>
      </x:c>
      <x:c r="U358" s="32" t="n">
        <x:f>PERCENTRANK.INC($G$2:$G$941,G358)</x:f>
        <x:v>0.349</x:v>
      </x:c>
      <x:c r="V358" s="32" t="n">
        <x:f>PERCENTRANK.INC($H$2:$H$941,H358)</x:f>
        <x:v>0.516</x:v>
      </x:c>
      <x:c r="W358" t="n">
        <x:f>ROUND((U358*55+V358*45)*IF(S358&lt;=5,1,IF(S358&lt;=10,0.95,IF(S358&lt;=20,0.85,0.70))),0)</x:f>
        <x:v>40</x:v>
      </x:c>
      <x:c r="X358" t="n">
        <x:v>47</x:v>
      </x:c>
      <x:c r="Y358" t="str">
        <x:v>WATCH</x:v>
      </x:c>
      <x:c r="Z358" s="12" t="str">
        <x:v>Family + verified grassroots + straight-line geo only; transport not yet routed</x:v>
      </x:c>
      <x:c r="AA358" s="12"/>
      <x:c r="AB358" s="12"/>
      <x:c r="AC358" s="12"/>
      <x:c r="AD358" s="12"/>
      <x:c r="AE358" t="str">
        <x:v>Crystal Palace Women</x:v>
      </x:c>
      <x:c r="AF358" s="45" t="n">
        <x:v>5.40306265080434</x:v>
      </x:c>
      <x:c r="AG358" t="str">
        <x:v>Dulwich Hamlet Women</x:v>
      </x:c>
      <x:c r="AH358" s="45" t="n">
        <x:v>12.26603281642174</x:v>
      </x:c>
      <x:c r="AI358" t="n">
        <x:v>76</x:v>
      </x:c>
      <x:c r="AJ358" t="str">
        <x:v>HIGH</x:v>
      </x:c>
    </x:row>
    <x:row r="359">
      <x:c r="A359" s="12" t="str">
        <x:v>E01001124</x:v>
      </x:c>
      <x:c r="B359" s="12" t="str">
        <x:v>Croydon 033D</x:v>
      </x:c>
      <x:c r="C359" s="12" t="str">
        <x:v>Croydon</x:v>
      </x:c>
      <x:c r="D359" s="44" t="n">
        <x:v>51.34455079660696</x:v>
      </x:c>
      <x:c r="E359" s="44" t="n">
        <x:v>-0.07358686963706332</x:v>
      </x:c>
      <x:c r="F359" s="33" t="n">
        <x:v>604</x:v>
      </x:c>
      <x:c r="G359" s="33" t="n">
        <x:v>161</x:v>
      </x:c>
      <x:c r="H359" s="26" t="n">
        <x:v>0.26655629139072845</x:v>
      </x:c>
      <x:c r="I359" s="12" t="n">
        <x:v>3</x:v>
      </x:c>
      <x:c r="J359" s="12" t="n">
        <x:v>53</x:v>
      </x:c>
      <x:c r="K359" s="12"/>
      <x:c r="L359" s="12"/>
      <x:c r="M359" s="12" t="str">
        <x:f>IF(K359="", "", MAX(0,IF(K359&lt;=20,100,IF(K359&lt;=30,85,IF(K359&lt;=40,70,IF(K359&lt;=50,55,IF(K359&lt;=60,40,20)))))-MIN(L359*5,20)))</x:f>
      </x:c>
      <x:c r="N359" s="12"/>
      <x:c r="O359" s="12"/>
      <x:c r="P359" s="12" t="str">
        <x:f>IF(OR(H359="",J359="",M359=""),"",ROUND(PERCENTRANK.INC($H$2:$H$941,H359)*35+J359*0.35+M359*0.30,0))</x:f>
      </x:c>
      <x:c r="Q359" s="12" t="str">
        <x:f>IF(P359="","",IF(P359&gt;=80,"ATTACK",IF(P359&gt;=65,"GROW",IF(P359&gt;=50,"PARTNER","WATCH"))))</x:f>
      </x:c>
      <x:c r="R359" s="12" t="str">
        <x:f>IF(Q359="","",IF(Q359="ATTACK","Grassroots + family acquisition",IF(Q359="GROW","Test local campaign",IF(Q359="PARTNER","Organisation-first partnership","Low priority / validate"))))</x:f>
      </x:c>
      <x:c r="S359" s="45" t="n">
        <x:v>8.174809997078421</x:v>
      </x:c>
      <x:c r="T359" t="str">
        <x:v>NEAR</x:v>
      </x:c>
      <x:c r="U359" s="32" t="n">
        <x:f>PERCENTRANK.INC($G$2:$G$941,G359)</x:f>
        <x:v>0.129</x:v>
      </x:c>
      <x:c r="V359" s="32" t="n">
        <x:f>PERCENTRANK.INC($H$2:$H$941,H359)</x:f>
        <x:v>0.247</x:v>
      </x:c>
      <x:c r="W359" t="n">
        <x:f>ROUND((U359*55+V359*45)*IF(S359&lt;=5,1,IF(S359&lt;=10,0.95,IF(S359&lt;=20,0.85,0.70))),0)</x:f>
        <x:v>17</x:v>
      </x:c>
      <x:c r="X359" t="n">
        <x:v>33</x:v>
      </x:c>
      <x:c r="Y359" t="str">
        <x:v>WATCH</x:v>
      </x:c>
      <x:c r="Z359" s="12" t="str">
        <x:v>Family + verified grassroots + straight-line geo only; transport not yet routed</x:v>
      </x:c>
      <x:c r="AA359" s="12"/>
      <x:c r="AB359" s="12"/>
      <x:c r="AC359" s="12"/>
      <x:c r="AD359" s="12"/>
      <x:c r="AE359" t="str">
        <x:v>Crystal Palace Women</x:v>
      </x:c>
      <x:c r="AF359" s="45" t="n">
        <x:v>6.028100714140266</x:v>
      </x:c>
      <x:c r="AG359" t="str">
        <x:v>AFC Wimbledon Women</x:v>
      </x:c>
      <x:c r="AH359" s="45" t="n">
        <x:v>12.438244188657029</x:v>
      </x:c>
      <x:c r="AI359" t="n">
        <x:v>65</x:v>
      </x:c>
      <x:c r="AJ359" t="str">
        <x:v>MEDIUM</x:v>
      </x:c>
    </x:row>
    <x:row r="360">
      <x:c r="A360" s="12" t="str">
        <x:v>E01001125</x:v>
      </x:c>
      <x:c r="B360" s="12" t="str">
        <x:v>Croydon 033E</x:v>
      </x:c>
      <x:c r="C360" s="12" t="str">
        <x:v>Croydon</x:v>
      </x:c>
      <x:c r="D360" s="44" t="n">
        <x:v>51.34409625174174</x:v>
      </x:c>
      <x:c r="E360" s="44" t="n">
        <x:v>-0.06343692241791825</x:v>
      </x:c>
      <x:c r="F360" s="33" t="n">
        <x:v>606</x:v>
      </x:c>
      <x:c r="G360" s="33" t="n">
        <x:v>204</x:v>
      </x:c>
      <x:c r="H360" s="26" t="n">
        <x:v>0.33663366336633666</x:v>
      </x:c>
      <x:c r="I360" s="12" t="n">
        <x:v>2</x:v>
      </x:c>
      <x:c r="J360" s="12" t="n">
        <x:v>47</x:v>
      </x:c>
      <x:c r="K360" s="12"/>
      <x:c r="L360" s="12"/>
      <x:c r="M360" s="12" t="str">
        <x:f>IF(K360="", "", MAX(0,IF(K360&lt;=20,100,IF(K360&lt;=30,85,IF(K360&lt;=40,70,IF(K360&lt;=50,55,IF(K360&lt;=60,40,20)))))-MIN(L360*5,20)))</x:f>
      </x:c>
      <x:c r="N360" s="12"/>
      <x:c r="O360" s="12"/>
      <x:c r="P360" s="12" t="str">
        <x:f>IF(OR(H360="",J360="",M360=""),"",ROUND(PERCENTRANK.INC($H$2:$H$941,H360)*35+J360*0.35+M360*0.30,0))</x:f>
      </x:c>
      <x:c r="Q360" s="12" t="str">
        <x:f>IF(P360="","",IF(P360&gt;=80,"ATTACK",IF(P360&gt;=65,"GROW",IF(P360&gt;=50,"PARTNER","WATCH"))))</x:f>
      </x:c>
      <x:c r="R360" s="12" t="str">
        <x:f>IF(Q360="","",IF(Q360="ATTACK","Grassroots + family acquisition",IF(Q360="GROW","Test local campaign",IF(Q360="PARTNER","Organisation-first partnership","Low priority / validate"))))</x:f>
      </x:c>
      <x:c r="S360" s="45" t="n">
        <x:v>7.675747997037677</x:v>
      </x:c>
      <x:c r="T360" t="str">
        <x:v>NEAR</x:v>
      </x:c>
      <x:c r="U360" s="32" t="n">
        <x:f>PERCENTRANK.INC($G$2:$G$941,G360)</x:f>
        <x:v>0.421</x:v>
      </x:c>
      <x:c r="V360" s="32" t="n">
        <x:f>PERCENTRANK.INC($H$2:$H$941,H360)</x:f>
        <x:v>0.609</x:v>
      </x:c>
      <x:c r="W360" t="n">
        <x:f>ROUND((U360*55+V360*45)*IF(S360&lt;=5,1,IF(S360&lt;=10,0.95,IF(S360&lt;=20,0.85,0.70))),0)</x:f>
        <x:v>48</x:v>
      </x:c>
      <x:c r="X360" t="n">
        <x:v>48</x:v>
      </x:c>
      <x:c r="Y360" t="str">
        <x:v>WATCH</x:v>
      </x:c>
      <x:c r="Z360" s="12" t="str">
        <x:v>Family + verified grassroots + straight-line geo only; transport not yet routed</x:v>
      </x:c>
      <x:c r="AA360" s="12"/>
      <x:c r="AB360" s="12"/>
      <x:c r="AC360" s="12"/>
      <x:c r="AD360" s="12"/>
      <x:c r="AE360" t="str">
        <x:v>Crystal Palace Women</x:v>
      </x:c>
      <x:c r="AF360" s="45" t="n">
        <x:v>6.210634154020511</x:v>
      </x:c>
      <x:c r="AG360" t="str">
        <x:v>AFC Wimbledon Women</x:v>
      </x:c>
      <x:c r="AH360" s="45" t="n">
        <x:v>12.932699273197699</x:v>
      </x:c>
      <x:c r="AI360" t="n">
        <x:v>65</x:v>
      </x:c>
      <x:c r="AJ360" t="str">
        <x:v>MEDIUM</x:v>
      </x:c>
    </x:row>
    <x:row r="361">
      <x:c r="A361" s="12" t="str">
        <x:v>E01001058</x:v>
      </x:c>
      <x:c r="B361" s="12" t="str">
        <x:v>Croydon 034A</x:v>
      </x:c>
      <x:c r="C361" s="12" t="str">
        <x:v>Croydon</x:v>
      </x:c>
      <x:c r="D361" s="44" t="n">
        <x:v>51.3469123929846</x:v>
      </x:c>
      <x:c r="E361" s="44" t="n">
        <x:v>-0.03852608282894331</x:v>
      </x:c>
      <x:c r="F361" s="33" t="n">
        <x:v>528</x:v>
      </x:c>
      <x:c r="G361" s="33" t="n">
        <x:v>186</x:v>
      </x:c>
      <x:c r="H361" s="26" t="n">
        <x:v>0.3522727272727273</x:v>
      </x:c>
      <x:c r="I361" s="12" t="n">
        <x:v>2</x:v>
      </x:c>
      <x:c r="J361" s="12" t="n">
        <x:v>47</x:v>
      </x:c>
      <x:c r="K361" s="12"/>
      <x:c r="L361" s="12"/>
      <x:c r="M361" s="12" t="str">
        <x:f>IF(K361="", "", MAX(0,IF(K361&lt;=20,100,IF(K361&lt;=30,85,IF(K361&lt;=40,70,IF(K361&lt;=50,55,IF(K361&lt;=60,40,20)))))-MIN(L361*5,20)))</x:f>
      </x:c>
      <x:c r="N361" s="12"/>
      <x:c r="O361" s="12"/>
      <x:c r="P361" s="12" t="str">
        <x:f>IF(OR(H361="",J361="",M361=""),"",ROUND(PERCENTRANK.INC($H$2:$H$941,H361)*35+J361*0.35+M361*0.30,0))</x:f>
      </x:c>
      <x:c r="Q361" s="12" t="str">
        <x:f>IF(P361="","",IF(P361&gt;=80,"ATTACK",IF(P361&gt;=65,"GROW",IF(P361&gt;=50,"PARTNER","WATCH"))))</x:f>
      </x:c>
      <x:c r="R361" s="12" t="str">
        <x:f>IF(Q361="","",IF(Q361="ATTACK","Grassroots + family acquisition",IF(Q361="GROW","Test local campaign",IF(Q361="PARTNER","Organisation-first partnership","Low priority / validate"))))</x:f>
      </x:c>
      <x:c r="S361" s="45" t="n">
        <x:v>6.265428821102612</x:v>
      </x:c>
      <x:c r="T361" t="str">
        <x:v>NEAR</x:v>
      </x:c>
      <x:c r="U361" s="32" t="n">
        <x:f>PERCENTRANK.INC($G$2:$G$941,G361)</x:f>
        <x:v>0.277</x:v>
      </x:c>
      <x:c r="V361" s="32" t="n">
        <x:f>PERCENTRANK.INC($H$2:$H$941,H361)</x:f>
        <x:v>0.698</x:v>
      </x:c>
      <x:c r="W361" t="n">
        <x:f>ROUND((U361*55+V361*45)*IF(S361&lt;=5,1,IF(S361&lt;=10,0.95,IF(S361&lt;=20,0.85,0.70))),0)</x:f>
        <x:v>44</x:v>
      </x:c>
      <x:c r="X361" t="n">
        <x:v>46</x:v>
      </x:c>
      <x:c r="Y361" t="str">
        <x:v>WATCH</x:v>
      </x:c>
      <x:c r="Z361" s="12" t="str">
        <x:v>Family + verified grassroots + straight-line geo only; transport not yet routed</x:v>
      </x:c>
      <x:c r="AA361" s="12"/>
      <x:c r="AB361" s="12"/>
      <x:c r="AC361" s="12"/>
      <x:c r="AD361" s="12"/>
      <x:c r="AE361" t="str">
        <x:v>Crystal Palace Women</x:v>
      </x:c>
      <x:c r="AF361" s="45" t="n">
        <x:v>6.56497446521428</x:v>
      </x:c>
      <x:c r="AG361" t="str">
        <x:v>Dulwich Hamlet Women</x:v>
      </x:c>
      <x:c r="AH361" s="45" t="n">
        <x:v>13.106460600161535</x:v>
      </x:c>
      <x:c r="AI361" t="n">
        <x:v>65</x:v>
      </x:c>
      <x:c r="AJ361" t="str">
        <x:v>MEDIUM</x:v>
      </x:c>
    </x:row>
    <x:row r="362">
      <x:c r="A362" s="12" t="str">
        <x:v>E01001059</x:v>
      </x:c>
      <x:c r="B362" s="12" t="str">
        <x:v>Croydon 034B</x:v>
      </x:c>
      <x:c r="C362" s="12" t="str">
        <x:v>Croydon</x:v>
      </x:c>
      <x:c r="D362" s="44" t="n">
        <x:v>51.345873903684755</x:v>
      </x:c>
      <x:c r="E362" s="44" t="n">
        <x:v>-0.04445090533691696</x:v>
      </x:c>
      <x:c r="F362" s="33" t="n">
        <x:v>667</x:v>
      </x:c>
      <x:c r="G362" s="33" t="n">
        <x:v>201</x:v>
      </x:c>
      <x:c r="H362" s="26" t="n">
        <x:v>0.30134932533733133</x:v>
      </x:c>
      <x:c r="I362" s="12" t="n">
        <x:v>2</x:v>
      </x:c>
      <x:c r="J362" s="12" t="n">
        <x:v>47</x:v>
      </x:c>
      <x:c r="K362" s="12"/>
      <x:c r="L362" s="12"/>
      <x:c r="M362" s="12" t="str">
        <x:f>IF(K362="", "", MAX(0,IF(K362&lt;=20,100,IF(K362&lt;=30,85,IF(K362&lt;=40,70,IF(K362&lt;=50,55,IF(K362&lt;=60,40,20)))))-MIN(L362*5,20)))</x:f>
      </x:c>
      <x:c r="N362" s="12"/>
      <x:c r="O362" s="12"/>
      <x:c r="P362" s="12" t="str">
        <x:f>IF(OR(H362="",J362="",M362=""),"",ROUND(PERCENTRANK.INC($H$2:$H$941,H362)*35+J362*0.35+M362*0.30,0))</x:f>
      </x:c>
      <x:c r="Q362" s="12" t="str">
        <x:f>IF(P362="","",IF(P362&gt;=80,"ATTACK",IF(P362&gt;=65,"GROW",IF(P362&gt;=50,"PARTNER","WATCH"))))</x:f>
      </x:c>
      <x:c r="R362" s="12" t="str">
        <x:f>IF(Q362="","",IF(Q362="ATTACK","Grassroots + family acquisition",IF(Q362="GROW","Test local campaign",IF(Q362="PARTNER","Organisation-first partnership","Low priority / validate"))))</x:f>
      </x:c>
      <x:c r="S362" s="45" t="n">
        <x:v>6.616767430341434</x:v>
      </x:c>
      <x:c r="T362" t="str">
        <x:v>NEAR</x:v>
      </x:c>
      <x:c r="U362" s="32" t="n">
        <x:f>PERCENTRANK.INC($G$2:$G$941,G362)</x:f>
        <x:v>0.396</x:v>
      </x:c>
      <x:c r="V362" s="32" t="n">
        <x:f>PERCENTRANK.INC($H$2:$H$941,H362)</x:f>
        <x:v>0.401</x:v>
      </x:c>
      <x:c r="W362" t="n">
        <x:f>ROUND((U362*55+V362*45)*IF(S362&lt;=5,1,IF(S362&lt;=10,0.95,IF(S362&lt;=20,0.85,0.70))),0)</x:f>
        <x:v>38</x:v>
      </x:c>
      <x:c r="X362" t="n">
        <x:v>42</x:v>
      </x:c>
      <x:c r="Y362" t="str">
        <x:v>WATCH</x:v>
      </x:c>
      <x:c r="Z362" s="12" t="str">
        <x:v>Family + verified grassroots + straight-line geo only; transport not yet routed</x:v>
      </x:c>
      <x:c r="AA362" s="12"/>
      <x:c r="AB362" s="12"/>
      <x:c r="AC362" s="12"/>
      <x:c r="AD362" s="12"/>
      <x:c r="AE362" t="str">
        <x:v>Crystal Palace Women</x:v>
      </x:c>
      <x:c r="AF362" s="45" t="n">
        <x:v>6.476009318370614</x:v>
      </x:c>
      <x:c r="AG362" t="str">
        <x:v>Dulwich Hamlet Women</x:v>
      </x:c>
      <x:c r="AH362" s="45" t="n">
        <x:v>13.12661983964443</x:v>
      </x:c>
      <x:c r="AI362" t="n">
        <x:v>65</x:v>
      </x:c>
      <x:c r="AJ362" t="str">
        <x:v>MEDIUM</x:v>
      </x:c>
    </x:row>
    <x:row r="363">
      <x:c r="A363" s="12" t="str">
        <x:v>E01001060</x:v>
      </x:c>
      <x:c r="B363" s="12" t="str">
        <x:v>Croydon 034C</x:v>
      </x:c>
      <x:c r="C363" s="12" t="str">
        <x:v>Croydon</x:v>
      </x:c>
      <x:c r="D363" s="44" t="n">
        <x:v>51.34254699159871</x:v>
      </x:c>
      <x:c r="E363" s="44" t="n">
        <x:v>-0.03664511956339587</x:v>
      </x:c>
      <x:c r="F363" s="33" t="n">
        <x:v>644</x:v>
      </x:c>
      <x:c r="G363" s="33" t="n">
        <x:v>226</x:v>
      </x:c>
      <x:c r="H363" s="26" t="n">
        <x:v>0.35093167701863354</x:v>
      </x:c>
      <x:c r="I363" s="12" t="n">
        <x:v>0</x:v>
      </x:c>
      <x:c r="J363" s="12" t="n">
        <x:v>31</x:v>
      </x:c>
      <x:c r="K363" s="12"/>
      <x:c r="L363" s="12"/>
      <x:c r="M363" s="12" t="str">
        <x:f>IF(K363="", "", MAX(0,IF(K363&lt;=20,100,IF(K363&lt;=30,85,IF(K363&lt;=40,70,IF(K363&lt;=50,55,IF(K363&lt;=60,40,20)))))-MIN(L363*5,20)))</x:f>
      </x:c>
      <x:c r="N363" s="12"/>
      <x:c r="O363" s="12"/>
      <x:c r="P363" s="12" t="str">
        <x:f>IF(OR(H363="",J363="",M363=""),"",ROUND(PERCENTRANK.INC($H$2:$H$941,H363)*35+J363*0.35+M363*0.30,0))</x:f>
      </x:c>
      <x:c r="Q363" s="12" t="str">
        <x:f>IF(P363="","",IF(P363&gt;=80,"ATTACK",IF(P363&gt;=65,"GROW",IF(P363&gt;=50,"PARTNER","WATCH"))))</x:f>
      </x:c>
      <x:c r="R363" s="12" t="str">
        <x:f>IF(Q363="","",IF(Q363="ATTACK","Grassroots + family acquisition",IF(Q363="GROW","Test local campaign",IF(Q363="PARTNER","Organisation-first partnership","Low priority / validate"))))</x:f>
      </x:c>
      <x:c r="S363" s="45" t="n">
        <x:v>6.576297437140047</x:v>
      </x:c>
      <x:c r="T363" t="str">
        <x:v>NEAR</x:v>
      </x:c>
      <x:c r="U363" s="32" t="n">
        <x:f>PERCENTRANK.INC($G$2:$G$941,G363)</x:f>
        <x:v>0.595</x:v>
      </x:c>
      <x:c r="V363" s="32" t="n">
        <x:f>PERCENTRANK.INC($H$2:$H$941,H363)</x:f>
        <x:v>0.694</x:v>
      </x:c>
      <x:c r="W363" t="n">
        <x:f>ROUND((U363*55+V363*45)*IF(S363&lt;=5,1,IF(S363&lt;=10,0.95,IF(S363&lt;=20,0.85,0.70))),0)</x:f>
        <x:v>61</x:v>
      </x:c>
      <x:c r="X363" t="n">
        <x:v>48</x:v>
      </x:c>
      <x:c r="Y363" t="str">
        <x:v>WATCH</x:v>
      </x:c>
      <x:c r="Z363" s="12" t="str">
        <x:v>Family + verified grassroots + straight-line geo only; transport not yet routed</x:v>
      </x:c>
      <x:c r="AA363" s="12"/>
      <x:c r="AB363" s="12"/>
      <x:c r="AC363" s="12"/>
      <x:c r="AD363" s="12"/>
      <x:c r="AE363" t="str">
        <x:v>Crystal Palace Women</x:v>
      </x:c>
      <x:c r="AF363" s="45" t="n">
        <x:v>7.052865762845348</x:v>
      </x:c>
      <x:c r="AG363" t="str">
        <x:v>Dulwich Hamlet Women</x:v>
      </x:c>
      <x:c r="AH363" s="45" t="n">
        <x:v>13.609045742944852</x:v>
      </x:c>
      <x:c r="AI363" t="n">
        <x:v>65</x:v>
      </x:c>
      <x:c r="AJ363" t="str">
        <x:v>MEDIUM</x:v>
      </x:c>
    </x:row>
    <x:row r="364">
      <x:c r="A364" s="12" t="str">
        <x:v>E01001061</x:v>
      </x:c>
      <x:c r="B364" s="12" t="str">
        <x:v>Croydon 034D</x:v>
      </x:c>
      <x:c r="C364" s="12" t="str">
        <x:v>Croydon</x:v>
      </x:c>
      <x:c r="D364" s="44" t="n">
        <x:v>51.34915426191061</x:v>
      </x:c>
      <x:c r="E364" s="44" t="n">
        <x:v>-0.04678585489732682</x:v>
      </x:c>
      <x:c r="F364" s="33" t="n">
        <x:v>653</x:v>
      </x:c>
      <x:c r="G364" s="33" t="n">
        <x:v>198</x:v>
      </x:c>
      <x:c r="H364" s="26" t="n">
        <x:v>0.30321592649310875</x:v>
      </x:c>
      <x:c r="I364" s="12" t="n">
        <x:v>2</x:v>
      </x:c>
      <x:c r="J364" s="12" t="n">
        <x:v>47</x:v>
      </x:c>
      <x:c r="K364" s="12"/>
      <x:c r="L364" s="12"/>
      <x:c r="M364" s="12" t="str">
        <x:f>IF(K364="", "", MAX(0,IF(K364&lt;=20,100,IF(K364&lt;=30,85,IF(K364&lt;=40,70,IF(K364&lt;=50,55,IF(K364&lt;=60,40,20)))))-MIN(L364*5,20)))</x:f>
      </x:c>
      <x:c r="N364" s="12"/>
      <x:c r="O364" s="12"/>
      <x:c r="P364" s="12" t="str">
        <x:f>IF(OR(H364="",J364="",M364=""),"",ROUND(PERCENTRANK.INC($H$2:$H$941,H364)*35+J364*0.35+M364*0.30,0))</x:f>
      </x:c>
      <x:c r="Q364" s="12" t="str">
        <x:f>IF(P364="","",IF(P364&gt;=80,"ATTACK",IF(P364&gt;=65,"GROW",IF(P364&gt;=50,"PARTNER","WATCH"))))</x:f>
      </x:c>
      <x:c r="R364" s="12" t="str">
        <x:f>IF(Q364="","",IF(Q364="ATTACK","Grassroots + family acquisition",IF(Q364="GROW","Test local campaign",IF(Q364="PARTNER","Organisation-first partnership","Low priority / validate"))))</x:f>
      </x:c>
      <x:c r="S364" s="45" t="n">
        <x:v>6.455938899490356</x:v>
      </x:c>
      <x:c r="T364" t="str">
        <x:v>NEAR</x:v>
      </x:c>
      <x:c r="U364" s="32" t="n">
        <x:f>PERCENTRANK.INC($G$2:$G$941,G364)</x:f>
        <x:v>0.365</x:v>
      </x:c>
      <x:c r="V364" s="32" t="n">
        <x:f>PERCENTRANK.INC($H$2:$H$941,H364)</x:f>
        <x:v>0.413</x:v>
      </x:c>
      <x:c r="W364" t="n">
        <x:f>ROUND((U364*55+V364*45)*IF(S364&lt;=5,1,IF(S364&lt;=10,0.95,IF(S364&lt;=20,0.85,0.70))),0)</x:f>
        <x:v>37</x:v>
      </x:c>
      <x:c r="X364" t="n">
        <x:v>42</x:v>
      </x:c>
      <x:c r="Y364" t="str">
        <x:v>WATCH</x:v>
      </x:c>
      <x:c r="Z364" s="12" t="str">
        <x:v>Family + verified grassroots + straight-line geo only; transport not yet routed</x:v>
      </x:c>
      <x:c r="AA364" s="12"/>
      <x:c r="AB364" s="12"/>
      <x:c r="AC364" s="12"/>
      <x:c r="AD364" s="12"/>
      <x:c r="AE364" t="str">
        <x:v>Crystal Palace Women</x:v>
      </x:c>
      <x:c r="AF364" s="45" t="n">
        <x:v>6.0770545806841385</x:v>
      </x:c>
      <x:c r="AG364" t="str">
        <x:v>Dulwich Hamlet Women</x:v>
      </x:c>
      <x:c r="AH364" s="45" t="n">
        <x:v>12.736320181748052</x:v>
      </x:c>
      <x:c r="AI364" t="n">
        <x:v>65</x:v>
      </x:c>
      <x:c r="AJ364" t="str">
        <x:v>MEDIUM</x:v>
      </x:c>
    </x:row>
    <x:row r="365">
      <x:c r="A365" s="12" t="str">
        <x:v>E01001065</x:v>
      </x:c>
      <x:c r="B365" s="12" t="str">
        <x:v>Croydon 034E</x:v>
      </x:c>
      <x:c r="C365" s="12" t="str">
        <x:v>Croydon</x:v>
      </x:c>
      <x:c r="D365" s="44" t="n">
        <x:v>51.350252690116974</x:v>
      </x:c>
      <x:c r="E365" s="44" t="n">
        <x:v>-0.03712229890315147</x:v>
      </x:c>
      <x:c r="F365" s="33" t="n">
        <x:v>650</x:v>
      </x:c>
      <x:c r="G365" s="33" t="n">
        <x:v>126</x:v>
      </x:c>
      <x:c r="H365" s="26" t="n">
        <x:v>0.19384615384615383</x:v>
      </x:c>
      <x:c r="I365" s="12" t="n">
        <x:v>3</x:v>
      </x:c>
      <x:c r="J365" s="12" t="n">
        <x:v>55</x:v>
      </x:c>
      <x:c r="K365" s="12"/>
      <x:c r="L365" s="12"/>
      <x:c r="M365" s="12" t="str">
        <x:f>IF(K365="", "", MAX(0,IF(K365&lt;=20,100,IF(K365&lt;=30,85,IF(K365&lt;=40,70,IF(K365&lt;=50,55,IF(K365&lt;=60,40,20)))))-MIN(L365*5,20)))</x:f>
      </x:c>
      <x:c r="N365" s="12"/>
      <x:c r="O365" s="12"/>
      <x:c r="P365" s="12" t="str">
        <x:f>IF(OR(H365="",J365="",M365=""),"",ROUND(PERCENTRANK.INC($H$2:$H$941,H365)*35+J365*0.35+M365*0.30,0))</x:f>
      </x:c>
      <x:c r="Q365" s="12" t="str">
        <x:f>IF(P365="","",IF(P365&gt;=80,"ATTACK",IF(P365&gt;=65,"GROW",IF(P365&gt;=50,"PARTNER","WATCH"))))</x:f>
      </x:c>
      <x:c r="R365" s="12" t="str">
        <x:f>IF(Q365="","",IF(Q365="ATTACK","Grassroots + family acquisition",IF(Q365="GROW","Test local campaign",IF(Q365="PARTNER","Organisation-first partnership","Low priority / validate"))))</x:f>
      </x:c>
      <x:c r="S365" s="45" t="n">
        <x:v>5.916144326089483</x:v>
      </x:c>
      <x:c r="T365" t="str">
        <x:v>NEAR</x:v>
      </x:c>
      <x:c r="U365" s="32" t="n">
        <x:f>PERCENTRANK.INC($G$2:$G$941,G365)</x:f>
        <x:v>0.042</x:v>
      </x:c>
      <x:c r="V365" s="32" t="n">
        <x:f>PERCENTRANK.INC($H$2:$H$941,H365)</x:f>
        <x:v>0.057</x:v>
      </x:c>
      <x:c r="W365" t="n">
        <x:f>ROUND((U365*55+V365*45)*IF(S365&lt;=5,1,IF(S365&lt;=10,0.95,IF(S365&lt;=20,0.85,0.70))),0)</x:f>
        <x:v>5</x:v>
      </x:c>
      <x:c r="X365" t="n">
        <x:v>27</x:v>
      </x:c>
      <x:c r="Y365" t="str">
        <x:v>WATCH</x:v>
      </x:c>
      <x:c r="Z365" s="12" t="str">
        <x:v>Family + verified grassroots + straight-line geo only; transport not yet routed</x:v>
      </x:c>
      <x:c r="AA365" s="12"/>
      <x:c r="AB365" s="12"/>
      <x:c r="AC365" s="12"/>
      <x:c r="AD365" s="12"/>
      <x:c r="AE365" t="str">
        <x:v>Crystal Palace Women</x:v>
      </x:c>
      <x:c r="AF365" s="45" t="n">
        <x:v>6.295491926636708</x:v>
      </x:c>
      <x:c r="AG365" t="str">
        <x:v>Dulwich Hamlet Women</x:v>
      </x:c>
      <x:c r="AH365" s="45" t="n">
        <x:v>12.770662158934522</x:v>
      </x:c>
      <x:c r="AI365" t="n">
        <x:v>65</x:v>
      </x:c>
      <x:c r="AJ365" t="str">
        <x:v>MEDIUM</x:v>
      </x:c>
    </x:row>
    <x:row r="366">
      <x:c r="A366" s="12" t="str">
        <x:v>E01001066</x:v>
      </x:c>
      <x:c r="B366" s="12" t="str">
        <x:v>Croydon 034F</x:v>
      </x:c>
      <x:c r="C366" s="12" t="str">
        <x:v>Croydon</x:v>
      </x:c>
      <x:c r="D366" s="44" t="n">
        <x:v>51.349703369580226</x:v>
      </x:c>
      <x:c r="E366" s="44" t="n">
        <x:v>-0.052738505312211977</x:v>
      </x:c>
      <x:c r="F366" s="33" t="n">
        <x:v>526</x:v>
      </x:c>
      <x:c r="G366" s="33" t="n">
        <x:v>209</x:v>
      </x:c>
      <x:c r="H366" s="26" t="n">
        <x:v>0.3973384030418251</x:v>
      </x:c>
      <x:c r="I366" s="12" t="n">
        <x:v>3</x:v>
      </x:c>
      <x:c r="J366" s="12" t="n">
        <x:v>54</x:v>
      </x:c>
      <x:c r="K366" s="12"/>
      <x:c r="L366" s="12"/>
      <x:c r="M366" s="12" t="str">
        <x:f>IF(K366="", "", MAX(0,IF(K366&lt;=20,100,IF(K366&lt;=30,85,IF(K366&lt;=40,70,IF(K366&lt;=50,55,IF(K366&lt;=60,40,20)))))-MIN(L366*5,20)))</x:f>
      </x:c>
      <x:c r="N366" s="12"/>
      <x:c r="O366" s="12"/>
      <x:c r="P366" s="12" t="str">
        <x:f>IF(OR(H366="",J366="",M366=""),"",ROUND(PERCENTRANK.INC($H$2:$H$941,H366)*35+J366*0.35+M366*0.30,0))</x:f>
      </x:c>
      <x:c r="Q366" s="12" t="str">
        <x:f>IF(P366="","",IF(P366&gt;=80,"ATTACK",IF(P366&gt;=65,"GROW",IF(P366&gt;=50,"PARTNER","WATCH"))))</x:f>
      </x:c>
      <x:c r="R366" s="12" t="str">
        <x:f>IF(Q366="","",IF(Q366="ATTACK","Grassroots + family acquisition",IF(Q366="GROW","Test local campaign",IF(Q366="PARTNER","Organisation-first partnership","Low priority / validate"))))</x:f>
      </x:c>
      <x:c r="S366" s="45" t="n">
        <x:v>6.707118542615405</x:v>
      </x:c>
      <x:c r="T366" t="str">
        <x:v>NEAR</x:v>
      </x:c>
      <x:c r="U366" s="32" t="n">
        <x:f>PERCENTRANK.INC($G$2:$G$941,G366)</x:f>
        <x:v>0.461</x:v>
      </x:c>
      <x:c r="V366" s="32" t="n">
        <x:f>PERCENTRANK.INC($H$2:$H$941,H366)</x:f>
        <x:v>0.895</x:v>
      </x:c>
      <x:c r="W366" t="n">
        <x:f>ROUND((U366*55+V366*45)*IF(S366&lt;=5,1,IF(S366&lt;=10,0.95,IF(S366&lt;=20,0.85,0.70))),0)</x:f>
        <x:v>62</x:v>
      </x:c>
      <x:c r="X366" t="n">
        <x:v>59</x:v>
      </x:c>
      <x:c r="Y366" t="str">
        <x:v>PARTNER</x:v>
      </x:c>
      <x:c r="Z366" s="12" t="str">
        <x:v>Family + verified grassroots + straight-line geo only; transport not yet routed</x:v>
      </x:c>
      <x:c r="AA366" s="12"/>
      <x:c r="AB366" s="12"/>
      <x:c r="AC366" s="12"/>
      <x:c r="AD366" s="12"/>
      <x:c r="AE366" t="str">
        <x:v>Crystal Palace Women</x:v>
      </x:c>
      <x:c r="AF366" s="45" t="n">
        <x:v>5.851268039145571</x:v>
      </x:c>
      <x:c r="AG366" t="str">
        <x:v>Dulwich Hamlet Women</x:v>
      </x:c>
      <x:c r="AH366" s="45" t="n">
        <x:v>12.5989847240277</x:v>
      </x:c>
      <x:c r="AI366" t="n">
        <x:v>76</x:v>
      </x:c>
      <x:c r="AJ366" t="str">
        <x:v>HIGH</x:v>
      </x:c>
    </x:row>
    <x:row r="367">
      <x:c r="A367" s="12" t="str">
        <x:v>E01001119</x:v>
      </x:c>
      <x:c r="B367" s="12" t="str">
        <x:v>Croydon 034G</x:v>
      </x:c>
      <x:c r="C367" s="12" t="str">
        <x:v>Croydon</x:v>
      </x:c>
      <x:c r="D367" s="44" t="n">
        <x:v>51.341808894823544</x:v>
      </x:c>
      <x:c r="E367" s="44" t="n">
        <x:v>-0.05072057184397734</x:v>
      </x:c>
      <x:c r="F367" s="33" t="n">
        <x:v>578</x:v>
      </x:c>
      <x:c r="G367" s="33" t="n">
        <x:v>165</x:v>
      </x:c>
      <x:c r="H367" s="26" t="n">
        <x:v>0.28546712802768165</x:v>
      </x:c>
      <x:c r="I367" s="12" t="n">
        <x:v>2</x:v>
      </x:c>
      <x:c r="J367" s="12" t="n">
        <x:v>47</x:v>
      </x:c>
      <x:c r="K367" s="12"/>
      <x:c r="L367" s="12"/>
      <x:c r="M367" s="12" t="str">
        <x:f>IF(K367="", "", MAX(0,IF(K367&lt;=20,100,IF(K367&lt;=30,85,IF(K367&lt;=40,70,IF(K367&lt;=50,55,IF(K367&lt;=60,40,20)))))-MIN(L367*5,20)))</x:f>
      </x:c>
      <x:c r="N367" s="12"/>
      <x:c r="O367" s="12"/>
      <x:c r="P367" s="12" t="str">
        <x:f>IF(OR(H367="",J367="",M367=""),"",ROUND(PERCENTRANK.INC($H$2:$H$941,H367)*35+J367*0.35+M367*0.30,0))</x:f>
      </x:c>
      <x:c r="Q367" s="12" t="str">
        <x:f>IF(P367="","",IF(P367&gt;=80,"ATTACK",IF(P367&gt;=65,"GROW",IF(P367&gt;=50,"PARTNER","WATCH"))))</x:f>
      </x:c>
      <x:c r="R367" s="12" t="str">
        <x:f>IF(Q367="","",IF(Q367="ATTACK","Grassroots + family acquisition",IF(Q367="GROW","Test local campaign",IF(Q367="PARTNER","Organisation-first partnership","Low priority / validate"))))</x:f>
      </x:c>
      <x:c r="S367" s="45" t="n">
        <x:v>7.243497877111676</x:v>
      </x:c>
      <x:c r="T367" t="str">
        <x:v>NEAR</x:v>
      </x:c>
      <x:c r="U367" s="32" t="n">
        <x:f>PERCENTRANK.INC($G$2:$G$941,G367)</x:f>
        <x:v>0.145</x:v>
      </x:c>
      <x:c r="V367" s="32" t="n">
        <x:f>PERCENTRANK.INC($H$2:$H$941,H367)</x:f>
        <x:v>0.316</x:v>
      </x:c>
      <x:c r="W367" t="n">
        <x:f>ROUND((U367*55+V367*45)*IF(S367&lt;=5,1,IF(S367&lt;=10,0.95,IF(S367&lt;=20,0.85,0.70))),0)</x:f>
        <x:v>21</x:v>
      </x:c>
      <x:c r="X367" t="n">
        <x:v>33</x:v>
      </x:c>
      <x:c r="Y367" t="str">
        <x:v>WATCH</x:v>
      </x:c>
      <x:c r="Z367" s="12" t="str">
        <x:v>Family + verified grassroots + straight-line geo only; transport not yet routed</x:v>
      </x:c>
      <x:c r="AA367" s="12"/>
      <x:c r="AB367" s="12"/>
      <x:c r="AC367" s="12"/>
      <x:c r="AD367" s="12"/>
      <x:c r="AE367" t="str">
        <x:v>Crystal Palace Women</x:v>
      </x:c>
      <x:c r="AF367" s="45" t="n">
        <x:v>6.7187712103356345</x:v>
      </x:c>
      <x:c r="AG367" t="str">
        <x:v>Dulwich Hamlet Women</x:v>
      </x:c>
      <x:c r="AH367" s="45" t="n">
        <x:v>13.487844690141014</x:v>
      </x:c>
      <x:c r="AI367" t="n">
        <x:v>65</x:v>
      </x:c>
      <x:c r="AJ367" t="str">
        <x:v>MEDIUM</x:v>
      </x:c>
    </x:row>
    <x:row r="368">
      <x:c r="A368" s="12" t="str">
        <x:v>E01001126</x:v>
      </x:c>
      <x:c r="B368" s="12" t="str">
        <x:v>Croydon 034H</x:v>
      </x:c>
      <x:c r="C368" s="12" t="str">
        <x:v>Croydon</x:v>
      </x:c>
      <x:c r="D368" s="44" t="n">
        <x:v>51.34506449886815</x:v>
      </x:c>
      <x:c r="E368" s="44" t="n">
        <x:v>-0.05143072875613042</x:v>
      </x:c>
      <x:c r="F368" s="33" t="n">
        <x:v>599</x:v>
      </x:c>
      <x:c r="G368" s="33" t="n">
        <x:v>171</x:v>
      </x:c>
      <x:c r="H368" s="26" t="n">
        <x:v>0.2854757929883139</x:v>
      </x:c>
      <x:c r="I368" s="12" t="n">
        <x:v>2</x:v>
      </x:c>
      <x:c r="J368" s="12" t="n">
        <x:v>47</x:v>
      </x:c>
      <x:c r="K368" s="12"/>
      <x:c r="L368" s="12"/>
      <x:c r="M368" s="12" t="str">
        <x:f>IF(K368="", "", MAX(0,IF(K368&lt;=20,100,IF(K368&lt;=30,85,IF(K368&lt;=40,70,IF(K368&lt;=50,55,IF(K368&lt;=60,40,20)))))-MIN(L368*5,20)))</x:f>
      </x:c>
      <x:c r="N368" s="12"/>
      <x:c r="O368" s="12"/>
      <x:c r="P368" s="12" t="str">
        <x:f>IF(OR(H368="",J368="",M368=""),"",ROUND(PERCENTRANK.INC($H$2:$H$941,H368)*35+J368*0.35+M368*0.30,0))</x:f>
      </x:c>
      <x:c r="Q368" s="12" t="str">
        <x:f>IF(P368="","",IF(P368&gt;=80,"ATTACK",IF(P368&gt;=65,"GROW",IF(P368&gt;=50,"PARTNER","WATCH"))))</x:f>
      </x:c>
      <x:c r="R368" s="12" t="str">
        <x:f>IF(Q368="","",IF(Q368="ATTACK","Grassroots + family acquisition",IF(Q368="GROW","Test local campaign",IF(Q368="PARTNER","Organisation-first partnership","Low priority / validate"))))</x:f>
      </x:c>
      <x:c r="S368" s="45" t="n">
        <x:v>7.0078243873165444</x:v>
      </x:c>
      <x:c r="T368" t="str">
        <x:v>NEAR</x:v>
      </x:c>
      <x:c r="U368" s="32" t="n">
        <x:f>PERCENTRANK.INC($G$2:$G$941,G368)</x:f>
        <x:v>0.177</x:v>
      </x:c>
      <x:c r="V368" s="32" t="n">
        <x:f>PERCENTRANK.INC($H$2:$H$941,H368)</x:f>
        <x:v>0.317</x:v>
      </x:c>
      <x:c r="W368" t="n">
        <x:f>ROUND((U368*55+V368*45)*IF(S368&lt;=5,1,IF(S368&lt;=10,0.95,IF(S368&lt;=20,0.85,0.70))),0)</x:f>
        <x:v>23</x:v>
      </x:c>
      <x:c r="X368" t="n">
        <x:v>34</x:v>
      </x:c>
      <x:c r="Y368" t="str">
        <x:v>WATCH</x:v>
      </x:c>
      <x:c r="Z368" s="12" t="str">
        <x:v>Family + verified grassroots + straight-line geo only; transport not yet routed</x:v>
      </x:c>
      <x:c r="AA368" s="12"/>
      <x:c r="AB368" s="12"/>
      <x:c r="AC368" s="12"/>
      <x:c r="AD368" s="12"/>
      <x:c r="AE368" t="str">
        <x:v>Crystal Palace Women</x:v>
      </x:c>
      <x:c r="AF368" s="45" t="n">
        <x:v>6.3634129031258615</x:v>
      </x:c>
      <x:c r="AG368" t="str">
        <x:v>Dulwich Hamlet Women</x:v>
      </x:c>
      <x:c r="AH368" s="45" t="n">
        <x:v>13.122739278839047</x:v>
      </x:c>
      <x:c r="AI368" t="n">
        <x:v>65</x:v>
      </x:c>
      <x:c r="AJ368" t="str">
        <x:v>MEDIUM</x:v>
      </x:c>
    </x:row>
    <x:row r="369">
      <x:c r="A369" s="12" t="str">
        <x:v>E01001032</x:v>
      </x:c>
      <x:c r="B369" s="12" t="str">
        <x:v>Croydon 035A</x:v>
      </x:c>
      <x:c r="C369" s="12" t="str">
        <x:v>Croydon</x:v>
      </x:c>
      <x:c r="D369" s="44" t="n">
        <x:v>51.34775916726123</x:v>
      </x:c>
      <x:c r="E369" s="44" t="n">
        <x:v>-0.08468192120798614</x:v>
      </x:c>
      <x:c r="F369" s="33" t="n">
        <x:v>557</x:v>
      </x:c>
      <x:c r="G369" s="33" t="n">
        <x:v>203</x:v>
      </x:c>
      <x:c r="H369" s="26" t="n">
        <x:v>0.3644524236983842</x:v>
      </x:c>
      <x:c r="I369" s="12" t="n">
        <x:v>3</x:v>
      </x:c>
      <x:c r="J369" s="12" t="n">
        <x:v>61</x:v>
      </x:c>
      <x:c r="K369" s="12"/>
      <x:c r="L369" s="12"/>
      <x:c r="M369" s="12" t="str">
        <x:f>IF(K369="", "", MAX(0,IF(K369&lt;=20,100,IF(K369&lt;=30,85,IF(K369&lt;=40,70,IF(K369&lt;=50,55,IF(K369&lt;=60,40,20)))))-MIN(L369*5,20)))</x:f>
      </x:c>
      <x:c r="N369" s="12"/>
      <x:c r="O369" s="12"/>
      <x:c r="P369" s="12" t="str">
        <x:f>IF(OR(H369="",J369="",M369=""),"",ROUND(PERCENTRANK.INC($H$2:$H$941,H369)*35+J369*0.35+M369*0.30,0))</x:f>
      </x:c>
      <x:c r="Q369" s="12" t="str">
        <x:f>IF(P369="","",IF(P369&gt;=80,"ATTACK",IF(P369&gt;=65,"GROW",IF(P369&gt;=50,"PARTNER","WATCH"))))</x:f>
      </x:c>
      <x:c r="R369" s="12" t="str">
        <x:f>IF(Q369="","",IF(Q369="ATTACK","Grassroots + family acquisition",IF(Q369="GROW","Test local campaign",IF(Q369="PARTNER","Organisation-first partnership","Low priority / validate"))))</x:f>
      </x:c>
      <x:c r="S369" s="45" t="n">
        <x:v>8.580438157143059</x:v>
      </x:c>
      <x:c r="T369" t="str">
        <x:v>NEAR</x:v>
      </x:c>
      <x:c r="U369" s="32" t="n">
        <x:f>PERCENTRANK.INC($G$2:$G$941,G369)</x:f>
        <x:v>0.417</x:v>
      </x:c>
      <x:c r="V369" s="32" t="n">
        <x:f>PERCENTRANK.INC($H$2:$H$941,H369)</x:f>
        <x:v>0.765</x:v>
      </x:c>
      <x:c r="W369" t="n">
        <x:f>ROUND((U369*55+V369*45)*IF(S369&lt;=5,1,IF(S369&lt;=10,0.95,IF(S369&lt;=20,0.85,0.70))),0)</x:f>
        <x:v>54</x:v>
      </x:c>
      <x:c r="X369" t="n">
        <x:v>58</x:v>
      </x:c>
      <x:c r="Y369" t="str">
        <x:v>PARTNER</x:v>
      </x:c>
      <x:c r="Z369" s="12" t="str">
        <x:v>Family + verified grassroots + straight-line geo only; transport not yet routed</x:v>
      </x:c>
      <x:c r="AA369" s="12"/>
      <x:c r="AB369" s="12"/>
      <x:c r="AC369" s="12"/>
      <x:c r="AD369" s="12"/>
      <x:c r="AE369" t="str">
        <x:v>Crystal Palace Women</x:v>
      </x:c>
      <x:c r="AF369" s="45" t="n">
        <x:v>5.617762007664709</x:v>
      </x:c>
      <x:c r="AG369" t="str">
        <x:v>AFC Wimbledon Women</x:v>
      </x:c>
      <x:c r="AH369" s="45" t="n">
        <x:v>11.681010391962266</x:v>
      </x:c>
      <x:c r="AI369" t="n">
        <x:v>76</x:v>
      </x:c>
      <x:c r="AJ369" t="str">
        <x:v>HIGH</x:v>
      </x:c>
    </x:row>
    <x:row r="370">
      <x:c r="A370" s="12" t="str">
        <x:v>E01001101</x:v>
      </x:c>
      <x:c r="B370" s="12" t="str">
        <x:v>Croydon 035B</x:v>
      </x:c>
      <x:c r="C370" s="12" t="str">
        <x:v>Croydon</x:v>
      </x:c>
      <x:c r="D370" s="44" t="n">
        <x:v>51.334059710964134</x:v>
      </x:c>
      <x:c r="E370" s="44" t="n">
        <x:v>-0.08821937800912498</x:v>
      </x:c>
      <x:c r="F370" s="33" t="n">
        <x:v>509</x:v>
      </x:c>
      <x:c r="G370" s="33" t="n">
        <x:v>187</x:v>
      </x:c>
      <x:c r="H370" s="26" t="n">
        <x:v>0.36738703339882123</x:v>
      </x:c>
      <x:c r="I370" s="12" t="n">
        <x:v>2</x:v>
      </x:c>
      <x:c r="J370" s="12" t="n">
        <x:v>46</x:v>
      </x:c>
      <x:c r="K370" s="12"/>
      <x:c r="L370" s="12"/>
      <x:c r="M370" s="12" t="str">
        <x:f>IF(K370="", "", MAX(0,IF(K370&lt;=20,100,IF(K370&lt;=30,85,IF(K370&lt;=40,70,IF(K370&lt;=50,55,IF(K370&lt;=60,40,20)))))-MIN(L370*5,20)))</x:f>
      </x:c>
      <x:c r="N370" s="12"/>
      <x:c r="O370" s="12"/>
      <x:c r="P370" s="12" t="str">
        <x:f>IF(OR(H370="",J370="",M370=""),"",ROUND(PERCENTRANK.INC($H$2:$H$941,H370)*35+J370*0.35+M370*0.30,0))</x:f>
      </x:c>
      <x:c r="Q370" s="12" t="str">
        <x:f>IF(P370="","",IF(P370&gt;=80,"ATTACK",IF(P370&gt;=65,"GROW",IF(P370&gt;=50,"PARTNER","WATCH"))))</x:f>
      </x:c>
      <x:c r="R370" s="12" t="str">
        <x:f>IF(Q370="","",IF(Q370="ATTACK","Grassroots + family acquisition",IF(Q370="GROW","Test local campaign",IF(Q370="PARTNER","Organisation-first partnership","Low priority / validate"))))</x:f>
      </x:c>
      <x:c r="S370" s="45" t="n">
        <x:v>9.70335280943204</x:v>
      </x:c>
      <x:c r="T370" t="str">
        <x:v>NEAR</x:v>
      </x:c>
      <x:c r="U370" s="32" t="n">
        <x:f>PERCENTRANK.INC($G$2:$G$941,G370)</x:f>
        <x:v>0.29</x:v>
      </x:c>
      <x:c r="V370" s="32" t="n">
        <x:f>PERCENTRANK.INC($H$2:$H$941,H370)</x:f>
        <x:v>0.783</x:v>
      </x:c>
      <x:c r="W370" t="n">
        <x:f>ROUND((U370*55+V370*45)*IF(S370&lt;=5,1,IF(S370&lt;=10,0.95,IF(S370&lt;=20,0.85,0.70))),0)</x:f>
        <x:v>49</x:v>
      </x:c>
      <x:c r="X370" t="n">
        <x:v>48</x:v>
      </x:c>
      <x:c r="Y370" t="str">
        <x:v>WATCH</x:v>
      </x:c>
      <x:c r="Z370" s="12" t="str">
        <x:v>Family + verified grassroots + straight-line geo only; transport not yet routed</x:v>
      </x:c>
      <x:c r="AA370" s="12"/>
      <x:c r="AB370" s="12"/>
      <x:c r="AC370" s="12"/>
      <x:c r="AD370" s="12"/>
      <x:c r="AE370" t="str">
        <x:v>Crystal Palace Women</x:v>
      </x:c>
      <x:c r="AF370" s="45" t="n">
        <x:v>7.144158754731688</x:v>
      </x:c>
      <x:c r="AG370" t="str">
        <x:v>AFC Wimbledon Women</x:v>
      </x:c>
      <x:c r="AH370" s="45" t="n">
        <x:v>12.792367653618852</x:v>
      </x:c>
      <x:c r="AI370" t="n">
        <x:v>65</x:v>
      </x:c>
      <x:c r="AJ370" t="str">
        <x:v>MEDIUM</x:v>
      </x:c>
    </x:row>
    <x:row r="371">
      <x:c r="A371" s="12" t="str">
        <x:v>E01001102</x:v>
      </x:c>
      <x:c r="B371" s="12" t="str">
        <x:v>Croydon 035C</x:v>
      </x:c>
      <x:c r="C371" s="12" t="str">
        <x:v>Croydon</x:v>
      </x:c>
      <x:c r="D371" s="44" t="n">
        <x:v>51.33506722772145</x:v>
      </x:c>
      <x:c r="E371" s="44" t="n">
        <x:v>-0.07755877427216605</x:v>
      </x:c>
      <x:c r="F371" s="33" t="n">
        <x:v>633</x:v>
      </x:c>
      <x:c r="G371" s="33" t="n">
        <x:v>174</x:v>
      </x:c>
      <x:c r="H371" s="26" t="n">
        <x:v>0.27488151658767773</x:v>
      </x:c>
      <x:c r="I371" s="12" t="n">
        <x:v>2</x:v>
      </x:c>
      <x:c r="J371" s="12" t="n">
        <x:v>38</x:v>
      </x:c>
      <x:c r="K371" s="12"/>
      <x:c r="L371" s="12"/>
      <x:c r="M371" s="12" t="str">
        <x:f>IF(K371="", "", MAX(0,IF(K371&lt;=20,100,IF(K371&lt;=30,85,IF(K371&lt;=40,70,IF(K371&lt;=50,55,IF(K371&lt;=60,40,20)))))-MIN(L371*5,20)))</x:f>
      </x:c>
      <x:c r="N371" s="12"/>
      <x:c r="O371" s="12"/>
      <x:c r="P371" s="12" t="str">
        <x:f>IF(OR(H371="",J371="",M371=""),"",ROUND(PERCENTRANK.INC($H$2:$H$941,H371)*35+J371*0.35+M371*0.30,0))</x:f>
      </x:c>
      <x:c r="Q371" s="12" t="str">
        <x:f>IF(P371="","",IF(P371&gt;=80,"ATTACK",IF(P371&gt;=65,"GROW",IF(P371&gt;=50,"PARTNER","WATCH"))))</x:f>
      </x:c>
      <x:c r="R371" s="12" t="str">
        <x:f>IF(Q371="","",IF(Q371="ATTACK","Grassroots + family acquisition",IF(Q371="GROW","Test local campaign",IF(Q371="PARTNER","Organisation-first partnership","Low priority / validate"))))</x:f>
      </x:c>
      <x:c r="S371" s="45" t="n">
        <x:v>9.077948115472807</x:v>
      </x:c>
      <x:c r="T371" t="str">
        <x:v>NEAR</x:v>
      </x:c>
      <x:c r="U371" s="32" t="n">
        <x:f>PERCENTRANK.INC($G$2:$G$941,G371)</x:f>
        <x:v>0.188</x:v>
      </x:c>
      <x:c r="V371" s="32" t="n">
        <x:f>PERCENTRANK.INC($H$2:$H$941,H371)</x:f>
        <x:v>0.272</x:v>
      </x:c>
      <x:c r="W371" t="n">
        <x:f>ROUND((U371*55+V371*45)*IF(S371&lt;=5,1,IF(S371&lt;=10,0.95,IF(S371&lt;=20,0.85,0.70))),0)</x:f>
        <x:v>21</x:v>
      </x:c>
      <x:c r="X371" t="n">
        <x:v>29</x:v>
      </x:c>
      <x:c r="Y371" t="str">
        <x:v>WATCH</x:v>
      </x:c>
      <x:c r="Z371" s="12" t="str">
        <x:v>Family + verified grassroots + straight-line geo only; transport not yet routed</x:v>
      </x:c>
      <x:c r="AA371" s="12"/>
      <x:c r="AB371" s="12"/>
      <x:c r="AC371" s="12"/>
      <x:c r="AD371" s="12"/>
      <x:c r="AE371" t="str">
        <x:v>Crystal Palace Women</x:v>
      </x:c>
      <x:c r="AF371" s="45" t="n">
        <x:v>7.048678023358221</x:v>
      </x:c>
      <x:c r="AG371" t="str">
        <x:v>AFC Wimbledon Women</x:v>
      </x:c>
      <x:c r="AH371" s="45" t="n">
        <x:v>13.111440730878545</x:v>
      </x:c>
      <x:c r="AI371" t="n">
        <x:v>65</x:v>
      </x:c>
      <x:c r="AJ371" t="str">
        <x:v>MEDIUM</x:v>
      </x:c>
    </x:row>
    <x:row r="372">
      <x:c r="A372" s="12" t="str">
        <x:v>E01001107</x:v>
      </x:c>
      <x:c r="B372" s="12" t="str">
        <x:v>Croydon 035D</x:v>
      </x:c>
      <x:c r="C372" s="12" t="str">
        <x:v>Croydon</x:v>
      </x:c>
      <x:c r="D372" s="44" t="n">
        <x:v>51.343204213254786</x:v>
      </x:c>
      <x:c r="E372" s="44" t="n">
        <x:v>-0.09172172291101864</x:v>
      </x:c>
      <x:c r="F372" s="33" t="n">
        <x:v>667</x:v>
      </x:c>
      <x:c r="G372" s="33" t="n">
        <x:v>187</x:v>
      </x:c>
      <x:c r="H372" s="26" t="n">
        <x:v>0.280359820089955</x:v>
      </x:c>
      <x:c r="I372" s="12" t="n">
        <x:v>2</x:v>
      </x:c>
      <x:c r="J372" s="12" t="n">
        <x:v>46</x:v>
      </x:c>
      <x:c r="K372" s="12"/>
      <x:c r="L372" s="12"/>
      <x:c r="M372" s="12" t="str">
        <x:f>IF(K372="", "", MAX(0,IF(K372&lt;=20,100,IF(K372&lt;=30,85,IF(K372&lt;=40,70,IF(K372&lt;=50,55,IF(K372&lt;=60,40,20)))))-MIN(L372*5,20)))</x:f>
      </x:c>
      <x:c r="N372" s="12"/>
      <x:c r="O372" s="12"/>
      <x:c r="P372" s="12" t="str">
        <x:f>IF(OR(H372="",J372="",M372=""),"",ROUND(PERCENTRANK.INC($H$2:$H$941,H372)*35+J372*0.35+M372*0.30,0))</x:f>
      </x:c>
      <x:c r="Q372" s="12" t="str">
        <x:f>IF(P372="","",IF(P372&gt;=80,"ATTACK",IF(P372&gt;=65,"GROW",IF(P372&gt;=50,"PARTNER","WATCH"))))</x:f>
      </x:c>
      <x:c r="R372" s="12" t="str">
        <x:f>IF(Q372="","",IF(Q372="ATTACK","Grassroots + family acquisition",IF(Q372="GROW","Test local campaign",IF(Q372="PARTNER","Organisation-first partnership","Low priority / validate"))))</x:f>
      </x:c>
      <x:c r="S372" s="45" t="n">
        <x:v>9.270435332881013</x:v>
      </x:c>
      <x:c r="T372" t="str">
        <x:v>NEAR</x:v>
      </x:c>
      <x:c r="U372" s="32" t="n">
        <x:f>PERCENTRANK.INC($G$2:$G$941,G372)</x:f>
        <x:v>0.29</x:v>
      </x:c>
      <x:c r="V372" s="32" t="n">
        <x:f>PERCENTRANK.INC($H$2:$H$941,H372)</x:f>
        <x:v>0.296</x:v>
      </x:c>
      <x:c r="W372" t="n">
        <x:f>ROUND((U372*55+V372*45)*IF(S372&lt;=5,1,IF(S372&lt;=10,0.95,IF(S372&lt;=20,0.85,0.70))),0)</x:f>
        <x:v>28</x:v>
      </x:c>
      <x:c r="X372" t="n">
        <x:v>36</x:v>
      </x:c>
      <x:c r="Y372" t="str">
        <x:v>WATCH</x:v>
      </x:c>
      <x:c r="Z372" s="12" t="str">
        <x:v>Family + verified grassroots + straight-line geo only; transport not yet routed</x:v>
      </x:c>
      <x:c r="AA372" s="12"/>
      <x:c r="AB372" s="12"/>
      <x:c r="AC372" s="12"/>
      <x:c r="AD372" s="12"/>
      <x:c r="AE372" t="str">
        <x:v>Crystal Palace Women</x:v>
      </x:c>
      <x:c r="AF372" s="45" t="n">
        <x:v>6.141123674426417</x:v>
      </x:c>
      <x:c r="AG372" t="str">
        <x:v>AFC Wimbledon Women</x:v>
      </x:c>
      <x:c r="AH372" s="45" t="n">
        <x:v>11.807786000756415</x:v>
      </x:c>
      <x:c r="AI372" t="n">
        <x:v>65</x:v>
      </x:c>
      <x:c r="AJ372" t="str">
        <x:v>MEDIUM</x:v>
      </x:c>
    </x:row>
    <x:row r="373">
      <x:c r="A373" s="12" t="str">
        <x:v>E01001108</x:v>
      </x:c>
      <x:c r="B373" s="12" t="str">
        <x:v>Croydon 035E</x:v>
      </x:c>
      <x:c r="C373" s="12" t="str">
        <x:v>Croydon</x:v>
      </x:c>
      <x:c r="D373" s="44" t="n">
        <x:v>51.34002221520718</x:v>
      </x:c>
      <x:c r="E373" s="44" t="n">
        <x:v>-0.08113865102258512</x:v>
      </x:c>
      <x:c r="F373" s="33" t="n">
        <x:v>645</x:v>
      </x:c>
      <x:c r="G373" s="33" t="n">
        <x:v>225</x:v>
      </x:c>
      <x:c r="H373" s="26" t="n">
        <x:v>0.3488372093023256</x:v>
      </x:c>
      <x:c r="I373" s="12" t="n">
        <x:v>2</x:v>
      </x:c>
      <x:c r="J373" s="12" t="n">
        <x:v>46</x:v>
      </x:c>
      <x:c r="K373" s="12"/>
      <x:c r="L373" s="12"/>
      <x:c r="M373" s="12" t="str">
        <x:f>IF(K373="", "", MAX(0,IF(K373&lt;=20,100,IF(K373&lt;=30,85,IF(K373&lt;=40,70,IF(K373&lt;=50,55,IF(K373&lt;=60,40,20)))))-MIN(L373*5,20)))</x:f>
      </x:c>
      <x:c r="N373" s="12"/>
      <x:c r="O373" s="12"/>
      <x:c r="P373" s="12" t="str">
        <x:f>IF(OR(H373="",J373="",M373=""),"",ROUND(PERCENTRANK.INC($H$2:$H$941,H373)*35+J373*0.35+M373*0.30,0))</x:f>
      </x:c>
      <x:c r="Q373" s="12" t="str">
        <x:f>IF(P373="","",IF(P373&gt;=80,"ATTACK",IF(P373&gt;=65,"GROW",IF(P373&gt;=50,"PARTNER","WATCH"))))</x:f>
      </x:c>
      <x:c r="R373" s="12" t="str">
        <x:f>IF(Q373="","",IF(Q373="ATTACK","Grassroots + family acquisition",IF(Q373="GROW","Test local campaign",IF(Q373="PARTNER","Organisation-first partnership","Low priority / validate"))))</x:f>
      </x:c>
      <x:c r="S373" s="45" t="n">
        <x:v>8.89976527288004</x:v>
      </x:c>
      <x:c r="T373" t="str">
        <x:v>NEAR</x:v>
      </x:c>
      <x:c r="U373" s="32" t="n">
        <x:f>PERCENTRANK.INC($G$2:$G$941,G373)</x:f>
        <x:v>0.586</x:v>
      </x:c>
      <x:c r="V373" s="32" t="n">
        <x:f>PERCENTRANK.INC($H$2:$H$941,H373)</x:f>
        <x:v>0.681</x:v>
      </x:c>
      <x:c r="W373" t="n">
        <x:f>ROUND((U373*55+V373*45)*IF(S373&lt;=5,1,IF(S373&lt;=10,0.95,IF(S373&lt;=20,0.85,0.70))),0)</x:f>
        <x:v>60</x:v>
      </x:c>
      <x:c r="X373" t="n">
        <x:v>54</x:v>
      </x:c>
      <x:c r="Y373" t="str">
        <x:v>PARTNER</x:v>
      </x:c>
      <x:c r="Z373" s="12" t="str">
        <x:v>Family + verified grassroots + straight-line geo only; transport not yet routed</x:v>
      </x:c>
      <x:c r="AA373" s="12"/>
      <x:c r="AB373" s="12"/>
      <x:c r="AC373" s="12"/>
      <x:c r="AD373" s="12"/>
      <x:c r="AE373" t="str">
        <x:v>Crystal Palace Women</x:v>
      </x:c>
      <x:c r="AF373" s="45" t="n">
        <x:v>6.4839613637186755</x:v>
      </x:c>
      <x:c r="AG373" t="str">
        <x:v>AFC Wimbledon Women</x:v>
      </x:c>
      <x:c r="AH373" s="45" t="n">
        <x:v>12.518605378098114</x:v>
      </x:c>
      <x:c r="AI373" t="n">
        <x:v>65</x:v>
      </x:c>
      <x:c r="AJ373" t="str">
        <x:v>MEDIUM</x:v>
      </x:c>
    </x:row>
    <x:row r="374">
      <x:c r="A374" s="12" t="str">
        <x:v>E01001076</x:v>
      </x:c>
      <x:c r="B374" s="12" t="str">
        <x:v>Croydon 036A</x:v>
      </x:c>
      <x:c r="C374" s="12" t="str">
        <x:v>Croydon</x:v>
      </x:c>
      <x:c r="D374" s="44" t="n">
        <x:v>51.340410509125874</x:v>
      </x:c>
      <x:c r="E374" s="44" t="n">
        <x:v>-0.00990192209194395</x:v>
      </x:c>
      <x:c r="F374" s="33" t="n">
        <x:v>566</x:v>
      </x:c>
      <x:c r="G374" s="33" t="n">
        <x:v>256</x:v>
      </x:c>
      <x:c r="H374" s="26" t="n">
        <x:v>0.45229681978798586</x:v>
      </x:c>
      <x:c r="I374" s="12" t="n">
        <x:v>1</x:v>
      </x:c>
      <x:c r="J374" s="12" t="n">
        <x:v>39</x:v>
      </x:c>
      <x:c r="K374" s="12"/>
      <x:c r="L374" s="12"/>
      <x:c r="M374" s="12" t="str">
        <x:f>IF(K374="", "", MAX(0,IF(K374&lt;=20,100,IF(K374&lt;=30,85,IF(K374&lt;=40,70,IF(K374&lt;=50,55,IF(K374&lt;=60,40,20)))))-MIN(L374*5,20)))</x:f>
      </x:c>
      <x:c r="N374" s="12"/>
      <x:c r="O374" s="12"/>
      <x:c r="P374" s="12" t="str">
        <x:f>IF(OR(H374="",J374="",M374=""),"",ROUND(PERCENTRANK.INC($H$2:$H$941,H374)*35+J374*0.35+M374*0.30,0))</x:f>
      </x:c>
      <x:c r="Q374" s="12" t="str">
        <x:f>IF(P374="","",IF(P374&gt;=80,"ATTACK",IF(P374&gt;=65,"GROW",IF(P374&gt;=50,"PARTNER","WATCH"))))</x:f>
      </x:c>
      <x:c r="R374" s="12" t="str">
        <x:f>IF(Q374="","",IF(Q374="ATTACK","Grassroots + family acquisition",IF(Q374="GROW","Test local campaign",IF(Q374="PARTNER","Organisation-first partnership","Low priority / validate"))))</x:f>
      </x:c>
      <x:c r="S374" s="45" t="n">
        <x:v>5.94126858927779</x:v>
      </x:c>
      <x:c r="T374" t="str">
        <x:v>NEAR</x:v>
      </x:c>
      <x:c r="U374" s="32" t="n">
        <x:f>PERCENTRANK.INC($G$2:$G$941,G374)</x:f>
        <x:v>0.81</x:v>
      </x:c>
      <x:c r="V374" s="32" t="n">
        <x:f>PERCENTRANK.INC($H$2:$H$941,H374)</x:f>
        <x:v>0.979</x:v>
      </x:c>
      <x:c r="W374" t="n">
        <x:f>ROUND((U374*55+V374*45)*IF(S374&lt;=5,1,IF(S374&lt;=10,0.95,IF(S374&lt;=20,0.85,0.70))),0)</x:f>
        <x:v>84</x:v>
      </x:c>
      <x:c r="X374" t="n">
        <x:v>64</x:v>
      </x:c>
      <x:c r="Y374" t="str">
        <x:v>PARTNER</x:v>
      </x:c>
      <x:c r="Z374" s="12" t="str">
        <x:v>Family + verified grassroots + straight-line geo only; transport not yet routed</x:v>
      </x:c>
      <x:c r="AA374" s="12"/>
      <x:c r="AB374" s="12"/>
      <x:c r="AC374" s="12"/>
      <x:c r="AD374" s="12"/>
      <x:c r="AE374" t="str">
        <x:v>Crystal Palace Women</x:v>
      </x:c>
      <x:c r="AF374" s="45" t="n">
        <x:v>8.28812489501329</x:v>
      </x:c>
      <x:c r="AG374" t="str">
        <x:v>Dulwich Hamlet Women</x:v>
      </x:c>
      <x:c r="AH374" s="45" t="n">
        <x:v>14.393179737000676</x:v>
      </x:c>
      <x:c r="AI374" t="n">
        <x:v>65</x:v>
      </x:c>
      <x:c r="AJ374" t="str">
        <x:v>MEDIUM</x:v>
      </x:c>
    </x:row>
    <x:row r="375">
      <x:c r="A375" s="12" t="str">
        <x:v>E01001079</x:v>
      </x:c>
      <x:c r="B375" s="12" t="str">
        <x:v>Croydon 036B</x:v>
      </x:c>
      <x:c r="C375" s="12" t="str">
        <x:v>Croydon</x:v>
      </x:c>
      <x:c r="D375" s="44" t="n">
        <x:v>51.33887099310502</x:v>
      </x:c>
      <x:c r="E375" s="44" t="n">
        <x:v>-0.003332811072463128</x:v>
      </x:c>
      <x:c r="F375" s="33" t="n">
        <x:v>588</x:v>
      </x:c>
      <x:c r="G375" s="33" t="n">
        <x:v>222</x:v>
      </x:c>
      <x:c r="H375" s="26" t="n">
        <x:v>0.37755102040816324</x:v>
      </x:c>
      <x:c r="I375" s="12" t="n">
        <x:v>1</x:v>
      </x:c>
      <x:c r="J375" s="12" t="n">
        <x:v>24</x:v>
      </x:c>
      <x:c r="K375" s="12"/>
      <x:c r="L375" s="12"/>
      <x:c r="M375" s="12" t="str">
        <x:f>IF(K375="", "", MAX(0,IF(K375&lt;=20,100,IF(K375&lt;=30,85,IF(K375&lt;=40,70,IF(K375&lt;=50,55,IF(K375&lt;=60,40,20)))))-MIN(L375*5,20)))</x:f>
      </x:c>
      <x:c r="N375" s="12"/>
      <x:c r="O375" s="12"/>
      <x:c r="P375" s="12" t="str">
        <x:f>IF(OR(H375="",J375="",M375=""),"",ROUND(PERCENTRANK.INC($H$2:$H$941,H375)*35+J375*0.35+M375*0.30,0))</x:f>
      </x:c>
      <x:c r="Q375" s="12" t="str">
        <x:f>IF(P375="","",IF(P375&gt;=80,"ATTACK",IF(P375&gt;=65,"GROW",IF(P375&gt;=50,"PARTNER","WATCH"))))</x:f>
      </x:c>
      <x:c r="R375" s="12" t="str">
        <x:f>IF(Q375="","",IF(Q375="ATTACK","Grassroots + family acquisition",IF(Q375="GROW","Test local campaign",IF(Q375="PARTNER","Organisation-first partnership","Low priority / validate"))))</x:f>
      </x:c>
      <x:c r="S375" s="45" t="n">
        <x:v>5.9760284170531435</x:v>
      </x:c>
      <x:c r="T375" t="str">
        <x:v>NEAR</x:v>
      </x:c>
      <x:c r="U375" s="32" t="n">
        <x:f>PERCENTRANK.INC($G$2:$G$941,G375)</x:f>
        <x:v>0.559</x:v>
      </x:c>
      <x:c r="V375" s="32" t="n">
        <x:f>PERCENTRANK.INC($H$2:$H$941,H375)</x:f>
        <x:v>0.821</x:v>
      </x:c>
      <x:c r="W375" t="n">
        <x:f>ROUND((U375*55+V375*45)*IF(S375&lt;=5,1,IF(S375&lt;=10,0.95,IF(S375&lt;=20,0.85,0.70))),0)</x:f>
        <x:v>64</x:v>
      </x:c>
      <x:c r="X375" t="n">
        <x:v>46</x:v>
      </x:c>
      <x:c r="Y375" t="str">
        <x:v>WATCH</x:v>
      </x:c>
      <x:c r="Z375" s="12" t="str">
        <x:v>Family + verified grassroots + straight-line geo only; transport not yet routed</x:v>
      </x:c>
      <x:c r="AA375" s="12"/>
      <x:c r="AB375" s="12"/>
      <x:c r="AC375" s="12"/>
      <x:c r="AD375" s="12"/>
      <x:c r="AE375" t="str">
        <x:v>Crystal Palace Women</x:v>
      </x:c>
      <x:c r="AF375" s="45" t="n">
        <x:v>8.711981408266007</x:v>
      </x:c>
      <x:c r="AG375" t="str">
        <x:v>Dulwich Hamlet Women</x:v>
      </x:c>
      <x:c r="AH375" s="45" t="n">
        <x:v>14.720336847775839</x:v>
      </x:c>
      <x:c r="AI375" t="n">
        <x:v>65</x:v>
      </x:c>
      <x:c r="AJ375" t="str">
        <x:v>MEDIUM</x:v>
      </x:c>
    </x:row>
    <x:row r="376">
      <x:c r="A376" s="12" t="str">
        <x:v>E01001080</x:v>
      </x:c>
      <x:c r="B376" s="12" t="str">
        <x:v>Croydon 036C</x:v>
      </x:c>
      <x:c r="C376" s="12" t="str">
        <x:v>Croydon</x:v>
      </x:c>
      <x:c r="D376" s="44" t="n">
        <x:v>51.33810845072309</x:v>
      </x:c>
      <x:c r="E376" s="44" t="n">
        <x:v>-0.014359830030704075</x:v>
      </x:c>
      <x:c r="F376" s="33" t="n">
        <x:v>586</x:v>
      </x:c>
      <x:c r="G376" s="33" t="n">
        <x:v>201</x:v>
      </x:c>
      <x:c r="H376" s="26" t="n">
        <x:v>0.3430034129692833</x:v>
      </x:c>
      <x:c r="I376" s="12" t="n">
        <x:v>0</x:v>
      </x:c>
      <x:c r="J376" s="12" t="n">
        <x:v>24</x:v>
      </x:c>
      <x:c r="K376" s="12"/>
      <x:c r="L376" s="12"/>
      <x:c r="M376" s="12" t="str">
        <x:f>IF(K376="", "", MAX(0,IF(K376&lt;=20,100,IF(K376&lt;=30,85,IF(K376&lt;=40,70,IF(K376&lt;=50,55,IF(K376&lt;=60,40,20)))))-MIN(L376*5,20)))</x:f>
      </x:c>
      <x:c r="N376" s="12"/>
      <x:c r="O376" s="12"/>
      <x:c r="P376" s="12" t="str">
        <x:f>IF(OR(H376="",J376="",M376=""),"",ROUND(PERCENTRANK.INC($H$2:$H$941,H376)*35+J376*0.35+M376*0.30,0))</x:f>
      </x:c>
      <x:c r="Q376" s="12" t="str">
        <x:f>IF(P376="","",IF(P376&gt;=80,"ATTACK",IF(P376&gt;=65,"GROW",IF(P376&gt;=50,"PARTNER","WATCH"))))</x:f>
      </x:c>
      <x:c r="R376" s="12" t="str">
        <x:f>IF(Q376="","",IF(Q376="ATTACK","Grassroots + family acquisition",IF(Q376="GROW","Test local campaign",IF(Q376="PARTNER","Organisation-first partnership","Low priority / validate"))))</x:f>
      </x:c>
      <x:c r="S376" s="45" t="n">
        <x:v>6.2869513338432865</x:v>
      </x:c>
      <x:c r="T376" t="str">
        <x:v>NEAR</x:v>
      </x:c>
      <x:c r="U376" s="32" t="n">
        <x:f>PERCENTRANK.INC($G$2:$G$941,G376)</x:f>
        <x:v>0.396</x:v>
      </x:c>
      <x:c r="V376" s="32" t="n">
        <x:f>PERCENTRANK.INC($H$2:$H$941,H376)</x:f>
        <x:v>0.635</x:v>
      </x:c>
      <x:c r="W376" t="n">
        <x:f>ROUND((U376*55+V376*45)*IF(S376&lt;=5,1,IF(S376&lt;=10,0.95,IF(S376&lt;=20,0.85,0.70))),0)</x:f>
        <x:v>48</x:v>
      </x:c>
      <x:c r="X376" t="n">
        <x:v>38</x:v>
      </x:c>
      <x:c r="Y376" t="str">
        <x:v>WATCH</x:v>
      </x:c>
      <x:c r="Z376" s="12" t="str">
        <x:v>Family + verified grassroots + straight-line geo only; transport not yet routed</x:v>
      </x:c>
      <x:c r="AA376" s="12"/>
      <x:c r="AB376" s="12"/>
      <x:c r="AC376" s="12"/>
      <x:c r="AD376" s="12"/>
      <x:c r="AE376" t="str">
        <x:v>Crystal Palace Women</x:v>
      </x:c>
      <x:c r="AF376" s="45" t="n">
        <x:v>8.301615010682283</x:v>
      </x:c>
      <x:c r="AG376" t="str">
        <x:v>Dulwich Hamlet Women</x:v>
      </x:c>
      <x:c r="AH376" s="45" t="n">
        <x:v>14.52689142124674</x:v>
      </x:c>
      <x:c r="AI376" t="n">
        <x:v>65</x:v>
      </x:c>
      <x:c r="AJ376" t="str">
        <x:v>MEDIUM</x:v>
      </x:c>
    </x:row>
    <x:row r="377">
      <x:c r="A377" s="12" t="str">
        <x:v>E01001081</x:v>
      </x:c>
      <x:c r="B377" s="12" t="str">
        <x:v>Croydon 036D</x:v>
      </x:c>
      <x:c r="C377" s="12" t="str">
        <x:v>Croydon</x:v>
      </x:c>
      <x:c r="D377" s="44" t="n">
        <x:v>51.33506175113168</x:v>
      </x:c>
      <x:c r="E377" s="44" t="n">
        <x:v>-0.007551464725650817</x:v>
      </x:c>
      <x:c r="F377" s="33" t="n">
        <x:v>498</x:v>
      </x:c>
      <x:c r="G377" s="33" t="n">
        <x:v>214</x:v>
      </x:c>
      <x:c r="H377" s="26" t="n">
        <x:v>0.42971887550200805</x:v>
      </x:c>
      <x:c r="I377" s="12" t="n">
        <x:v>0</x:v>
      </x:c>
      <x:c r="J377" s="12" t="n">
        <x:v>8</x:v>
      </x:c>
      <x:c r="K377" s="12"/>
      <x:c r="L377" s="12"/>
      <x:c r="M377" s="12" t="str">
        <x:f>IF(K377="", "", MAX(0,IF(K377&lt;=20,100,IF(K377&lt;=30,85,IF(K377&lt;=40,70,IF(K377&lt;=50,55,IF(K377&lt;=60,40,20)))))-MIN(L377*5,20)))</x:f>
      </x:c>
      <x:c r="N377" s="12"/>
      <x:c r="O377" s="12"/>
      <x:c r="P377" s="12" t="str">
        <x:f>IF(OR(H377="",J377="",M377=""),"",ROUND(PERCENTRANK.INC($H$2:$H$941,H377)*35+J377*0.35+M377*0.30,0))</x:f>
      </x:c>
      <x:c r="Q377" s="12" t="str">
        <x:f>IF(P377="","",IF(P377&gt;=80,"ATTACK",IF(P377&gt;=65,"GROW",IF(P377&gt;=50,"PARTNER","WATCH"))))</x:f>
      </x:c>
      <x:c r="R377" s="12" t="str">
        <x:f>IF(Q377="","",IF(Q377="ATTACK","Grassroots + family acquisition",IF(Q377="GROW","Test local campaign",IF(Q377="PARTNER","Organisation-first partnership","Low priority / validate"))))</x:f>
      </x:c>
      <x:c r="S377" s="45" t="n">
        <x:v>6.460884486524848</x:v>
      </x:c>
      <x:c r="T377" t="str">
        <x:v>NEAR</x:v>
      </x:c>
      <x:c r="U377" s="32" t="n">
        <x:f>PERCENTRANK.INC($G$2:$G$941,G377)</x:f>
        <x:v>0.502</x:v>
      </x:c>
      <x:c r="V377" s="32" t="n">
        <x:f>PERCENTRANK.INC($H$2:$H$941,H377)</x:f>
        <x:v>0.959</x:v>
      </x:c>
      <x:c r="W377" t="n">
        <x:f>ROUND((U377*55+V377*45)*IF(S377&lt;=5,1,IF(S377&lt;=10,0.95,IF(S377&lt;=20,0.85,0.70))),0)</x:f>
        <x:v>67</x:v>
      </x:c>
      <x:c r="X377" t="n">
        <x:v>41</x:v>
      </x:c>
      <x:c r="Y377" t="str">
        <x:v>WATCH</x:v>
      </x:c>
      <x:c r="Z377" s="12" t="str">
        <x:v>Family + verified grassroots + straight-line geo only; transport not yet routed</x:v>
      </x:c>
      <x:c r="AA377" s="12"/>
      <x:c r="AB377" s="12"/>
      <x:c r="AC377" s="12"/>
      <x:c r="AD377" s="12"/>
      <x:c r="AE377" t="str">
        <x:v>Crystal Palace Women</x:v>
      </x:c>
      <x:c r="AF377" s="45" t="n">
        <x:v>8.85639122633997</x:v>
      </x:c>
      <x:c r="AG377" t="str">
        <x:v>Dulwich Hamlet Women</x:v>
      </x:c>
      <x:c r="AH377" s="45" t="n">
        <x:v>15.007180829012611</x:v>
      </x:c>
      <x:c r="AI377" t="n">
        <x:v>60</x:v>
      </x:c>
      <x:c r="AJ377" t="str">
        <x:v>MEDIUM</x:v>
      </x:c>
    </x:row>
    <x:row r="378">
      <x:c r="A378" s="12" t="str">
        <x:v>E01001073</x:v>
      </x:c>
      <x:c r="B378" s="12" t="str">
        <x:v>Croydon 037A</x:v>
      </x:c>
      <x:c r="C378" s="12" t="str">
        <x:v>Croydon</x:v>
      </x:c>
      <x:c r="D378" s="44" t="n">
        <x:v>51.33289052533045</x:v>
      </x:c>
      <x:c r="E378" s="44" t="n">
        <x:v>-0.11821084633659543</x:v>
      </x:c>
      <x:c r="F378" s="33" t="n">
        <x:v>583</x:v>
      </x:c>
      <x:c r="G378" s="33" t="n">
        <x:v>187</x:v>
      </x:c>
      <x:c r="H378" s="26" t="n">
        <x:v>0.32075471698113206</x:v>
      </x:c>
      <x:c r="I378" s="12" t="n">
        <x:v>2</x:v>
      </x:c>
      <x:c r="J378" s="12" t="n">
        <x:v>46</x:v>
      </x:c>
      <x:c r="K378" s="12"/>
      <x:c r="L378" s="12"/>
      <x:c r="M378" s="12" t="str">
        <x:f>IF(K378="", "", MAX(0,IF(K378&lt;=20,100,IF(K378&lt;=30,85,IF(K378&lt;=40,70,IF(K378&lt;=50,55,IF(K378&lt;=60,40,20)))))-MIN(L378*5,20)))</x:f>
      </x:c>
      <x:c r="N378" s="12"/>
      <x:c r="O378" s="12"/>
      <x:c r="P378" s="12" t="str">
        <x:f>IF(OR(H378="",J378="",M378=""),"",ROUND(PERCENTRANK.INC($H$2:$H$941,H378)*35+J378*0.35+M378*0.30,0))</x:f>
      </x:c>
      <x:c r="Q378" s="12" t="str">
        <x:f>IF(P378="","",IF(P378&gt;=80,"ATTACK",IF(P378&gt;=65,"GROW",IF(P378&gt;=50,"PARTNER","WATCH"))))</x:f>
      </x:c>
      <x:c r="R378" s="12" t="str">
        <x:f>IF(Q378="","",IF(Q378="ATTACK","Grassroots + family acquisition",IF(Q378="GROW","Test local campaign",IF(Q378="PARTNER","Organisation-first partnership","Low priority / validate"))))</x:f>
      </x:c>
      <x:c r="S378" s="45" t="n">
        <x:v>11.436108837572561</x:v>
      </x:c>
      <x:c r="T378" t="str">
        <x:v>EXTENDED</x:v>
      </x:c>
      <x:c r="U378" s="32" t="n">
        <x:f>PERCENTRANK.INC($G$2:$G$941,G378)</x:f>
        <x:v>0.29</x:v>
      </x:c>
      <x:c r="V378" s="32" t="n">
        <x:f>PERCENTRANK.INC($H$2:$H$941,H378)</x:f>
        <x:v>0.518</x:v>
      </x:c>
      <x:c r="W378" t="n">
        <x:f>ROUND((U378*55+V378*45)*IF(S378&lt;=5,1,IF(S378&lt;=10,0.95,IF(S378&lt;=20,0.85,0.70))),0)</x:f>
        <x:v>33</x:v>
      </x:c>
      <x:c r="X378" t="n">
        <x:v>39</x:v>
      </x:c>
      <x:c r="Y378" t="str">
        <x:v>WATCH</x:v>
      </x:c>
      <x:c r="Z378" s="12" t="str">
        <x:v>Family + verified grassroots + straight-line geo only; transport not yet routed</x:v>
      </x:c>
      <x:c r="AA378" s="12"/>
      <x:c r="AB378" s="12"/>
      <x:c r="AC378" s="12"/>
      <x:c r="AD378" s="12"/>
      <x:c r="AE378" t="str">
        <x:v>Crystal Palace Women</x:v>
      </x:c>
      <x:c r="AF378" s="45" t="n">
        <x:v>7.11862458151235</x:v>
      </x:c>
      <x:c r="AG378" t="str">
        <x:v>AFC Wimbledon Women</x:v>
      </x:c>
      <x:c r="AH378" s="45" t="n">
        <x:v>11.929420329467797</x:v>
      </x:c>
      <x:c r="AI378" t="n">
        <x:v>65</x:v>
      </x:c>
      <x:c r="AJ378" t="str">
        <x:v>MEDIUM</x:v>
      </x:c>
    </x:row>
    <x:row r="379">
      <x:c r="A379" s="12" t="str">
        <x:v>E01001092</x:v>
      </x:c>
      <x:c r="B379" s="12" t="str">
        <x:v>Croydon 037B</x:v>
      </x:c>
      <x:c r="C379" s="12" t="str">
        <x:v>Croydon</x:v>
      </x:c>
      <x:c r="D379" s="44" t="n">
        <x:v>51.34222397902008</x:v>
      </x:c>
      <x:c r="E379" s="44" t="n">
        <x:v>-0.12211334177105075</x:v>
      </x:c>
      <x:c r="F379" s="33" t="n">
        <x:v>702</x:v>
      </x:c>
      <x:c r="G379" s="33" t="n">
        <x:v>209</x:v>
      </x:c>
      <x:c r="H379" s="26" t="n">
        <x:v>0.29772079772079774</x:v>
      </x:c>
      <x:c r="I379" s="12" t="n">
        <x:v>2</x:v>
      </x:c>
      <x:c r="J379" s="12" t="n">
        <x:v>46</x:v>
      </x:c>
      <x:c r="K379" s="12"/>
      <x:c r="L379" s="12"/>
      <x:c r="M379" s="12" t="str">
        <x:f>IF(K379="", "", MAX(0,IF(K379&lt;=20,100,IF(K379&lt;=30,85,IF(K379&lt;=40,70,IF(K379&lt;=50,55,IF(K379&lt;=60,40,20)))))-MIN(L379*5,20)))</x:f>
      </x:c>
      <x:c r="N379" s="12"/>
      <x:c r="O379" s="12"/>
      <x:c r="P379" s="12" t="str">
        <x:f>IF(OR(H379="",J379="",M379=""),"",ROUND(PERCENTRANK.INC($H$2:$H$941,H379)*35+J379*0.35+M379*0.30,0))</x:f>
      </x:c>
      <x:c r="Q379" s="12" t="str">
        <x:f>IF(P379="","",IF(P379&gt;=80,"ATTACK",IF(P379&gt;=65,"GROW",IF(P379&gt;=50,"PARTNER","WATCH"))))</x:f>
      </x:c>
      <x:c r="R379" s="12" t="str">
        <x:f>IF(Q379="","",IF(Q379="ATTACK","Grassroots + family acquisition",IF(Q379="GROW","Test local campaign",IF(Q379="PARTNER","Organisation-first partnership","Low priority / validate"))))</x:f>
      </x:c>
      <x:c r="S379" s="45" t="n">
        <x:v>11.118525314540978</x:v>
      </x:c>
      <x:c r="T379" t="str">
        <x:v>EXTENDED</x:v>
      </x:c>
      <x:c r="U379" s="32" t="n">
        <x:f>PERCENTRANK.INC($G$2:$G$941,G379)</x:f>
        <x:v>0.461</x:v>
      </x:c>
      <x:c r="V379" s="32" t="n">
        <x:f>PERCENTRANK.INC($H$2:$H$941,H379)</x:f>
        <x:v>0.38</x:v>
      </x:c>
      <x:c r="W379" t="n">
        <x:f>ROUND((U379*55+V379*45)*IF(S379&lt;=5,1,IF(S379&lt;=10,0.95,IF(S379&lt;=20,0.85,0.70))),0)</x:f>
        <x:v>36</x:v>
      </x:c>
      <x:c r="X379" t="n">
        <x:v>41</x:v>
      </x:c>
      <x:c r="Y379" t="str">
        <x:v>WATCH</x:v>
      </x:c>
      <x:c r="Z379" s="12" t="str">
        <x:v>Family + verified grassroots + straight-line geo only; transport not yet routed</x:v>
      </x:c>
      <x:c r="AA379" s="12"/>
      <x:c r="AB379" s="12"/>
      <x:c r="AC379" s="12"/>
      <x:c r="AD379" s="12"/>
      <x:c r="AE379" t="str">
        <x:v>Crystal Palace Women</x:v>
      </x:c>
      <x:c r="AF379" s="45" t="n">
        <x:v>6.370603209741463</x:v>
      </x:c>
      <x:c r="AG379" t="str">
        <x:v>AFC Wimbledon Women</x:v>
      </x:c>
      <x:c r="AH379" s="45" t="n">
        <x:v>10.870851743199571</x:v>
      </x:c>
      <x:c r="AI379" t="n">
        <x:v>65</x:v>
      </x:c>
      <x:c r="AJ379" t="str">
        <x:v>MEDIUM</x:v>
      </x:c>
    </x:row>
    <x:row r="380">
      <x:c r="A380" s="12" t="str">
        <x:v>E01001093</x:v>
      </x:c>
      <x:c r="B380" s="12" t="str">
        <x:v>Croydon 037C</x:v>
      </x:c>
      <x:c r="C380" s="12" t="str">
        <x:v>Croydon</x:v>
      </x:c>
      <x:c r="D380" s="44" t="n">
        <x:v>51.34469861684534</x:v>
      </x:c>
      <x:c r="E380" s="44" t="n">
        <x:v>-0.10923977251127329</x:v>
      </x:c>
      <x:c r="F380" s="33" t="n">
        <x:v>712</x:v>
      </x:c>
      <x:c r="G380" s="33" t="n">
        <x:v>228</x:v>
      </x:c>
      <x:c r="H380" s="26" t="n">
        <x:v>0.3202247191011236</x:v>
      </x:c>
      <x:c r="I380" s="12" t="n">
        <x:v>2</x:v>
      </x:c>
      <x:c r="J380" s="12" t="n">
        <x:v>53</x:v>
      </x:c>
      <x:c r="K380" s="12"/>
      <x:c r="L380" s="12"/>
      <x:c r="M380" s="12" t="str">
        <x:f>IF(K380="", "", MAX(0,IF(K380&lt;=20,100,IF(K380&lt;=30,85,IF(K380&lt;=40,70,IF(K380&lt;=50,55,IF(K380&lt;=60,40,20)))))-MIN(L380*5,20)))</x:f>
      </x:c>
      <x:c r="N380" s="12"/>
      <x:c r="O380" s="12"/>
      <x:c r="P380" s="12" t="str">
        <x:f>IF(OR(H380="",J380="",M380=""),"",ROUND(PERCENTRANK.INC($H$2:$H$941,H380)*35+J380*0.35+M380*0.30,0))</x:f>
      </x:c>
      <x:c r="Q380" s="12" t="str">
        <x:f>IF(P380="","",IF(P380&gt;=80,"ATTACK",IF(P380&gt;=65,"GROW",IF(P380&gt;=50,"PARTNER","WATCH"))))</x:f>
      </x:c>
      <x:c r="R380" s="12" t="str">
        <x:f>IF(Q380="","",IF(Q380="ATTACK","Grassroots + family acquisition",IF(Q380="GROW","Test local campaign",IF(Q380="PARTNER","Organisation-first partnership","Low priority / validate"))))</x:f>
      </x:c>
      <x:c r="S380" s="45" t="n">
        <x:v>10.205753557663783</x:v>
      </x:c>
      <x:c r="T380" t="str">
        <x:v>EXTENDED</x:v>
      </x:c>
      <x:c r="U380" s="32" t="n">
        <x:f>PERCENTRANK.INC($G$2:$G$941,G380)</x:f>
        <x:v>0.616</x:v>
      </x:c>
      <x:c r="V380" s="32" t="n">
        <x:f>PERCENTRANK.INC($H$2:$H$941,H380)</x:f>
        <x:v>0.511</x:v>
      </x:c>
      <x:c r="W380" t="n">
        <x:f>ROUND((U380*55+V380*45)*IF(S380&lt;=5,1,IF(S380&lt;=10,0.95,IF(S380&lt;=20,0.85,0.70))),0)</x:f>
        <x:v>48</x:v>
      </x:c>
      <x:c r="X380" t="n">
        <x:v>51</x:v>
      </x:c>
      <x:c r="Y380" t="str">
        <x:v>PARTNER</x:v>
      </x:c>
      <x:c r="Z380" s="12" t="str">
        <x:v>Family + verified grassroots + straight-line geo only; transport not yet routed</x:v>
      </x:c>
      <x:c r="AA380" s="12"/>
      <x:c r="AB380" s="12"/>
      <x:c r="AC380" s="12"/>
      <x:c r="AD380" s="12"/>
      <x:c r="AE380" t="str">
        <x:v>Crystal Palace Women</x:v>
      </x:c>
      <x:c r="AF380" s="45" t="n">
        <x:v>6.18820404924548</x:v>
      </x:c>
      <x:c r="AG380" t="str">
        <x:v>AFC Wimbledon Women</x:v>
      </x:c>
      <x:c r="AH380" s="45" t="n">
        <x:v>11.028407408078655</x:v>
      </x:c>
      <x:c r="AI380" t="n">
        <x:v>65</x:v>
      </x:c>
      <x:c r="AJ380" t="str">
        <x:v>MEDIUM</x:v>
      </x:c>
    </x:row>
    <x:row r="381">
      <x:c r="A381" s="12" t="str">
        <x:v>E01001096</x:v>
      </x:c>
      <x:c r="B381" s="12" t="str">
        <x:v>Croydon 037D</x:v>
      </x:c>
      <x:c r="C381" s="12" t="str">
        <x:v>Croydon</x:v>
      </x:c>
      <x:c r="D381" s="44" t="n">
        <x:v>51.34076320505902</x:v>
      </x:c>
      <x:c r="E381" s="44" t="n">
        <x:v>-0.10334499306242068</x:v>
      </x:c>
      <x:c r="F381" s="33" t="n">
        <x:v>531</x:v>
      </x:c>
      <x:c r="G381" s="33" t="n">
        <x:v>174</x:v>
      </x:c>
      <x:c r="H381" s="26" t="n">
        <x:v>0.327683615819209</x:v>
      </x:c>
      <x:c r="I381" s="12" t="n">
        <x:v>2</x:v>
      </x:c>
      <x:c r="J381" s="12" t="n">
        <x:v>46</x:v>
      </x:c>
      <x:c r="K381" s="12"/>
      <x:c r="L381" s="12"/>
      <x:c r="M381" s="12" t="str">
        <x:f>IF(K381="", "", MAX(0,IF(K381&lt;=20,100,IF(K381&lt;=30,85,IF(K381&lt;=40,70,IF(K381&lt;=50,55,IF(K381&lt;=60,40,20)))))-MIN(L381*5,20)))</x:f>
      </x:c>
      <x:c r="N381" s="12"/>
      <x:c r="O381" s="12"/>
      <x:c r="P381" s="12" t="str">
        <x:f>IF(OR(H381="",J381="",M381=""),"",ROUND(PERCENTRANK.INC($H$2:$H$941,H381)*35+J381*0.35+M381*0.30,0))</x:f>
      </x:c>
      <x:c r="Q381" s="12" t="str">
        <x:f>IF(P381="","",IF(P381&gt;=80,"ATTACK",IF(P381&gt;=65,"GROW",IF(P381&gt;=50,"PARTNER","WATCH"))))</x:f>
      </x:c>
      <x:c r="R381" s="12" t="str">
        <x:f>IF(Q381="","",IF(Q381="ATTACK","Grassroots + family acquisition",IF(Q381="GROW","Test local campaign",IF(Q381="PARTNER","Organisation-first partnership","Low priority / validate"))))</x:f>
      </x:c>
      <x:c r="S381" s="45" t="n">
        <x:v>10.090285923185563</x:v>
      </x:c>
      <x:c r="T381" t="str">
        <x:v>EXTENDED</x:v>
      </x:c>
      <x:c r="U381" s="32" t="n">
        <x:f>PERCENTRANK.INC($G$2:$G$941,G381)</x:f>
        <x:v>0.188</x:v>
      </x:c>
      <x:c r="V381" s="32" t="n">
        <x:f>PERCENTRANK.INC($H$2:$H$941,H381)</x:f>
        <x:v>0.553</x:v>
      </x:c>
      <x:c r="W381" t="n">
        <x:f>ROUND((U381*55+V381*45)*IF(S381&lt;=5,1,IF(S381&lt;=10,0.95,IF(S381&lt;=20,0.85,0.70))),0)</x:f>
        <x:v>30</x:v>
      </x:c>
      <x:c r="X381" t="n">
        <x:v>37</x:v>
      </x:c>
      <x:c r="Y381" t="str">
        <x:v>WATCH</x:v>
      </x:c>
      <x:c r="Z381" s="12" t="str">
        <x:v>Family + verified grassroots + straight-line geo only; transport not yet routed</x:v>
      </x:c>
      <x:c r="AA381" s="12"/>
      <x:c r="AB381" s="12"/>
      <x:c r="AC381" s="12"/>
      <x:c r="AD381" s="12"/>
      <x:c r="AE381" t="str">
        <x:v>Crystal Palace Women</x:v>
      </x:c>
      <x:c r="AF381" s="45" t="n">
        <x:v>6.519114072670971</x:v>
      </x:c>
      <x:c r="AG381" t="str">
        <x:v>AFC Wimbledon Women</x:v>
      </x:c>
      <x:c r="AH381" s="45" t="n">
        <x:v>11.611035890699574</x:v>
      </x:c>
      <x:c r="AI381" t="n">
        <x:v>65</x:v>
      </x:c>
      <x:c r="AJ381" t="str">
        <x:v>MEDIUM</x:v>
      </x:c>
    </x:row>
    <x:row r="382">
      <x:c r="A382" s="12" t="str">
        <x:v>E01001097</x:v>
      </x:c>
      <x:c r="B382" s="12" t="str">
        <x:v>Croydon 037E</x:v>
      </x:c>
      <x:c r="C382" s="12" t="str">
        <x:v>Croydon</x:v>
      </x:c>
      <x:c r="D382" s="44" t="n">
        <x:v>51.33878339218636</x:v>
      </x:c>
      <x:c r="E382" s="44" t="n">
        <x:v>-0.11418145652912015</x:v>
      </x:c>
      <x:c r="F382" s="33" t="n">
        <x:v>1171</x:v>
      </x:c>
      <x:c r="G382" s="33" t="n">
        <x:v>296</x:v>
      </x:c>
      <x:c r="H382" s="26" t="n">
        <x:v>0.2527754056362084</x:v>
      </x:c>
      <x:c r="I382" s="12" t="n">
        <x:v>2</x:v>
      </x:c>
      <x:c r="J382" s="12" t="n">
        <x:v>46</x:v>
      </x:c>
      <x:c r="K382" s="12"/>
      <x:c r="L382" s="12"/>
      <x:c r="M382" s="12" t="str">
        <x:f>IF(K382="", "", MAX(0,IF(K382&lt;=20,100,IF(K382&lt;=30,85,IF(K382&lt;=40,70,IF(K382&lt;=50,55,IF(K382&lt;=60,40,20)))))-MIN(L382*5,20)))</x:f>
      </x:c>
      <x:c r="N382" s="12"/>
      <x:c r="O382" s="12"/>
      <x:c r="P382" s="12" t="str">
        <x:f>IF(OR(H382="",J382="",M382=""),"",ROUND(PERCENTRANK.INC($H$2:$H$941,H382)*35+J382*0.35+M382*0.30,0))</x:f>
      </x:c>
      <x:c r="Q382" s="12" t="str">
        <x:f>IF(P382="","",IF(P382&gt;=80,"ATTACK",IF(P382&gt;=65,"GROW",IF(P382&gt;=50,"PARTNER","WATCH"))))</x:f>
      </x:c>
      <x:c r="R382" s="12" t="str">
        <x:f>IF(Q382="","",IF(Q382="ATTACK","Grassroots + family acquisition",IF(Q382="GROW","Test local campaign",IF(Q382="PARTNER","Organisation-first partnership","Low priority / validate"))))</x:f>
      </x:c>
      <x:c r="S382" s="45" t="n">
        <x:v>10.84138780639361</x:v>
      </x:c>
      <x:c r="T382" t="str">
        <x:v>EXTENDED</x:v>
      </x:c>
      <x:c r="U382" s="32" t="n">
        <x:f>PERCENTRANK.INC($G$2:$G$941,G382)</x:f>
        <x:v>0.938</x:v>
      </x:c>
      <x:c r="V382" s="32" t="n">
        <x:f>PERCENTRANK.INC($H$2:$H$941,H382)</x:f>
        <x:v>0.192</x:v>
      </x:c>
      <x:c r="W382" t="n">
        <x:f>ROUND((U382*55+V382*45)*IF(S382&lt;=5,1,IF(S382&lt;=10,0.95,IF(S382&lt;=20,0.85,0.70))),0)</x:f>
        <x:v>51</x:v>
      </x:c>
      <x:c r="X382" t="n">
        <x:v>49</x:v>
      </x:c>
      <x:c r="Y382" t="str">
        <x:v>WATCH</x:v>
      </x:c>
      <x:c r="Z382" s="12" t="str">
        <x:v>Family + verified grassroots + straight-line geo only; transport not yet routed</x:v>
      </x:c>
      <x:c r="AA382" s="12"/>
      <x:c r="AB382" s="12"/>
      <x:c r="AC382" s="12"/>
      <x:c r="AD382" s="12"/>
      <x:c r="AE382" t="str">
        <x:v>Crystal Palace Women</x:v>
      </x:c>
      <x:c r="AF382" s="45" t="n">
        <x:v>6.915893306940045</x:v>
      </x:c>
      <x:c r="AG382" t="str">
        <x:v>AFC Wimbledon Women</x:v>
      </x:c>
      <x:c r="AH382" s="45" t="n">
        <x:v>11.451910368949385</x:v>
      </x:c>
      <x:c r="AI382" t="n">
        <x:v>65</x:v>
      </x:c>
      <x:c r="AJ382" t="str">
        <x:v>MEDIUM</x:v>
      </x:c>
    </x:row>
    <x:row r="383">
      <x:c r="A383" s="12" t="str">
        <x:v>E01001098</x:v>
      </x:c>
      <x:c r="B383" s="12" t="str">
        <x:v>Croydon 037F</x:v>
      </x:c>
      <x:c r="C383" s="12" t="str">
        <x:v>Croydon</x:v>
      </x:c>
      <x:c r="D383" s="44" t="n">
        <x:v>51.335009724946836</x:v>
      </x:c>
      <x:c r="E383" s="44" t="n">
        <x:v>-0.10605111033024998</x:v>
      </x:c>
      <x:c r="F383" s="33" t="n">
        <x:v>536</x:v>
      </x:c>
      <x:c r="G383" s="33" t="n">
        <x:v>190</x:v>
      </x:c>
      <x:c r="H383" s="26" t="n">
        <x:v>0.35447761194029853</x:v>
      </x:c>
      <x:c r="I383" s="12" t="n">
        <x:v>2</x:v>
      </x:c>
      <x:c r="J383" s="12" t="n">
        <x:v>46</x:v>
      </x:c>
      <x:c r="K383" s="12"/>
      <x:c r="L383" s="12"/>
      <x:c r="M383" s="12" t="str">
        <x:f>IF(K383="", "", MAX(0,IF(K383&lt;=20,100,IF(K383&lt;=30,85,IF(K383&lt;=40,70,IF(K383&lt;=50,55,IF(K383&lt;=60,40,20)))))-MIN(L383*5,20)))</x:f>
      </x:c>
      <x:c r="N383" s="12"/>
      <x:c r="O383" s="12"/>
      <x:c r="P383" s="12" t="str">
        <x:f>IF(OR(H383="",J383="",M383=""),"",ROUND(PERCENTRANK.INC($H$2:$H$941,H383)*35+J383*0.35+M383*0.30,0))</x:f>
      </x:c>
      <x:c r="Q383" s="12" t="str">
        <x:f>IF(P383="","",IF(P383&gt;=80,"ATTACK",IF(P383&gt;=65,"GROW",IF(P383&gt;=50,"PARTNER","WATCH"))))</x:f>
      </x:c>
      <x:c r="R383" s="12" t="str">
        <x:f>IF(Q383="","",IF(Q383="ATTACK","Grassroots + family acquisition",IF(Q383="GROW","Test local campaign",IF(Q383="PARTNER","Organisation-first partnership","Low priority / validate"))))</x:f>
      </x:c>
      <x:c r="S383" s="45" t="n">
        <x:v>10.609934111059287</x:v>
      </x:c>
      <x:c r="T383" t="str">
        <x:v>EXTENDED</x:v>
      </x:c>
      <x:c r="U383" s="32" t="n">
        <x:f>PERCENTRANK.INC($G$2:$G$941,G383)</x:f>
        <x:v>0.317</x:v>
      </x:c>
      <x:c r="V383" s="32" t="n">
        <x:f>PERCENTRANK.INC($H$2:$H$941,H383)</x:f>
        <x:v>0.711</x:v>
      </x:c>
      <x:c r="W383" t="n">
        <x:f>ROUND((U383*55+V383*45)*IF(S383&lt;=5,1,IF(S383&lt;=10,0.95,IF(S383&lt;=20,0.85,0.70))),0)</x:f>
        <x:v>42</x:v>
      </x:c>
      <x:c r="X383" t="n">
        <x:v>44</x:v>
      </x:c>
      <x:c r="Y383" t="str">
        <x:v>WATCH</x:v>
      </x:c>
      <x:c r="Z383" s="12" t="str">
        <x:v>Family + verified grassroots + straight-line geo only; transport not yet routed</x:v>
      </x:c>
      <x:c r="AA383" s="12"/>
      <x:c r="AB383" s="12"/>
      <x:c r="AC383" s="12"/>
      <x:c r="AD383" s="12"/>
      <x:c r="AE383" t="str">
        <x:v>Crystal Palace Women</x:v>
      </x:c>
      <x:c r="AF383" s="45" t="n">
        <x:v>7.183418547954748</x:v>
      </x:c>
      <x:c r="AG383" t="str">
        <x:v>AFC Wimbledon Women</x:v>
      </x:c>
      <x:c r="AH383" s="45" t="n">
        <x:v>12.081490761524071</x:v>
      </x:c>
      <x:c r="AI383" t="n">
        <x:v>65</x:v>
      </x:c>
      <x:c r="AJ383" t="str">
        <x:v>MEDIUM</x:v>
      </x:c>
    </x:row>
    <x:row r="384">
      <x:c r="A384" s="12" t="str">
        <x:v>E01001028</x:v>
      </x:c>
      <x:c r="B384" s="12" t="str">
        <x:v>Croydon 038A</x:v>
      </x:c>
      <x:c r="C384" s="12" t="str">
        <x:v>Croydon</x:v>
      </x:c>
      <x:c r="D384" s="44" t="n">
        <x:v>51.332389862563005</x:v>
      </x:c>
      <x:c r="E384" s="44" t="n">
        <x:v>-0.13870237254385884</x:v>
      </x:c>
      <x:c r="F384" s="33" t="n">
        <x:v>539</x:v>
      </x:c>
      <x:c r="G384" s="33" t="n">
        <x:v>184</x:v>
      </x:c>
      <x:c r="H384" s="26" t="n">
        <x:v>0.34137291280148424</x:v>
      </x:c>
      <x:c r="I384" s="12" t="n">
        <x:v>2</x:v>
      </x:c>
      <x:c r="J384" s="12" t="n">
        <x:v>38</x:v>
      </x:c>
      <x:c r="K384" s="12"/>
      <x:c r="L384" s="12"/>
      <x:c r="M384" s="12" t="str">
        <x:f>IF(K384="", "", MAX(0,IF(K384&lt;=20,100,IF(K384&lt;=30,85,IF(K384&lt;=40,70,IF(K384&lt;=50,55,IF(K384&lt;=60,40,20)))))-MIN(L384*5,20)))</x:f>
      </x:c>
      <x:c r="N384" s="12"/>
      <x:c r="O384" s="12"/>
      <x:c r="P384" s="12" t="str">
        <x:f>IF(OR(H384="",J384="",M384=""),"",ROUND(PERCENTRANK.INC($H$2:$H$941,H384)*35+J384*0.35+M384*0.30,0))</x:f>
      </x:c>
      <x:c r="Q384" s="12" t="str">
        <x:f>IF(P384="","",IF(P384&gt;=80,"ATTACK",IF(P384&gt;=65,"GROW",IF(P384&gt;=50,"PARTNER","WATCH"))))</x:f>
      </x:c>
      <x:c r="R384" s="12" t="str">
        <x:f>IF(Q384="","",IF(Q384="ATTACK","Grassroots + family acquisition",IF(Q384="GROW","Test local campaign",IF(Q384="PARTNER","Organisation-first partnership","Low priority / validate"))))</x:f>
      </x:c>
      <x:c r="S384" s="45" t="n">
        <x:v>12.664315076570052</x:v>
      </x:c>
      <x:c r="T384" t="str">
        <x:v>EXTENDED</x:v>
      </x:c>
      <x:c r="U384" s="32" t="n">
        <x:f>PERCENTRANK.INC($G$2:$G$941,G384)</x:f>
        <x:v>0.256</x:v>
      </x:c>
      <x:c r="V384" s="32" t="n">
        <x:f>PERCENTRANK.INC($H$2:$H$941,H384)</x:f>
        <x:v>0.625</x:v>
      </x:c>
      <x:c r="W384" t="n">
        <x:f>ROUND((U384*55+V384*45)*IF(S384&lt;=5,1,IF(S384&lt;=10,0.95,IF(S384&lt;=20,0.85,0.70))),0)</x:f>
        <x:v>36</x:v>
      </x:c>
      <x:c r="X384" t="n">
        <x:v>37</x:v>
      </x:c>
      <x:c r="Y384" t="str">
        <x:v>WATCH</x:v>
      </x:c>
      <x:c r="Z384" s="12" t="str">
        <x:v>Family + verified grassroots + straight-line geo only; transport not yet routed</x:v>
      </x:c>
      <x:c r="AA384" s="12"/>
      <x:c r="AB384" s="12"/>
      <x:c r="AC384" s="12"/>
      <x:c r="AD384" s="12"/>
      <x:c r="AE384" t="str">
        <x:v>Crystal Palace Women</x:v>
      </x:c>
      <x:c r="AF384" s="45" t="n">
        <x:v>6.0072340735167025</x:v>
      </x:c>
      <x:c r="AG384" t="str">
        <x:v>AFC Wimbledon Women</x:v>
      </x:c>
      <x:c r="AH384" s="45" t="n">
        <x:v>11.489386627979961</x:v>
      </x:c>
      <x:c r="AI384" t="n">
        <x:v>65</x:v>
      </x:c>
      <x:c r="AJ384" t="str">
        <x:v>MEDIUM</x:v>
      </x:c>
    </x:row>
    <x:row r="385">
      <x:c r="A385" s="12" t="str">
        <x:v>E01001029</x:v>
      </x:c>
      <x:c r="B385" s="12" t="str">
        <x:v>Croydon 038B</x:v>
      </x:c>
      <x:c r="C385" s="12" t="str">
        <x:v>Croydon</x:v>
      </x:c>
      <x:c r="D385" s="44" t="n">
        <x:v>51.3353882033516</x:v>
      </x:c>
      <x:c r="E385" s="44" t="n">
        <x:v>-0.12423749402380911</x:v>
      </x:c>
      <x:c r="F385" s="33" t="n">
        <x:v>634</x:v>
      </x:c>
      <x:c r="G385" s="33" t="n">
        <x:v>200</x:v>
      </x:c>
      <x:c r="H385" s="26" t="n">
        <x:v>0.31545741324921134</x:v>
      </x:c>
      <x:c r="I385" s="12" t="n">
        <x:v>2</x:v>
      </x:c>
      <x:c r="J385" s="12" t="n">
        <x:v>46</x:v>
      </x:c>
      <x:c r="K385" s="12"/>
      <x:c r="L385" s="12"/>
      <x:c r="M385" s="12" t="str">
        <x:f>IF(K385="", "", MAX(0,IF(K385&lt;=20,100,IF(K385&lt;=30,85,IF(K385&lt;=40,70,IF(K385&lt;=50,55,IF(K385&lt;=60,40,20)))))-MIN(L385*5,20)))</x:f>
      </x:c>
      <x:c r="N385" s="12"/>
      <x:c r="O385" s="12"/>
      <x:c r="P385" s="12" t="str">
        <x:f>IF(OR(H385="",J385="",M385=""),"",ROUND(PERCENTRANK.INC($H$2:$H$941,H385)*35+J385*0.35+M385*0.30,0))</x:f>
      </x:c>
      <x:c r="Q385" s="12" t="str">
        <x:f>IF(P385="","",IF(P385&gt;=80,"ATTACK",IF(P385&gt;=65,"GROW",IF(P385&gt;=50,"PARTNER","WATCH"))))</x:f>
      </x:c>
      <x:c r="R385" s="12" t="str">
        <x:f>IF(Q385="","",IF(Q385="ATTACK","Grassroots + family acquisition",IF(Q385="GROW","Test local campaign",IF(Q385="PARTNER","Organisation-first partnership","Low priority / validate"))))</x:f>
      </x:c>
      <x:c r="S385" s="45" t="n">
        <x:v>11.63360858213519</x:v>
      </x:c>
      <x:c r="T385" t="str">
        <x:v>EXTENDED</x:v>
      </x:c>
      <x:c r="U385" s="32" t="n">
        <x:f>PERCENTRANK.INC($G$2:$G$941,G385)</x:f>
        <x:v>0.388</x:v>
      </x:c>
      <x:c r="V385" s="32" t="n">
        <x:f>PERCENTRANK.INC($H$2:$H$941,H385)</x:f>
        <x:v>0.486</x:v>
      </x:c>
      <x:c r="W385" t="n">
        <x:f>ROUND((U385*55+V385*45)*IF(S385&lt;=5,1,IF(S385&lt;=10,0.95,IF(S385&lt;=20,0.85,0.70))),0)</x:f>
        <x:v>37</x:v>
      </x:c>
      <x:c r="X385" t="n">
        <x:v>41</x:v>
      </x:c>
      <x:c r="Y385" t="str">
        <x:v>WATCH</x:v>
      </x:c>
      <x:c r="Z385" s="12" t="str">
        <x:v>Family + verified grassroots + straight-line geo only; transport not yet routed</x:v>
      </x:c>
      <x:c r="AA385" s="12"/>
      <x:c r="AB385" s="12"/>
      <x:c r="AC385" s="12"/>
      <x:c r="AD385" s="12"/>
      <x:c r="AE385" t="str">
        <x:v>Crystal Palace Women</x:v>
      </x:c>
      <x:c r="AF385" s="45" t="n">
        <x:v>6.616253022813436</x:v>
      </x:c>
      <x:c r="AG385" t="str">
        <x:v>AFC Wimbledon Women</x:v>
      </x:c>
      <x:c r="AH385" s="45" t="n">
        <x:v>11.510966473097115</x:v>
      </x:c>
      <x:c r="AI385" t="n">
        <x:v>65</x:v>
      </x:c>
      <x:c r="AJ385" t="str">
        <x:v>MEDIUM</x:v>
      </x:c>
    </x:row>
    <x:row r="386">
      <x:c r="A386" s="12" t="str">
        <x:v>E01001030</x:v>
      </x:c>
      <x:c r="B386" s="12" t="str">
        <x:v>Croydon 038C</x:v>
      </x:c>
      <x:c r="C386" s="12" t="str">
        <x:v>Croydon</x:v>
      </x:c>
      <x:c r="D386" s="44" t="n">
        <x:v>51.329125179863375</x:v>
      </x:c>
      <x:c r="E386" s="44" t="n">
        <x:v>-0.13172820749071215</x:v>
      </x:c>
      <x:c r="F386" s="33" t="n">
        <x:v>490</x:v>
      </x:c>
      <x:c r="G386" s="33" t="n">
        <x:v>188</x:v>
      </x:c>
      <x:c r="H386" s="26" t="n">
        <x:v>0.3836734693877551</x:v>
      </x:c>
      <x:c r="I386" s="12" t="n">
        <x:v>2</x:v>
      </x:c>
      <x:c r="J386" s="12" t="n">
        <x:v>38</x:v>
      </x:c>
      <x:c r="K386" s="12"/>
      <x:c r="L386" s="12"/>
      <x:c r="M386" s="12" t="str">
        <x:f>IF(K386="", "", MAX(0,IF(K386&lt;=20,100,IF(K386&lt;=30,85,IF(K386&lt;=40,70,IF(K386&lt;=50,55,IF(K386&lt;=60,40,20)))))-MIN(L386*5,20)))</x:f>
      </x:c>
      <x:c r="N386" s="12"/>
      <x:c r="O386" s="12"/>
      <x:c r="P386" s="12" t="str">
        <x:f>IF(OR(H386="",J386="",M386=""),"",ROUND(PERCENTRANK.INC($H$2:$H$941,H386)*35+J386*0.35+M386*0.30,0))</x:f>
      </x:c>
      <x:c r="Q386" s="12" t="str">
        <x:f>IF(P386="","",IF(P386&gt;=80,"ATTACK",IF(P386&gt;=65,"GROW",IF(P386&gt;=50,"PARTNER","WATCH"))))</x:f>
      </x:c>
      <x:c r="R386" s="12" t="str">
        <x:f>IF(Q386="","",IF(Q386="ATTACK","Grassroots + family acquisition",IF(Q386="GROW","Test local campaign",IF(Q386="PARTNER","Organisation-first partnership","Low priority / validate"))))</x:f>
      </x:c>
      <x:c r="S386" s="45" t="n">
        <x:v>12.448781407114287</x:v>
      </x:c>
      <x:c r="T386" t="str">
        <x:v>EXTENDED</x:v>
      </x:c>
      <x:c r="U386" s="32" t="n">
        <x:f>PERCENTRANK.INC($G$2:$G$941,G386)</x:f>
        <x:v>0.303</x:v>
      </x:c>
      <x:c r="V386" s="32" t="n">
        <x:f>PERCENTRANK.INC($H$2:$H$941,H386)</x:f>
        <x:v>0.85</x:v>
      </x:c>
      <x:c r="W386" t="n">
        <x:f>ROUND((U386*55+V386*45)*IF(S386&lt;=5,1,IF(S386&lt;=10,0.95,IF(S386&lt;=20,0.85,0.70))),0)</x:f>
        <x:v>47</x:v>
      </x:c>
      <x:c r="X386" t="n">
        <x:v>43</x:v>
      </x:c>
      <x:c r="Y386" t="str">
        <x:v>WATCH</x:v>
      </x:c>
      <x:c r="Z386" s="12" t="str">
        <x:v>Family + verified grassroots + straight-line geo only; transport not yet routed</x:v>
      </x:c>
      <x:c r="AA386" s="12"/>
      <x:c r="AB386" s="12"/>
      <x:c r="AC386" s="12"/>
      <x:c r="AD386" s="12"/>
      <x:c r="AE386" t="str">
        <x:v>Crystal Palace Women</x:v>
      </x:c>
      <x:c r="AF386" s="45" t="n">
        <x:v>6.611520951515904</x:v>
      </x:c>
      <x:c r="AG386" t="str">
        <x:v>AFC Wimbledon Women</x:v>
      </x:c>
      <x:c r="AH386" s="45" t="n">
        <x:v>11.982852512667542</x:v>
      </x:c>
      <x:c r="AI386" t="n">
        <x:v>65</x:v>
      </x:c>
      <x:c r="AJ386" t="str">
        <x:v>MEDIUM</x:v>
      </x:c>
    </x:row>
    <x:row r="387">
      <x:c r="A387" s="12" t="str">
        <x:v>E01001031</x:v>
      </x:c>
      <x:c r="B387" s="12" t="str">
        <x:v>Croydon 038D</x:v>
      </x:c>
      <x:c r="C387" s="12" t="str">
        <x:v>Croydon</x:v>
      </x:c>
      <x:c r="D387" s="44" t="n">
        <x:v>51.32439777322737</x:v>
      </x:c>
      <x:c r="E387" s="44" t="n">
        <x:v>-0.14041454507220058</x:v>
      </x:c>
      <x:c r="F387" s="33" t="n">
        <x:v>516</x:v>
      </x:c>
      <x:c r="G387" s="33" t="n">
        <x:v>177</x:v>
      </x:c>
      <x:c r="H387" s="26" t="n">
        <x:v>0.3430232558139535</x:v>
      </x:c>
      <x:c r="I387" s="12" t="n">
        <x:v>1</x:v>
      </x:c>
      <x:c r="J387" s="12" t="n">
        <x:v>23</x:v>
      </x:c>
      <x:c r="K387" s="12"/>
      <x:c r="L387" s="12"/>
      <x:c r="M387" s="12" t="str">
        <x:f>IF(K387="", "", MAX(0,IF(K387&lt;=20,100,IF(K387&lt;=30,85,IF(K387&lt;=40,70,IF(K387&lt;=50,55,IF(K387&lt;=60,40,20)))))-MIN(L387*5,20)))</x:f>
      </x:c>
      <x:c r="N387" s="12"/>
      <x:c r="O387" s="12"/>
      <x:c r="P387" s="12" t="str">
        <x:f>IF(OR(H387="",J387="",M387=""),"",ROUND(PERCENTRANK.INC($H$2:$H$941,H387)*35+J387*0.35+M387*0.30,0))</x:f>
      </x:c>
      <x:c r="Q387" s="12" t="str">
        <x:f>IF(P387="","",IF(P387&gt;=80,"ATTACK",IF(P387&gt;=65,"GROW",IF(P387&gt;=50,"PARTNER","WATCH"))))</x:f>
      </x:c>
      <x:c r="R387" s="12" t="str">
        <x:f>IF(Q387="","",IF(Q387="ATTACK","Grassroots + family acquisition",IF(Q387="GROW","Test local campaign",IF(Q387="PARTNER","Organisation-first partnership","Low priority / validate"))))</x:f>
      </x:c>
      <x:c r="S387" s="45" t="n">
        <x:v>13.242806189814582</x:v>
      </x:c>
      <x:c r="T387" t="str">
        <x:v>EXTENDED</x:v>
      </x:c>
      <x:c r="U387" s="32" t="n">
        <x:f>PERCENTRANK.INC($G$2:$G$941,G387)</x:f>
        <x:v>0.202</x:v>
      </x:c>
      <x:c r="V387" s="32" t="n">
        <x:f>PERCENTRANK.INC($H$2:$H$941,H387)</x:f>
        <x:v>0.636</x:v>
      </x:c>
      <x:c r="W387" t="n">
        <x:f>ROUND((U387*55+V387*45)*IF(S387&lt;=5,1,IF(S387&lt;=10,0.95,IF(S387&lt;=20,0.85,0.70))),0)</x:f>
        <x:v>34</x:v>
      </x:c>
      <x:c r="X387" t="n">
        <x:v>29</x:v>
      </x:c>
      <x:c r="Y387" t="str">
        <x:v>WATCH</x:v>
      </x:c>
      <x:c r="Z387" s="12" t="str">
        <x:v>Family + verified grassroots + straight-line geo only; transport not yet routed</x:v>
      </x:c>
      <x:c r="AA387" s="12"/>
      <x:c r="AB387" s="12"/>
      <x:c r="AC387" s="12"/>
      <x:c r="AD387" s="12"/>
      <x:c r="AE387" t="str">
        <x:v>Crystal Palace Women</x:v>
      </x:c>
      <x:c r="AF387" s="45" t="n">
        <x:v>6.538147987737094</x:v>
      </x:c>
      <x:c r="AG387" t="str">
        <x:v>AFC Wimbledon Women</x:v>
      </x:c>
      <x:c r="AH387" s="45" t="n">
        <x:v>12.310796700624884</x:v>
      </x:c>
      <x:c r="AI387" t="n">
        <x:v>65</x:v>
      </x:c>
      <x:c r="AJ387" t="str">
        <x:v>MEDIUM</x:v>
      </x:c>
    </x:row>
    <x:row r="388">
      <x:c r="A388" s="12" t="str">
        <x:v>E01001094</x:v>
      </x:c>
      <x:c r="B388" s="12" t="str">
        <x:v>Croydon 038E</x:v>
      </x:c>
      <x:c r="C388" s="12" t="str">
        <x:v>Croydon</x:v>
      </x:c>
      <x:c r="D388" s="44" t="n">
        <x:v>51.342032830857555</x:v>
      </x:c>
      <x:c r="E388" s="44" t="n">
        <x:v>-0.13456934839897694</x:v>
      </x:c>
      <x:c r="F388" s="33" t="n">
        <x:v>566</x:v>
      </x:c>
      <x:c r="G388" s="33" t="n">
        <x:v>174</x:v>
      </x:c>
      <x:c r="H388" s="26" t="n">
        <x:v>0.30742049469964666</x:v>
      </x:c>
      <x:c r="I388" s="12" t="n">
        <x:v>2</x:v>
      </x:c>
      <x:c r="J388" s="12" t="n">
        <x:v>46</x:v>
      </x:c>
      <x:c r="K388" s="12"/>
      <x:c r="L388" s="12"/>
      <x:c r="M388" s="12" t="str">
        <x:f>IF(K388="", "", MAX(0,IF(K388&lt;=20,100,IF(K388&lt;=30,85,IF(K388&lt;=40,70,IF(K388&lt;=50,55,IF(K388&lt;=60,40,20)))))-MIN(L388*5,20)))</x:f>
      </x:c>
      <x:c r="N388" s="12"/>
      <x:c r="O388" s="12"/>
      <x:c r="P388" s="12" t="str">
        <x:f>IF(OR(H388="",J388="",M388=""),"",ROUND(PERCENTRANK.INC($H$2:$H$941,H388)*35+J388*0.35+M388*0.30,0))</x:f>
      </x:c>
      <x:c r="Q388" s="12" t="str">
        <x:f>IF(P388="","",IF(P388&gt;=80,"ATTACK",IF(P388&gt;=65,"GROW",IF(P388&gt;=50,"PARTNER","WATCH"))))</x:f>
      </x:c>
      <x:c r="R388" s="12" t="str">
        <x:f>IF(Q388="","",IF(Q388="ATTACK","Grassroots + family acquisition",IF(Q388="GROW","Test local campaign",IF(Q388="PARTNER","Organisation-first partnership","Low priority / validate"))))</x:f>
      </x:c>
      <x:c r="S388" s="45" t="n">
        <x:v>11.890693762139797</x:v>
      </x:c>
      <x:c r="T388" t="str">
        <x:v>EXTENDED</x:v>
      </x:c>
      <x:c r="U388" s="32" t="n">
        <x:f>PERCENTRANK.INC($G$2:$G$941,G388)</x:f>
        <x:v>0.188</x:v>
      </x:c>
      <x:c r="V388" s="32" t="n">
        <x:f>PERCENTRANK.INC($H$2:$H$941,H388)</x:f>
        <x:v>0.433</x:v>
      </x:c>
      <x:c r="W388" t="n">
        <x:f>ROUND((U388*55+V388*45)*IF(S388&lt;=5,1,IF(S388&lt;=10,0.95,IF(S388&lt;=20,0.85,0.70))),0)</x:f>
        <x:v>25</x:v>
      </x:c>
      <x:c r="X388" t="n">
        <x:v>35</x:v>
      </x:c>
      <x:c r="Y388" t="str">
        <x:v>WATCH</x:v>
      </x:c>
      <x:c r="Z388" s="12" t="str">
        <x:v>Family + verified grassroots + straight-line geo only; transport not yet routed</x:v>
      </x:c>
      <x:c r="AA388" s="12"/>
      <x:c r="AB388" s="12"/>
      <x:c r="AC388" s="12"/>
      <x:c r="AD388" s="12"/>
      <x:c r="AE388" t="str">
        <x:v>Crystal Palace Women</x:v>
      </x:c>
      <x:c r="AF388" s="45" t="n">
        <x:v>5.618067701033183</x:v>
      </x:c>
      <x:c r="AG388" t="str">
        <x:v>AFC Wimbledon Women</x:v>
      </x:c>
      <x:c r="AH388" s="45" t="n">
        <x:v>10.563053406265492</x:v>
      </x:c>
      <x:c r="AI388" t="n">
        <x:v>76</x:v>
      </x:c>
      <x:c r="AJ388" t="str">
        <x:v>HIGH</x:v>
      </x:c>
    </x:row>
    <x:row r="389">
      <x:c r="A389" s="12" t="str">
        <x:v>E01001103</x:v>
      </x:c>
      <x:c r="B389" s="12" t="str">
        <x:v>Croydon 039A</x:v>
      </x:c>
      <x:c r="C389" s="12" t="str">
        <x:v>Croydon</x:v>
      </x:c>
      <x:c r="D389" s="44" t="n">
        <x:v>51.32926562061507</x:v>
      </x:c>
      <x:c r="E389" s="44" t="n">
        <x:v>-0.07310749294306476</x:v>
      </x:c>
      <x:c r="F389" s="33" t="n">
        <x:v>644</x:v>
      </x:c>
      <x:c r="G389" s="33" t="n">
        <x:v>193</x:v>
      </x:c>
      <x:c r="H389" s="26" t="n">
        <x:v>0.2996894409937888</x:v>
      </x:c>
      <x:c r="I389" s="12" t="n">
        <x:v>2</x:v>
      </x:c>
      <x:c r="J389" s="12" t="n">
        <x:v>38</x:v>
      </x:c>
      <x:c r="K389" s="12"/>
      <x:c r="L389" s="12"/>
      <x:c r="M389" s="12" t="str">
        <x:f>IF(K389="", "", MAX(0,IF(K389&lt;=20,100,IF(K389&lt;=30,85,IF(K389&lt;=40,70,IF(K389&lt;=50,55,IF(K389&lt;=60,40,20)))))-MIN(L389*5,20)))</x:f>
      </x:c>
      <x:c r="N389" s="12"/>
      <x:c r="O389" s="12"/>
      <x:c r="P389" s="12" t="str">
        <x:f>IF(OR(H389="",J389="",M389=""),"",ROUND(PERCENTRANK.INC($H$2:$H$941,H389)*35+J389*0.35+M389*0.30,0))</x:f>
      </x:c>
      <x:c r="Q389" s="12" t="str">
        <x:f>IF(P389="","",IF(P389&gt;=80,"ATTACK",IF(P389&gt;=65,"GROW",IF(P389&gt;=50,"PARTNER","WATCH"))))</x:f>
      </x:c>
      <x:c r="R389" s="12" t="str">
        <x:f>IF(Q389="","",IF(Q389="ATTACK","Grassroots + family acquisition",IF(Q389="GROW","Test local campaign",IF(Q389="PARTNER","Organisation-first partnership","Low priority / validate"))))</x:f>
      </x:c>
      <x:c r="S389" s="45" t="n">
        <x:v>9.31985747870882</x:v>
      </x:c>
      <x:c r="T389" t="str">
        <x:v>NEAR</x:v>
      </x:c>
      <x:c r="U389" s="32" t="n">
        <x:f>PERCENTRANK.INC($G$2:$G$941,G389)</x:f>
        <x:v>0.333</x:v>
      </x:c>
      <x:c r="V389" s="32" t="n">
        <x:f>PERCENTRANK.INC($H$2:$H$941,H389)</x:f>
        <x:v>0.391</x:v>
      </x:c>
      <x:c r="W389" t="n">
        <x:f>ROUND((U389*55+V389*45)*IF(S389&lt;=5,1,IF(S389&lt;=10,0.95,IF(S389&lt;=20,0.85,0.70))),0)</x:f>
        <x:v>34</x:v>
      </x:c>
      <x:c r="X389" t="n">
        <x:v>36</x:v>
      </x:c>
      <x:c r="Y389" t="str">
        <x:v>WATCH</x:v>
      </x:c>
      <x:c r="Z389" s="12" t="str">
        <x:v>Family + verified grassroots + straight-line geo only; transport not yet routed</x:v>
      </x:c>
      <x:c r="AA389" s="12"/>
      <x:c r="AB389" s="12"/>
      <x:c r="AC389" s="12"/>
      <x:c r="AD389" s="12"/>
      <x:c r="AE389" t="str">
        <x:v>Crystal Palace Women</x:v>
      </x:c>
      <x:c r="AF389" s="45" t="n">
        <x:v>7.719469875671191</x:v>
      </x:c>
      <x:c r="AG389" t="str">
        <x:v>AFC Wimbledon Women</x:v>
      </x:c>
      <x:c r="AH389" s="45" t="n">
        <x:v>13.817171198552177</x:v>
      </x:c>
      <x:c r="AI389" t="n">
        <x:v>65</x:v>
      </x:c>
      <x:c r="AJ389" t="str">
        <x:v>MEDIUM</x:v>
      </x:c>
    </x:row>
    <x:row r="390">
      <x:c r="A390" s="12" t="str">
        <x:v>E01001105</x:v>
      </x:c>
      <x:c r="B390" s="12" t="str">
        <x:v>Croydon 039B</x:v>
      </x:c>
      <x:c r="C390" s="12" t="str">
        <x:v>Croydon</x:v>
      </x:c>
      <x:c r="D390" s="44" t="n">
        <x:v>51.324374120718524</x:v>
      </x:c>
      <x:c r="E390" s="44" t="n">
        <x:v>-0.06855188071241416</x:v>
      </x:c>
      <x:c r="F390" s="33" t="n">
        <x:v>621</x:v>
      </x:c>
      <x:c r="G390" s="33" t="n">
        <x:v>237</x:v>
      </x:c>
      <x:c r="H390" s="26" t="n">
        <x:v>0.38164251207729466</x:v>
      </x:c>
      <x:c r="I390" s="12" t="n">
        <x:v>1</x:v>
      </x:c>
      <x:c r="J390" s="12" t="n">
        <x:v>23</x:v>
      </x:c>
      <x:c r="K390" s="12"/>
      <x:c r="L390" s="12"/>
      <x:c r="M390" s="12" t="str">
        <x:f>IF(K390="", "", MAX(0,IF(K390&lt;=20,100,IF(K390&lt;=30,85,IF(K390&lt;=40,70,IF(K390&lt;=50,55,IF(K390&lt;=60,40,20)))))-MIN(L390*5,20)))</x:f>
      </x:c>
      <x:c r="N390" s="12"/>
      <x:c r="O390" s="12"/>
      <x:c r="P390" s="12" t="str">
        <x:f>IF(OR(H390="",J390="",M390=""),"",ROUND(PERCENTRANK.INC($H$2:$H$941,H390)*35+J390*0.35+M390*0.30,0))</x:f>
      </x:c>
      <x:c r="Q390" s="12" t="str">
        <x:f>IF(P390="","",IF(P390&gt;=80,"ATTACK",IF(P390&gt;=65,"GROW",IF(P390&gt;=50,"PARTNER","WATCH"))))</x:f>
      </x:c>
      <x:c r="R390" s="12" t="str">
        <x:f>IF(Q390="","",IF(Q390="ATTACK","Grassroots + family acquisition",IF(Q390="GROW","Test local campaign",IF(Q390="PARTNER","Organisation-first partnership","Low priority / validate"))))</x:f>
      </x:c>
      <x:c r="S390" s="45" t="n">
        <x:v>9.525536051436209</x:v>
      </x:c>
      <x:c r="T390" t="str">
        <x:v>NEAR</x:v>
      </x:c>
      <x:c r="U390" s="32" t="n">
        <x:f>PERCENTRANK.INC($G$2:$G$941,G390)</x:f>
        <x:v>0.689</x:v>
      </x:c>
      <x:c r="V390" s="32" t="n">
        <x:f>PERCENTRANK.INC($H$2:$H$941,H390)</x:f>
        <x:v>0.837</x:v>
      </x:c>
      <x:c r="W390" t="n">
        <x:f>ROUND((U390*55+V390*45)*IF(S390&lt;=5,1,IF(S390&lt;=10,0.95,IF(S390&lt;=20,0.85,0.70))),0)</x:f>
        <x:v>72</x:v>
      </x:c>
      <x:c r="X390" t="n">
        <x:v>50</x:v>
      </x:c>
      <x:c r="Y390" t="str">
        <x:v>PARTNER</x:v>
      </x:c>
      <x:c r="Z390" s="12" t="str">
        <x:v>Family + verified grassroots + straight-line geo only; transport not yet routed</x:v>
      </x:c>
      <x:c r="AA390" s="12"/>
      <x:c r="AB390" s="12"/>
      <x:c r="AC390" s="12"/>
      <x:c r="AD390" s="12"/>
      <x:c r="AE390" t="str">
        <x:v>Crystal Palace Women</x:v>
      </x:c>
      <x:c r="AF390" s="45" t="n">
        <x:v>8.298380154608202</x:v>
      </x:c>
      <x:c r="AG390" t="str">
        <x:v>AFC Wimbledon Women</x:v>
      </x:c>
      <x:c r="AH390" s="45" t="n">
        <x:v>14.444547767411814</x:v>
      </x:c>
      <x:c r="AI390" t="n">
        <x:v>65</x:v>
      </x:c>
      <x:c r="AJ390" t="str">
        <x:v>MEDIUM</x:v>
      </x:c>
    </x:row>
    <x:row r="391">
      <x:c r="A391" s="12" t="str">
        <x:v>E01001106</x:v>
      </x:c>
      <x:c r="B391" s="12" t="str">
        <x:v>Croydon 039C</x:v>
      </x:c>
      <x:c r="C391" s="12" t="str">
        <x:v>Croydon</x:v>
      </x:c>
      <x:c r="D391" s="44" t="n">
        <x:v>51.32097779859897</x:v>
      </x:c>
      <x:c r="E391" s="44" t="n">
        <x:v>-0.06528848218064176</x:v>
      </x:c>
      <x:c r="F391" s="33" t="n">
        <x:v>561</x:v>
      </x:c>
      <x:c r="G391" s="33" t="n">
        <x:v>193</x:v>
      </x:c>
      <x:c r="H391" s="26" t="n">
        <x:v>0.34402852049910876</x:v>
      </x:c>
      <x:c r="I391" s="12" t="n">
        <x:v>1</x:v>
      </x:c>
      <x:c r="J391" s="12" t="n">
        <x:v>23</x:v>
      </x:c>
      <x:c r="K391" s="12"/>
      <x:c r="L391" s="12"/>
      <x:c r="M391" s="12" t="str">
        <x:f>IF(K391="", "", MAX(0,IF(K391&lt;=20,100,IF(K391&lt;=30,85,IF(K391&lt;=40,70,IF(K391&lt;=50,55,IF(K391&lt;=60,40,20)))))-MIN(L391*5,20)))</x:f>
      </x:c>
      <x:c r="N391" s="12"/>
      <x:c r="O391" s="12"/>
      <x:c r="P391" s="12" t="str">
        <x:f>IF(OR(H391="",J391="",M391=""),"",ROUND(PERCENTRANK.INC($H$2:$H$941,H391)*35+J391*0.35+M391*0.30,0))</x:f>
      </x:c>
      <x:c r="Q391" s="12" t="str">
        <x:f>IF(P391="","",IF(P391&gt;=80,"ATTACK",IF(P391&gt;=65,"GROW",IF(P391&gt;=50,"PARTNER","WATCH"))))</x:f>
      </x:c>
      <x:c r="R391" s="12" t="str">
        <x:f>IF(Q391="","",IF(Q391="ATTACK","Grassroots + family acquisition",IF(Q391="GROW","Test local campaign",IF(Q391="PARTNER","Organisation-first partnership","Low priority / validate"))))</x:f>
      </x:c>
      <x:c r="S391" s="45" t="n">
        <x:v>9.68566342417479</x:v>
      </x:c>
      <x:c r="T391" t="str">
        <x:v>NEAR</x:v>
      </x:c>
      <x:c r="U391" s="32" t="n">
        <x:f>PERCENTRANK.INC($G$2:$G$941,G391)</x:f>
        <x:v>0.333</x:v>
      </x:c>
      <x:c r="V391" s="32" t="n">
        <x:f>PERCENTRANK.INC($H$2:$H$941,H391)</x:f>
        <x:v>0.646</x:v>
      </x:c>
      <x:c r="W391" t="n">
        <x:f>ROUND((U391*55+V391*45)*IF(S391&lt;=5,1,IF(S391&lt;=10,0.95,IF(S391&lt;=20,0.85,0.70))),0)</x:f>
        <x:v>45</x:v>
      </x:c>
      <x:c r="X391" t="n">
        <x:v>35</x:v>
      </x:c>
      <x:c r="Y391" t="str">
        <x:v>WATCH</x:v>
      </x:c>
      <x:c r="Z391" s="12" t="str">
        <x:v>Family + verified grassroots + straight-line geo only; transport not yet routed</x:v>
      </x:c>
      <x:c r="AA391" s="12"/>
      <x:c r="AB391" s="12"/>
      <x:c r="AC391" s="12"/>
      <x:c r="AD391" s="12"/>
      <x:c r="AE391" t="str">
        <x:v>Crystal Palace Women</x:v>
      </x:c>
      <x:c r="AF391" s="45" t="n">
        <x:v>8.705547288419309</x:v>
      </x:c>
      <x:c r="AG391" t="str">
        <x:v>AFC Wimbledon Women</x:v>
      </x:c>
      <x:c r="AH391" s="45" t="n">
        <x:v>14.884209224209041</x:v>
      </x:c>
      <x:c r="AI391" t="n">
        <x:v>65</x:v>
      </x:c>
      <x:c r="AJ391" t="str">
        <x:v>MEDIUM</x:v>
      </x:c>
    </x:row>
    <x:row r="392">
      <x:c r="A392" s="12" t="str">
        <x:v>E01001121</x:v>
      </x:c>
      <x:c r="B392" s="12" t="str">
        <x:v>Croydon 039D</x:v>
      </x:c>
      <x:c r="C392" s="12" t="str">
        <x:v>Croydon</x:v>
      </x:c>
      <x:c r="D392" s="44" t="n">
        <x:v>51.33620260451171</x:v>
      </x:c>
      <x:c r="E392" s="44" t="n">
        <x:v>-0.055398209698686765</x:v>
      </x:c>
      <x:c r="F392" s="33" t="n">
        <x:v>540</x:v>
      </x:c>
      <x:c r="G392" s="33" t="n">
        <x:v>130</x:v>
      </x:c>
      <x:c r="H392" s="26" t="n">
        <x:v>0.24074074074074073</x:v>
      </x:c>
      <x:c r="I392" s="12" t="n">
        <x:v>2</x:v>
      </x:c>
      <x:c r="J392" s="12" t="n">
        <x:v>47</x:v>
      </x:c>
      <x:c r="K392" s="12"/>
      <x:c r="L392" s="12"/>
      <x:c r="M392" s="12" t="str">
        <x:f>IF(K392="", "", MAX(0,IF(K392&lt;=20,100,IF(K392&lt;=30,85,IF(K392&lt;=40,70,IF(K392&lt;=50,55,IF(K392&lt;=60,40,20)))))-MIN(L392*5,20)))</x:f>
      </x:c>
      <x:c r="N392" s="12"/>
      <x:c r="O392" s="12"/>
      <x:c r="P392" s="12" t="str">
        <x:f>IF(OR(H392="",J392="",M392=""),"",ROUND(PERCENTRANK.INC($H$2:$H$941,H392)*35+J392*0.35+M392*0.30,0))</x:f>
      </x:c>
      <x:c r="Q392" s="12" t="str">
        <x:f>IF(P392="","",IF(P392&gt;=80,"ATTACK",IF(P392&gt;=65,"GROW",IF(P392&gt;=50,"PARTNER","WATCH"))))</x:f>
      </x:c>
      <x:c r="R392" s="12" t="str">
        <x:f>IF(Q392="","",IF(Q392="ATTACK","Grassroots + family acquisition",IF(Q392="GROW","Test local campaign",IF(Q392="PARTNER","Organisation-first partnership","Low priority / validate"))))</x:f>
      </x:c>
      <x:c r="S392" s="45" t="n">
        <x:v>7.92895799046414</x:v>
      </x:c>
      <x:c r="T392" t="str">
        <x:v>NEAR</x:v>
      </x:c>
      <x:c r="U392" s="32" t="n">
        <x:f>PERCENTRANK.INC($G$2:$G$941,G392)</x:f>
        <x:v>0.051</x:v>
      </x:c>
      <x:c r="V392" s="32" t="n">
        <x:f>PERCENTRANK.INC($H$2:$H$941,H392)</x:f>
        <x:v>0.157</x:v>
      </x:c>
      <x:c r="W392" t="n">
        <x:f>ROUND((U392*55+V392*45)*IF(S392&lt;=5,1,IF(S392&lt;=10,0.95,IF(S392&lt;=20,0.85,0.70))),0)</x:f>
        <x:v>9</x:v>
      </x:c>
      <x:c r="X392" t="n">
        <x:v>26</x:v>
      </x:c>
      <x:c r="Y392" t="str">
        <x:v>WATCH</x:v>
      </x:c>
      <x:c r="Z392" s="12" t="str">
        <x:v>Family + verified grassroots + straight-line geo only; transport not yet routed</x:v>
      </x:c>
      <x:c r="AA392" s="12"/>
      <x:c r="AB392" s="12"/>
      <x:c r="AC392" s="12"/>
      <x:c r="AD392" s="12"/>
      <x:c r="AE392" t="str">
        <x:v>Crystal Palace Women</x:v>
      </x:c>
      <x:c r="AF392" s="45" t="n">
        <x:v>7.205086835771565</x:v>
      </x:c>
      <x:c r="AG392" t="str">
        <x:v>AFC Wimbledon Women</x:v>
      </x:c>
      <x:c r="AH392" s="45" t="n">
        <x:v>13.96126650672188</x:v>
      </x:c>
      <x:c r="AI392" t="n">
        <x:v>65</x:v>
      </x:c>
      <x:c r="AJ392" t="str">
        <x:v>MEDIUM</x:v>
      </x:c>
    </x:row>
    <x:row r="393">
      <x:c r="A393" s="12" t="str">
        <x:v>E01001069</x:v>
      </x:c>
      <x:c r="B393" s="12" t="str">
        <x:v>Croydon 040A</x:v>
      </x:c>
      <x:c r="C393" s="12" t="str">
        <x:v>Croydon</x:v>
      </x:c>
      <x:c r="D393" s="44" t="n">
        <x:v>51.32463387543185</x:v>
      </x:c>
      <x:c r="E393" s="44" t="n">
        <x:v>-0.10851165679321198</x:v>
      </x:c>
      <x:c r="F393" s="33" t="n">
        <x:v>505</x:v>
      </x:c>
      <x:c r="G393" s="33" t="n">
        <x:v>178</x:v>
      </x:c>
      <x:c r="H393" s="26" t="n">
        <x:v>0.35247524752475246</x:v>
      </x:c>
      <x:c r="I393" s="12" t="n">
        <x:v>1</x:v>
      </x:c>
      <x:c r="J393" s="12" t="n">
        <x:v>23</x:v>
      </x:c>
      <x:c r="K393" s="12"/>
      <x:c r="L393" s="12"/>
      <x:c r="M393" s="12" t="str">
        <x:f>IF(K393="", "", MAX(0,IF(K393&lt;=20,100,IF(K393&lt;=30,85,IF(K393&lt;=40,70,IF(K393&lt;=50,55,IF(K393&lt;=60,40,20)))))-MIN(L393*5,20)))</x:f>
      </x:c>
      <x:c r="N393" s="12"/>
      <x:c r="O393" s="12"/>
      <x:c r="P393" s="12" t="str">
        <x:f>IF(OR(H393="",J393="",M393=""),"",ROUND(PERCENTRANK.INC($H$2:$H$941,H393)*35+J393*0.35+M393*0.30,0))</x:f>
      </x:c>
      <x:c r="Q393" s="12" t="str">
        <x:f>IF(P393="","",IF(P393&gt;=80,"ATTACK",IF(P393&gt;=65,"GROW",IF(P393&gt;=50,"PARTNER","WATCH"))))</x:f>
      </x:c>
      <x:c r="R393" s="12" t="str">
        <x:f>IF(Q393="","",IF(Q393="ATTACK","Grassroots + family acquisition",IF(Q393="GROW","Test local campaign",IF(Q393="PARTNER","Organisation-first partnership","Low priority / validate"))))</x:f>
      </x:c>
      <x:c r="S393" s="45" t="n">
        <x:v>11.45626893714152</x:v>
      </x:c>
      <x:c r="T393" t="str">
        <x:v>EXTENDED</x:v>
      </x:c>
      <x:c r="U393" s="32" t="n">
        <x:f>PERCENTRANK.INC($G$2:$G$941,G393)</x:f>
        <x:v>0.21</x:v>
      </x:c>
      <x:c r="V393" s="32" t="n">
        <x:f>PERCENTRANK.INC($H$2:$H$941,H393)</x:f>
        <x:v>0.701</x:v>
      </x:c>
      <x:c r="W393" t="n">
        <x:f>ROUND((U393*55+V393*45)*IF(S393&lt;=5,1,IF(S393&lt;=10,0.95,IF(S393&lt;=20,0.85,0.70))),0)</x:f>
        <x:v>37</x:v>
      </x:c>
      <x:c r="X393" t="n">
        <x:v>31</x:v>
      </x:c>
      <x:c r="Y393" t="str">
        <x:v>WATCH</x:v>
      </x:c>
      <x:c r="Z393" s="12" t="str">
        <x:v>Family + verified grassroots + straight-line geo only; transport not yet routed</x:v>
      </x:c>
      <x:c r="AA393" s="12"/>
      <x:c r="AB393" s="12"/>
      <x:c r="AC393" s="12"/>
      <x:c r="AD393" s="12"/>
      <x:c r="AE393" t="str">
        <x:v>Crystal Palace Women</x:v>
      </x:c>
      <x:c r="AF393" s="45" t="n">
        <x:v>8.19229540512894</x:v>
      </x:c>
      <x:c r="AG393" t="str">
        <x:v>AFC Wimbledon Women</x:v>
      </x:c>
      <x:c r="AH393" s="45" t="n">
        <x:v>13.042541095499342</x:v>
      </x:c>
      <x:c r="AI393" t="n">
        <x:v>65</x:v>
      </x:c>
      <x:c r="AJ393" t="str">
        <x:v>MEDIUM</x:v>
      </x:c>
    </x:row>
    <x:row r="394">
      <x:c r="A394" s="12" t="str">
        <x:v>E01001070</x:v>
      </x:c>
      <x:c r="B394" s="12" t="str">
        <x:v>Croydon 040B</x:v>
      </x:c>
      <x:c r="C394" s="12" t="str">
        <x:v>Croydon</x:v>
      </x:c>
      <x:c r="D394" s="44" t="n">
        <x:v>51.318249978341605</x:v>
      </x:c>
      <x:c r="E394" s="44" t="n">
        <x:v>-0.1135442224939771</x:v>
      </x:c>
      <x:c r="F394" s="33" t="n">
        <x:v>646</x:v>
      </x:c>
      <x:c r="G394" s="33" t="n">
        <x:v>244</x:v>
      </x:c>
      <x:c r="H394" s="26" t="n">
        <x:v>0.37770897832817335</x:v>
      </x:c>
      <x:c r="I394" s="12" t="n">
        <x:v>1</x:v>
      </x:c>
      <x:c r="J394" s="12" t="n">
        <x:v>23</x:v>
      </x:c>
      <x:c r="K394" s="12"/>
      <x:c r="L394" s="12"/>
      <x:c r="M394" s="12" t="str">
        <x:f>IF(K394="", "", MAX(0,IF(K394&lt;=20,100,IF(K394&lt;=30,85,IF(K394&lt;=40,70,IF(K394&lt;=50,55,IF(K394&lt;=60,40,20)))))-MIN(L394*5,20)))</x:f>
      </x:c>
      <x:c r="N394" s="12"/>
      <x:c r="O394" s="12"/>
      <x:c r="P394" s="12" t="str">
        <x:f>IF(OR(H394="",J394="",M394=""),"",ROUND(PERCENTRANK.INC($H$2:$H$941,H394)*35+J394*0.35+M394*0.30,0))</x:f>
      </x:c>
      <x:c r="Q394" s="12" t="str">
        <x:f>IF(P394="","",IF(P394&gt;=80,"ATTACK",IF(P394&gt;=65,"GROW",IF(P394&gt;=50,"PARTNER","WATCH"))))</x:f>
      </x:c>
      <x:c r="R394" s="12" t="str">
        <x:f>IF(Q394="","",IF(Q394="ATTACK","Grassroots + family acquisition",IF(Q394="GROW","Test local campaign",IF(Q394="PARTNER","Organisation-first partnership","Low priority / validate"))))</x:f>
      </x:c>
      <x:c r="S394" s="45" t="n">
        <x:v>12.185374224381698</x:v>
      </x:c>
      <x:c r="T394" t="str">
        <x:v>EXTENDED</x:v>
      </x:c>
      <x:c r="U394" s="32" t="n">
        <x:f>PERCENTRANK.INC($G$2:$G$941,G394)</x:f>
        <x:v>0.739</x:v>
      </x:c>
      <x:c r="V394" s="32" t="n">
        <x:f>PERCENTRANK.INC($H$2:$H$941,H394)</x:f>
        <x:v>0.823</x:v>
      </x:c>
      <x:c r="W394" t="n">
        <x:f>ROUND((U394*55+V394*45)*IF(S394&lt;=5,1,IF(S394&lt;=10,0.95,IF(S394&lt;=20,0.85,0.70))),0)</x:f>
        <x:v>66</x:v>
      </x:c>
      <x:c r="X394" t="n">
        <x:v>47</x:v>
      </x:c>
      <x:c r="Y394" t="str">
        <x:v>WATCH</x:v>
      </x:c>
      <x:c r="Z394" s="12" t="str">
        <x:v>Family + verified grassroots + straight-line geo only; transport not yet routed</x:v>
      </x:c>
      <x:c r="AA394" s="12"/>
      <x:c r="AB394" s="12"/>
      <x:c r="AC394" s="12"/>
      <x:c r="AD394" s="12"/>
      <x:c r="AE394" t="str">
        <x:v>Crystal Palace Women</x:v>
      </x:c>
      <x:c r="AF394" s="45" t="n">
        <x:v>8.357907038363741</x:v>
      </x:c>
      <x:c r="AG394" t="str">
        <x:v>AFC Wimbledon Women</x:v>
      </x:c>
      <x:c r="AH394" s="45" t="n">
        <x:v>13.556184040981995</x:v>
      </x:c>
      <x:c r="AI394" t="n">
        <x:v>65</x:v>
      </x:c>
      <x:c r="AJ394" t="str">
        <x:v>MEDIUM</x:v>
      </x:c>
    </x:row>
    <x:row r="395">
      <x:c r="A395" s="12" t="str">
        <x:v>E01001075</x:v>
      </x:c>
      <x:c r="B395" s="12" t="str">
        <x:v>Croydon 040C</x:v>
      </x:c>
      <x:c r="C395" s="12" t="str">
        <x:v>Croydon</x:v>
      </x:c>
      <x:c r="D395" s="44" t="n">
        <x:v>51.32795415138566</x:v>
      </x:c>
      <x:c r="E395" s="44" t="n">
        <x:v>-0.10679033616452997</x:v>
      </x:c>
      <x:c r="F395" s="33" t="n">
        <x:v>644</x:v>
      </x:c>
      <x:c r="G395" s="33" t="n">
        <x:v>238</x:v>
      </x:c>
      <x:c r="H395" s="26" t="n">
        <x:v>0.3695652173913043</x:v>
      </x:c>
      <x:c r="I395" s="12" t="n">
        <x:v>2</x:v>
      </x:c>
      <x:c r="J395" s="12" t="n">
        <x:v>38</x:v>
      </x:c>
      <x:c r="K395" s="12"/>
      <x:c r="L395" s="12"/>
      <x:c r="M395" s="12" t="str">
        <x:f>IF(K395="", "", MAX(0,IF(K395&lt;=20,100,IF(K395&lt;=30,85,IF(K395&lt;=40,70,IF(K395&lt;=50,55,IF(K395&lt;=60,40,20)))))-MIN(L395*5,20)))</x:f>
      </x:c>
      <x:c r="N395" s="12"/>
      <x:c r="O395" s="12"/>
      <x:c r="P395" s="12" t="str">
        <x:f>IF(OR(H395="",J395="",M395=""),"",ROUND(PERCENTRANK.INC($H$2:$H$941,H395)*35+J395*0.35+M395*0.30,0))</x:f>
      </x:c>
      <x:c r="Q395" s="12" t="str">
        <x:f>IF(P395="","",IF(P395&gt;=80,"ATTACK",IF(P395&gt;=65,"GROW",IF(P395&gt;=50,"PARTNER","WATCH"))))</x:f>
      </x:c>
      <x:c r="R395" s="12" t="str">
        <x:f>IF(Q395="","",IF(Q395="ATTACK","Grassroots + family acquisition",IF(Q395="GROW","Test local campaign",IF(Q395="PARTNER","Organisation-first partnership","Low priority / validate"))))</x:f>
      </x:c>
      <x:c r="S395" s="45" t="n">
        <x:v>11.128722311790314</x:v>
      </x:c>
      <x:c r="T395" t="str">
        <x:v>EXTENDED</x:v>
      </x:c>
      <x:c r="U395" s="32" t="n">
        <x:f>PERCENTRANK.INC($G$2:$G$941,G395)</x:f>
        <x:v>0.695</x:v>
      </x:c>
      <x:c r="V395" s="32" t="n">
        <x:f>PERCENTRANK.INC($H$2:$H$941,H395)</x:f>
        <x:v>0.792</x:v>
      </x:c>
      <x:c r="W395" t="n">
        <x:f>ROUND((U395*55+V395*45)*IF(S395&lt;=5,1,IF(S395&lt;=10,0.95,IF(S395&lt;=20,0.85,0.70))),0)</x:f>
        <x:v>63</x:v>
      </x:c>
      <x:c r="X395" t="n">
        <x:v>52</x:v>
      </x:c>
      <x:c r="Y395" t="str">
        <x:v>PARTNER</x:v>
      </x:c>
      <x:c r="Z395" s="12" t="str">
        <x:v>Family + verified grassroots + straight-line geo only; transport not yet routed</x:v>
      </x:c>
      <x:c r="AA395" s="12"/>
      <x:c r="AB395" s="12"/>
      <x:c r="AC395" s="12"/>
      <x:c r="AD395" s="12"/>
      <x:c r="AE395" t="str">
        <x:v>Crystal Palace Women</x:v>
      </x:c>
      <x:c r="AF395" s="45" t="n">
        <x:v>7.9629147823782</x:v>
      </x:c>
      <x:c r="AG395" t="str">
        <x:v>AFC Wimbledon Women</x:v>
      </x:c>
      <x:c r="AH395" s="45" t="n">
        <x:v>12.759370381666695</x:v>
      </x:c>
      <x:c r="AI395" t="n">
        <x:v>65</x:v>
      </x:c>
      <x:c r="AJ395" t="str">
        <x:v>MEDIUM</x:v>
      </x:c>
    </x:row>
    <x:row r="396">
      <x:c r="A396" s="12" t="str">
        <x:v>E01001099</x:v>
      </x:c>
      <x:c r="B396" s="12" t="str">
        <x:v>Croydon 040D</x:v>
      </x:c>
      <x:c r="C396" s="12" t="str">
        <x:v>Croydon</x:v>
      </x:c>
      <x:c r="D396" s="44" t="n">
        <x:v>51.3315074647126</x:v>
      </x:c>
      <x:c r="E396" s="44" t="n">
        <x:v>-0.10974729732325614</x:v>
      </x:c>
      <x:c r="F396" s="33" t="n">
        <x:v>600</x:v>
      </x:c>
      <x:c r="G396" s="33" t="n">
        <x:v>235</x:v>
      </x:c>
      <x:c r="H396" s="26" t="n">
        <x:v>0.39166666666666666</x:v>
      </x:c>
      <x:c r="I396" s="12" t="n">
        <x:v>2</x:v>
      </x:c>
      <x:c r="J396" s="12" t="n">
        <x:v>46</x:v>
      </x:c>
      <x:c r="K396" s="12"/>
      <x:c r="L396" s="12"/>
      <x:c r="M396" s="12" t="str">
        <x:f>IF(K396="", "", MAX(0,IF(K396&lt;=20,100,IF(K396&lt;=30,85,IF(K396&lt;=40,70,IF(K396&lt;=50,55,IF(K396&lt;=60,40,20)))))-MIN(L396*5,20)))</x:f>
      </x:c>
      <x:c r="N396" s="12"/>
      <x:c r="O396" s="12"/>
      <x:c r="P396" s="12" t="str">
        <x:f>IF(OR(H396="",J396="",M396=""),"",ROUND(PERCENTRANK.INC($H$2:$H$941,H396)*35+J396*0.35+M396*0.30,0))</x:f>
      </x:c>
      <x:c r="Q396" s="12" t="str">
        <x:f>IF(P396="","",IF(P396&gt;=80,"ATTACK",IF(P396&gt;=65,"GROW",IF(P396&gt;=50,"PARTNER","WATCH"))))</x:f>
      </x:c>
      <x:c r="R396" s="12" t="str">
        <x:f>IF(Q396="","",IF(Q396="ATTACK","Grassroots + family acquisition",IF(Q396="GROW","Test local campaign",IF(Q396="PARTNER","Organisation-first partnership","Low priority / validate"))))</x:f>
      </x:c>
      <x:c r="S396" s="45" t="n">
        <x:v>11.047713131449648</x:v>
      </x:c>
      <x:c r="T396" t="str">
        <x:v>EXTENDED</x:v>
      </x:c>
      <x:c r="U396" s="32" t="n">
        <x:f>PERCENTRANK.INC($G$2:$G$941,G396)</x:f>
        <x:v>0.667</x:v>
      </x:c>
      <x:c r="V396" s="32" t="n">
        <x:f>PERCENTRANK.INC($H$2:$H$941,H396)</x:f>
        <x:v>0.879</x:v>
      </x:c>
      <x:c r="W396" t="n">
        <x:f>ROUND((U396*55+V396*45)*IF(S396&lt;=5,1,IF(S396&lt;=10,0.95,IF(S396&lt;=20,0.85,0.70))),0)</x:f>
        <x:v>65</x:v>
      </x:c>
      <x:c r="X396" t="n">
        <x:v>57</x:v>
      </x:c>
      <x:c r="Y396" t="str">
        <x:v>PARTNER</x:v>
      </x:c>
      <x:c r="Z396" s="12" t="str">
        <x:v>Family + verified grassroots + straight-line geo only; transport not yet routed</x:v>
      </x:c>
      <x:c r="AA396" s="12"/>
      <x:c r="AB396" s="12"/>
      <x:c r="AC396" s="12"/>
      <x:c r="AD396" s="12"/>
      <x:c r="AE396" t="str">
        <x:v>Crystal Palace Women</x:v>
      </x:c>
      <x:c r="AF396" s="45" t="n">
        <x:v>7.618628087900668</x:v>
      </x:c>
      <x:c r="AG396" t="str">
        <x:v>AFC Wimbledon Women</x:v>
      </x:c>
      <x:c r="AH396" s="45" t="n">
        <x:v>12.314238235166368</x:v>
      </x:c>
      <x:c r="AI396" t="n">
        <x:v>65</x:v>
      </x:c>
      <x:c r="AJ396" t="str">
        <x:v>MEDIUM</x:v>
      </x:c>
    </x:row>
    <x:row r="397">
      <x:c r="A397" s="12" t="str">
        <x:v>E01001015</x:v>
      </x:c>
      <x:c r="B397" s="12" t="str">
        <x:v>Croydon 041A</x:v>
      </x:c>
      <x:c r="C397" s="12" t="str">
        <x:v>Croydon</x:v>
      </x:c>
      <x:c r="D397" s="44" t="n">
        <x:v>51.31403455851767</x:v>
      </x:c>
      <x:c r="E397" s="44" t="n">
        <x:v>-0.13042001634647632</x:v>
      </x:c>
      <x:c r="F397" s="33" t="n">
        <x:v>557</x:v>
      </x:c>
      <x:c r="G397" s="33" t="n">
        <x:v>219</x:v>
      </x:c>
      <x:c r="H397" s="26" t="n">
        <x:v>0.39317773788150806</x:v>
      </x:c>
      <x:c r="I397" s="12" t="n">
        <x:v>1</x:v>
      </x:c>
      <x:c r="J397" s="12" t="n">
        <x:v>23</x:v>
      </x:c>
      <x:c r="K397" s="12"/>
      <x:c r="L397" s="12"/>
      <x:c r="M397" s="12" t="str">
        <x:f>IF(K397="", "", MAX(0,IF(K397&lt;=20,100,IF(K397&lt;=30,85,IF(K397&lt;=40,70,IF(K397&lt;=50,55,IF(K397&lt;=60,40,20)))))-MIN(L397*5,20)))</x:f>
      </x:c>
      <x:c r="N397" s="12"/>
      <x:c r="O397" s="12"/>
      <x:c r="P397" s="12" t="str">
        <x:f>IF(OR(H397="",J397="",M397=""),"",ROUND(PERCENTRANK.INC($H$2:$H$941,H397)*35+J397*0.35+M397*0.30,0))</x:f>
      </x:c>
      <x:c r="Q397" s="12" t="str">
        <x:f>IF(P397="","",IF(P397&gt;=80,"ATTACK",IF(P397&gt;=65,"GROW",IF(P397&gt;=50,"PARTNER","WATCH"))))</x:f>
      </x:c>
      <x:c r="R397" s="12" t="str">
        <x:f>IF(Q397="","",IF(Q397="ATTACK","Grassroots + family acquisition",IF(Q397="GROW","Test local campaign",IF(Q397="PARTNER","Organisation-first partnership","Low priority / validate"))))</x:f>
      </x:c>
      <x:c r="S397" s="45" t="n">
        <x:v>13.38020702538645</x:v>
      </x:c>
      <x:c r="T397" t="str">
        <x:v>EXTENDED</x:v>
      </x:c>
      <x:c r="U397" s="32" t="n">
        <x:f>PERCENTRANK.INC($G$2:$G$941,G397)</x:f>
        <x:v>0.544</x:v>
      </x:c>
      <x:c r="V397" s="32" t="n">
        <x:f>PERCENTRANK.INC($H$2:$H$941,H397)</x:f>
        <x:v>0.884</x:v>
      </x:c>
      <x:c r="W397" t="n">
        <x:f>ROUND((U397*55+V397*45)*IF(S397&lt;=5,1,IF(S397&lt;=10,0.95,IF(S397&lt;=20,0.85,0.70))),0)</x:f>
        <x:v>59</x:v>
      </x:c>
      <x:c r="X397" t="n">
        <x:v>43</x:v>
      </x:c>
      <x:c r="Y397" t="str">
        <x:v>WATCH</x:v>
      </x:c>
      <x:c r="Z397" s="12" t="str">
        <x:v>Family + verified grassroots + straight-line geo only; transport not yet routed</x:v>
      </x:c>
      <x:c r="AA397" s="12"/>
      <x:c r="AB397" s="12"/>
      <x:c r="AC397" s="12"/>
      <x:c r="AD397" s="12"/>
      <x:c r="AE397" t="str">
        <x:v>Crystal Palace Women</x:v>
      </x:c>
      <x:c r="AF397" s="45" t="n">
        <x:v>7.8602100266356105</x:v>
      </x:c>
      <x:c r="AG397" t="str">
        <x:v>AFC Wimbledon Women</x:v>
      </x:c>
      <x:c r="AH397" s="45" t="n">
        <x:v>13.609645681672355</x:v>
      </x:c>
      <x:c r="AI397" t="n">
        <x:v>65</x:v>
      </x:c>
      <x:c r="AJ397" t="str">
        <x:v>MEDIUM</x:v>
      </x:c>
    </x:row>
    <x:row r="398">
      <x:c r="A398" s="12" t="str">
        <x:v>E01001016</x:v>
      </x:c>
      <x:c r="B398" s="12" t="str">
        <x:v>Croydon 041B</x:v>
      </x:c>
      <x:c r="C398" s="12" t="str">
        <x:v>Croydon</x:v>
      </x:c>
      <x:c r="D398" s="44" t="n">
        <x:v>51.319561784363046</x:v>
      </x:c>
      <x:c r="E398" s="44" t="n">
        <x:v>-0.13001299184255619</x:v>
      </x:c>
      <x:c r="F398" s="33" t="n">
        <x:v>655</x:v>
      </x:c>
      <x:c r="G398" s="33" t="n">
        <x:v>223</x:v>
      </x:c>
      <x:c r="H398" s="26" t="n">
        <x:v>0.34045801526717556</x:v>
      </x:c>
      <x:c r="I398" s="12" t="n">
        <x:v>1</x:v>
      </x:c>
      <x:c r="J398" s="12" t="n">
        <x:v>23</x:v>
      </x:c>
      <x:c r="K398" s="12"/>
      <x:c r="L398" s="12"/>
      <x:c r="M398" s="12" t="str">
        <x:f>IF(K398="", "", MAX(0,IF(K398&lt;=20,100,IF(K398&lt;=30,85,IF(K398&lt;=40,70,IF(K398&lt;=50,55,IF(K398&lt;=60,40,20)))))-MIN(L398*5,20)))</x:f>
      </x:c>
      <x:c r="N398" s="12"/>
      <x:c r="O398" s="12"/>
      <x:c r="P398" s="12" t="str">
        <x:f>IF(OR(H398="",J398="",M398=""),"",ROUND(PERCENTRANK.INC($H$2:$H$941,H398)*35+J398*0.35+M398*0.30,0))</x:f>
      </x:c>
      <x:c r="Q398" s="12" t="str">
        <x:f>IF(P398="","",IF(P398&gt;=80,"ATTACK",IF(P398&gt;=65,"GROW",IF(P398&gt;=50,"PARTNER","WATCH"))))</x:f>
      </x:c>
      <x:c r="R398" s="12" t="str">
        <x:f>IF(Q398="","",IF(Q398="ATTACK","Grassroots + family acquisition",IF(Q398="GROW","Test local campaign",IF(Q398="PARTNER","Organisation-first partnership","Low priority / validate"))))</x:f>
      </x:c>
      <x:c r="S398" s="45" t="n">
        <x:v>12.972923151641595</x:v>
      </x:c>
      <x:c r="T398" t="str">
        <x:v>EXTENDED</x:v>
      </x:c>
      <x:c r="U398" s="32" t="n">
        <x:f>PERCENTRANK.INC($G$2:$G$941,G398)</x:f>
        <x:v>0.567</x:v>
      </x:c>
      <x:c r="V398" s="32" t="n">
        <x:f>PERCENTRANK.INC($H$2:$H$941,H398)</x:f>
        <x:v>0.619</x:v>
      </x:c>
      <x:c r="W398" t="n">
        <x:f>ROUND((U398*55+V398*45)*IF(S398&lt;=5,1,IF(S398&lt;=10,0.95,IF(S398&lt;=20,0.85,0.70))),0)</x:f>
        <x:v>50</x:v>
      </x:c>
      <x:c r="X398" t="n">
        <x:v>38</x:v>
      </x:c>
      <x:c r="Y398" t="str">
        <x:v>WATCH</x:v>
      </x:c>
      <x:c r="Z398" s="12" t="str">
        <x:v>Family + verified grassroots + straight-line geo only; transport not yet routed</x:v>
      </x:c>
      <x:c r="AA398" s="12"/>
      <x:c r="AB398" s="12"/>
      <x:c r="AC398" s="12"/>
      <x:c r="AD398" s="12"/>
      <x:c r="AE398" t="str">
        <x:v>Crystal Palace Women</x:v>
      </x:c>
      <x:c r="AF398" s="45" t="n">
        <x:v>7.425715425060561</x:v>
      </x:c>
      <x:c r="AG398" t="str">
        <x:v>AFC Wimbledon Women</x:v>
      </x:c>
      <x:c r="AH398" s="45" t="n">
        <x:v>13.030706642470808</x:v>
      </x:c>
      <x:c r="AI398" t="n">
        <x:v>65</x:v>
      </x:c>
      <x:c r="AJ398" t="str">
        <x:v>MEDIUM</x:v>
      </x:c>
    </x:row>
    <x:row r="399">
      <x:c r="A399" s="12" t="str">
        <x:v>E01001023</x:v>
      </x:c>
      <x:c r="B399" s="12" t="str">
        <x:v>Croydon 041C</x:v>
      </x:c>
      <x:c r="C399" s="12" t="str">
        <x:v>Croydon</x:v>
      </x:c>
      <x:c r="D399" s="44" t="n">
        <x:v>51.32139844838907</x:v>
      </x:c>
      <x:c r="E399" s="44" t="n">
        <x:v>-0.13634255961658892</x:v>
      </x:c>
      <x:c r="F399" s="33" t="n">
        <x:v>1119</x:v>
      </x:c>
      <x:c r="G399" s="33" t="n">
        <x:v>383</x:v>
      </x:c>
      <x:c r="H399" s="26" t="n">
        <x:v>0.34226988382484363</x:v>
      </x:c>
      <x:c r="I399" s="12" t="n">
        <x:v>1</x:v>
      </x:c>
      <x:c r="J399" s="12" t="n">
        <x:v>23</x:v>
      </x:c>
      <x:c r="K399" s="12"/>
      <x:c r="L399" s="12"/>
      <x:c r="M399" s="12" t="str">
        <x:f>IF(K399="", "", MAX(0,IF(K399&lt;=20,100,IF(K399&lt;=30,85,IF(K399&lt;=40,70,IF(K399&lt;=50,55,IF(K399&lt;=60,40,20)))))-MIN(L399*5,20)))</x:f>
      </x:c>
      <x:c r="N399" s="12"/>
      <x:c r="O399" s="12"/>
      <x:c r="P399" s="12" t="str">
        <x:f>IF(OR(H399="",J399="",M399=""),"",ROUND(PERCENTRANK.INC($H$2:$H$941,H399)*35+J399*0.35+M399*0.30,0))</x:f>
      </x:c>
      <x:c r="Q399" s="12" t="str">
        <x:f>IF(P399="","",IF(P399&gt;=80,"ATTACK",IF(P399&gt;=65,"GROW",IF(P399&gt;=50,"PARTNER","WATCH"))))</x:f>
      </x:c>
      <x:c r="R399" s="12" t="str">
        <x:f>IF(Q399="","",IF(Q399="ATTACK","Grassroots + family acquisition",IF(Q399="GROW","Test local campaign",IF(Q399="PARTNER","Organisation-first partnership","Low priority / validate"))))</x:f>
      </x:c>
      <x:c r="S399" s="45" t="n">
        <x:v>13.2022874371733</x:v>
      </x:c>
      <x:c r="T399" t="str">
        <x:v>EXTENDED</x:v>
      </x:c>
      <x:c r="U399" s="32" t="n">
        <x:f>PERCENTRANK.INC($G$2:$G$941,G399)</x:f>
        <x:v>0.991</x:v>
      </x:c>
      <x:c r="V399" s="32" t="n">
        <x:f>PERCENTRANK.INC($H$2:$H$941,H399)</x:f>
        <x:v>0.632</x:v>
      </x:c>
      <x:c r="W399" t="n">
        <x:f>ROUND((U399*55+V399*45)*IF(S399&lt;=5,1,IF(S399&lt;=10,0.95,IF(S399&lt;=20,0.85,0.70))),0)</x:f>
        <x:v>71</x:v>
      </x:c>
      <x:c r="X399" t="n">
        <x:v>49</x:v>
      </x:c>
      <x:c r="Y399" t="str">
        <x:v>WATCH</x:v>
      </x:c>
      <x:c r="Z399" s="12" t="str">
        <x:v>Family + verified grassroots + straight-line geo only; transport not yet routed</x:v>
      </x:c>
      <x:c r="AA399" s="12"/>
      <x:c r="AB399" s="12"/>
      <x:c r="AC399" s="12"/>
      <x:c r="AD399" s="12"/>
      <x:c r="AE399" t="str">
        <x:v>Crystal Palace Women</x:v>
      </x:c>
      <x:c r="AF399" s="45" t="n">
        <x:v>6.9751245531241635</x:v>
      </x:c>
      <x:c r="AG399" t="str">
        <x:v>AFC Wimbledon Women</x:v>
      </x:c>
      <x:c r="AH399" s="45" t="n">
        <x:v>12.708048399797635</x:v>
      </x:c>
      <x:c r="AI399" t="n">
        <x:v>65</x:v>
      </x:c>
      <x:c r="AJ399" t="str">
        <x:v>MEDIUM</x:v>
      </x:c>
    </x:row>
    <x:row r="400">
      <x:c r="A400" s="12" t="str">
        <x:v>E01001067</x:v>
      </x:c>
      <x:c r="B400" s="12" t="str">
        <x:v>Croydon 041D</x:v>
      </x:c>
      <x:c r="C400" s="12" t="str">
        <x:v>Croydon</x:v>
      </x:c>
      <x:c r="D400" s="44" t="n">
        <x:v>51.32461187403923</x:v>
      </x:c>
      <x:c r="E400" s="44" t="n">
        <x:v>-0.11955650689060453</x:v>
      </x:c>
      <x:c r="F400" s="33" t="n">
        <x:v>575</x:v>
      </x:c>
      <x:c r="G400" s="33" t="n">
        <x:v>210</x:v>
      </x:c>
      <x:c r="H400" s="26" t="n">
        <x:v>0.3652173913043478</x:v>
      </x:c>
      <x:c r="I400" s="12" t="n">
        <x:v>1</x:v>
      </x:c>
      <x:c r="J400" s="12" t="n">
        <x:v>23</x:v>
      </x:c>
      <x:c r="K400" s="12"/>
      <x:c r="L400" s="12"/>
      <x:c r="M400" s="12" t="str">
        <x:f>IF(K400="", "", MAX(0,IF(K400&lt;=20,100,IF(K400&lt;=30,85,IF(K400&lt;=40,70,IF(K400&lt;=50,55,IF(K400&lt;=60,40,20)))))-MIN(L400*5,20)))</x:f>
      </x:c>
      <x:c r="N400" s="12"/>
      <x:c r="O400" s="12"/>
      <x:c r="P400" s="12" t="str">
        <x:f>IF(OR(H400="",J400="",M400=""),"",ROUND(PERCENTRANK.INC($H$2:$H$941,H400)*35+J400*0.35+M400*0.30,0))</x:f>
      </x:c>
      <x:c r="Q400" s="12" t="str">
        <x:f>IF(P400="","",IF(P400&gt;=80,"ATTACK",IF(P400&gt;=65,"GROW",IF(P400&gt;=50,"PARTNER","WATCH"))))</x:f>
      </x:c>
      <x:c r="R400" s="12" t="str">
        <x:f>IF(Q400="","",IF(Q400="ATTACK","Grassroots + family acquisition",IF(Q400="GROW","Test local campaign",IF(Q400="PARTNER","Organisation-first partnership","Low priority / validate"))))</x:f>
      </x:c>
      <x:c r="S400" s="45" t="n">
        <x:v>12.054601280306267</x:v>
      </x:c>
      <x:c r="T400" t="str">
        <x:v>EXTENDED</x:v>
      </x:c>
      <x:c r="U400" s="32" t="n">
        <x:f>PERCENTRANK.INC($G$2:$G$941,G400)</x:f>
        <x:v>0.471</x:v>
      </x:c>
      <x:c r="V400" s="32" t="n">
        <x:f>PERCENTRANK.INC($H$2:$H$941,H400)</x:f>
        <x:v>0.771</x:v>
      </x:c>
      <x:c r="W400" t="n">
        <x:f>ROUND((U400*55+V400*45)*IF(S400&lt;=5,1,IF(S400&lt;=10,0.95,IF(S400&lt;=20,0.85,0.70))),0)</x:f>
        <x:v>52</x:v>
      </x:c>
      <x:c r="X400" t="n">
        <x:v>39</x:v>
      </x:c>
      <x:c r="Y400" t="str">
        <x:v>WATCH</x:v>
      </x:c>
      <x:c r="Z400" s="12" t="str">
        <x:v>Family + verified grassroots + straight-line geo only; transport not yet routed</x:v>
      </x:c>
      <x:c r="AA400" s="12"/>
      <x:c r="AB400" s="12"/>
      <x:c r="AC400" s="12"/>
      <x:c r="AD400" s="12"/>
      <x:c r="AE400" t="str">
        <x:v>Crystal Palace Women</x:v>
      </x:c>
      <x:c r="AF400" s="45" t="n">
        <x:v>7.583083840666699</x:v>
      </x:c>
      <x:c r="AG400" t="str">
        <x:v>AFC Wimbledon Women</x:v>
      </x:c>
      <x:c r="AH400" s="45" t="n">
        <x:v>12.74431615340116</x:v>
      </x:c>
      <x:c r="AI400" t="n">
        <x:v>65</x:v>
      </x:c>
      <x:c r="AJ400" t="str">
        <x:v>MEDIUM</x:v>
      </x:c>
    </x:row>
    <x:row r="401">
      <x:c r="A401" s="12" t="str">
        <x:v>E01001074</x:v>
      </x:c>
      <x:c r="B401" s="12" t="str">
        <x:v>Croydon 041E</x:v>
      </x:c>
      <x:c r="C401" s="12" t="str">
        <x:v>Croydon</x:v>
      </x:c>
      <x:c r="D401" s="44" t="n">
        <x:v>51.3297330076416</x:v>
      </x:c>
      <x:c r="E401" s="44" t="n">
        <x:v>-0.12267774570700028</x:v>
      </x:c>
      <x:c r="F401" s="33" t="n">
        <x:v>816</x:v>
      </x:c>
      <x:c r="G401" s="33" t="n">
        <x:v>280</x:v>
      </x:c>
      <x:c r="H401" s="26" t="n">
        <x:v>0.3431372549019608</x:v>
      </x:c>
      <x:c r="I401" s="12" t="n">
        <x:v>2</x:v>
      </x:c>
      <x:c r="J401" s="12" t="n">
        <x:v>46</x:v>
      </x:c>
      <x:c r="K401" s="12"/>
      <x:c r="L401" s="12"/>
      <x:c r="M401" s="12" t="str">
        <x:f>IF(K401="", "", MAX(0,IF(K401&lt;=20,100,IF(K401&lt;=30,85,IF(K401&lt;=40,70,IF(K401&lt;=50,55,IF(K401&lt;=60,40,20)))))-MIN(L401*5,20)))</x:f>
      </x:c>
      <x:c r="N401" s="12"/>
      <x:c r="O401" s="12"/>
      <x:c r="P401" s="12" t="str">
        <x:f>IF(OR(H401="",J401="",M401=""),"",ROUND(PERCENTRANK.INC($H$2:$H$941,H401)*35+J401*0.35+M401*0.30,0))</x:f>
      </x:c>
      <x:c r="Q401" s="12" t="str">
        <x:f>IF(P401="","",IF(P401&gt;=80,"ATTACK",IF(P401&gt;=65,"GROW",IF(P401&gt;=50,"PARTNER","WATCH"))))</x:f>
      </x:c>
      <x:c r="R401" s="12" t="str">
        <x:f>IF(Q401="","",IF(Q401="ATTACK","Grassroots + family acquisition",IF(Q401="GROW","Test local campaign",IF(Q401="PARTNER","Organisation-first partnership","Low priority / validate"))))</x:f>
      </x:c>
      <x:c r="S401" s="45" t="n">
        <x:v>11.891178044207805</x:v>
      </x:c>
      <x:c r="T401" t="str">
        <x:v>EXTENDED</x:v>
      </x:c>
      <x:c r="U401" s="32" t="n">
        <x:f>PERCENTRANK.INC($G$2:$G$941,G401)</x:f>
        <x:v>0.9</x:v>
      </x:c>
      <x:c r="V401" s="32" t="n">
        <x:f>PERCENTRANK.INC($H$2:$H$941,H401)</x:f>
        <x:v>0.638</x:v>
      </x:c>
      <x:c r="W401" t="n">
        <x:f>ROUND((U401*55+V401*45)*IF(S401&lt;=5,1,IF(S401&lt;=10,0.95,IF(S401&lt;=20,0.85,0.70))),0)</x:f>
        <x:v>66</x:v>
      </x:c>
      <x:c r="X401" t="n">
        <x:v>57</x:v>
      </x:c>
      <x:c r="Y401" t="str">
        <x:v>PARTNER</x:v>
      </x:c>
      <x:c r="Z401" s="12" t="str">
        <x:v>Family + verified grassroots + straight-line geo only; transport not yet routed</x:v>
      </x:c>
      <x:c r="AA401" s="12"/>
      <x:c r="AB401" s="12"/>
      <x:c r="AC401" s="12"/>
      <x:c r="AD401" s="12"/>
      <x:c r="AE401" t="str">
        <x:v>Crystal Palace Women</x:v>
      </x:c>
      <x:c r="AF401" s="45" t="n">
        <x:v>7.062811308197508</x:v>
      </x:c>
      <x:c r="AG401" t="str">
        <x:v>AFC Wimbledon Women</x:v>
      </x:c>
      <x:c r="AH401" s="45" t="n">
        <x:v>12.13500941750924</x:v>
      </x:c>
      <x:c r="AI401" t="n">
        <x:v>65</x:v>
      </x:c>
      <x:c r="AJ401" t="str">
        <x:v>MEDIUM</x:v>
      </x:c>
    </x:row>
    <x:row r="402">
      <x:c r="A402" s="12" t="str">
        <x:v>E01001068</x:v>
      </x:c>
      <x:c r="B402" s="12" t="str">
        <x:v>Croydon 042A</x:v>
      </x:c>
      <x:c r="C402" s="12" t="str">
        <x:v>Croydon</x:v>
      </x:c>
      <x:c r="D402" s="44" t="n">
        <x:v>51.32163617928973</x:v>
      </x:c>
      <x:c r="E402" s="44" t="n">
        <x:v>-0.09716841678310983</x:v>
      </x:c>
      <x:c r="F402" s="33" t="n">
        <x:v>754</x:v>
      </x:c>
      <x:c r="G402" s="33" t="n">
        <x:v>238</x:v>
      </x:c>
      <x:c r="H402" s="26" t="n">
        <x:v>0.3156498673740053</x:v>
      </x:c>
      <x:c r="I402" s="12" t="n">
        <x:v>1</x:v>
      </x:c>
      <x:c r="J402" s="12" t="n">
        <x:v>23</x:v>
      </x:c>
      <x:c r="K402" s="12"/>
      <x:c r="L402" s="12"/>
      <x:c r="M402" s="12" t="str">
        <x:f>IF(K402="", "", MAX(0,IF(K402&lt;=20,100,IF(K402&lt;=30,85,IF(K402&lt;=40,70,IF(K402&lt;=50,55,IF(K402&lt;=60,40,20)))))-MIN(L402*5,20)))</x:f>
      </x:c>
      <x:c r="N402" s="12"/>
      <x:c r="O402" s="12"/>
      <x:c r="P402" s="12" t="str">
        <x:f>IF(OR(H402="",J402="",M402=""),"",ROUND(PERCENTRANK.INC($H$2:$H$941,H402)*35+J402*0.35+M402*0.30,0))</x:f>
      </x:c>
      <x:c r="Q402" s="12" t="str">
        <x:f>IF(P402="","",IF(P402&gt;=80,"ATTACK",IF(P402&gt;=65,"GROW",IF(P402&gt;=50,"PARTNER","WATCH"))))</x:f>
      </x:c>
      <x:c r="R402" s="12" t="str">
        <x:f>IF(Q402="","",IF(Q402="ATTACK","Grassroots + family acquisition",IF(Q402="GROW","Test local campaign",IF(Q402="PARTNER","Organisation-first partnership","Low priority / validate"))))</x:f>
      </x:c>
      <x:c r="S402" s="45" t="n">
        <x:v>11.094774281483511</x:v>
      </x:c>
      <x:c r="T402" t="str">
        <x:v>EXTENDED</x:v>
      </x:c>
      <x:c r="U402" s="32" t="n">
        <x:f>PERCENTRANK.INC($G$2:$G$941,G402)</x:f>
        <x:v>0.695</x:v>
      </x:c>
      <x:c r="V402" s="32" t="n">
        <x:f>PERCENTRANK.INC($H$2:$H$941,H402)</x:f>
        <x:v>0.487</x:v>
      </x:c>
      <x:c r="W402" t="n">
        <x:f>ROUND((U402*55+V402*45)*IF(S402&lt;=5,1,IF(S402&lt;=10,0.95,IF(S402&lt;=20,0.85,0.70))),0)</x:f>
        <x:v>51</x:v>
      </x:c>
      <x:c r="X402" t="n">
        <x:v>39</x:v>
      </x:c>
      <x:c r="Y402" t="str">
        <x:v>WATCH</x:v>
      </x:c>
      <x:c r="Z402" s="12" t="str">
        <x:v>Family + verified grassroots + straight-line geo only; transport not yet routed</x:v>
      </x:c>
      <x:c r="AA402" s="12"/>
      <x:c r="AB402" s="12"/>
      <x:c r="AC402" s="12"/>
      <x:c r="AD402" s="12"/>
      <x:c r="AE402" t="str">
        <x:v>Crystal Palace Women</x:v>
      </x:c>
      <x:c r="AF402" s="45" t="n">
        <x:v>8.563172284965347</x:v>
      </x:c>
      <x:c r="AG402" t="str">
        <x:v>AFC Wimbledon Women</x:v>
      </x:c>
      <x:c r="AH402" s="45" t="n">
        <x:v>13.685972642898466</x:v>
      </x:c>
      <x:c r="AI402" t="n">
        <x:v>65</x:v>
      </x:c>
      <x:c r="AJ402" t="str">
        <x:v>MEDIUM</x:v>
      </x:c>
    </x:row>
    <x:row r="403">
      <x:c r="A403" s="12" t="str">
        <x:v>E01001071</x:v>
      </x:c>
      <x:c r="B403" s="12" t="str">
        <x:v>Croydon 042B</x:v>
      </x:c>
      <x:c r="C403" s="12" t="str">
        <x:v>Croydon</x:v>
      </x:c>
      <x:c r="D403" s="44" t="n">
        <x:v>51.315878477082</x:v>
      </x:c>
      <x:c r="E403" s="44" t="n">
        <x:v>-0.0864118960877813</x:v>
      </x:c>
      <x:c r="F403" s="33" t="n">
        <x:v>723</x:v>
      </x:c>
      <x:c r="G403" s="33" t="n">
        <x:v>268</x:v>
      </x:c>
      <x:c r="H403" s="26" t="n">
        <x:v>0.3706777316735823</x:v>
      </x:c>
      <x:c r="I403" s="12" t="n">
        <x:v>1</x:v>
      </x:c>
      <x:c r="J403" s="12" t="n">
        <x:v>23</x:v>
      </x:c>
      <x:c r="K403" s="12"/>
      <x:c r="L403" s="12"/>
      <x:c r="M403" s="12" t="str">
        <x:f>IF(K403="", "", MAX(0,IF(K403&lt;=20,100,IF(K403&lt;=30,85,IF(K403&lt;=40,70,IF(K403&lt;=50,55,IF(K403&lt;=60,40,20)))))-MIN(L403*5,20)))</x:f>
      </x:c>
      <x:c r="N403" s="12"/>
      <x:c r="O403" s="12"/>
      <x:c r="P403" s="12" t="str">
        <x:f>IF(OR(H403="",J403="",M403=""),"",ROUND(PERCENTRANK.INC($H$2:$H$941,H403)*35+J403*0.35+M403*0.30,0))</x:f>
      </x:c>
      <x:c r="Q403" s="12" t="str">
        <x:f>IF(P403="","",IF(P403&gt;=80,"ATTACK",IF(P403&gt;=65,"GROW",IF(P403&gt;=50,"PARTNER","WATCH"))))</x:f>
      </x:c>
      <x:c r="R403" s="12" t="str">
        <x:f>IF(Q403="","",IF(Q403="ATTACK","Grassroots + family acquisition",IF(Q403="GROW","Test local campaign",IF(Q403="PARTNER","Organisation-first partnership","Low priority / validate"))))</x:f>
      </x:c>
      <x:c r="S403" s="45" t="n">
        <x:v>11.04653013944679</x:v>
      </x:c>
      <x:c r="T403" t="str">
        <x:v>EXTENDED</x:v>
      </x:c>
      <x:c r="U403" s="32" t="n">
        <x:f>PERCENTRANK.INC($G$2:$G$941,G403)</x:f>
        <x:v>0.861</x:v>
      </x:c>
      <x:c r="V403" s="32" t="n">
        <x:f>PERCENTRANK.INC($H$2:$H$941,H403)</x:f>
        <x:v>0.797</x:v>
      </x:c>
      <x:c r="W403" t="n">
        <x:f>ROUND((U403*55+V403*45)*IF(S403&lt;=5,1,IF(S403&lt;=10,0.95,IF(S403&lt;=20,0.85,0.70))),0)</x:f>
        <x:v>71</x:v>
      </x:c>
      <x:c r="X403" t="n">
        <x:v>49</x:v>
      </x:c>
      <x:c r="Y403" t="str">
        <x:v>WATCH</x:v>
      </x:c>
      <x:c r="Z403" s="12" t="str">
        <x:v>Family + verified grassroots + straight-line geo only; transport not yet routed</x:v>
      </x:c>
      <x:c r="AA403" s="12"/>
      <x:c r="AB403" s="12"/>
      <x:c r="AC403" s="12"/>
      <x:c r="AD403" s="12"/>
      <x:c r="AE403" t="str">
        <x:v>Crystal Palace Women</x:v>
      </x:c>
      <x:c r="AF403" s="45" t="n">
        <x:v>9.163062912837189</x:v>
      </x:c>
      <x:c r="AG403" t="str">
        <x:v>AFC Wimbledon Women</x:v>
      </x:c>
      <x:c r="AH403" s="45" t="n">
        <x:v>14.60070408105895</x:v>
      </x:c>
      <x:c r="AI403" t="n">
        <x:v>65</x:v>
      </x:c>
      <x:c r="AJ403" t="str">
        <x:v>MEDIUM</x:v>
      </x:c>
    </x:row>
    <x:row r="404">
      <x:c r="A404" s="12" t="str">
        <x:v>E01001072</x:v>
      </x:c>
      <x:c r="B404" s="12" t="str">
        <x:v>Croydon 042C</x:v>
      </x:c>
      <x:c r="C404" s="12" t="str">
        <x:v>Croydon</x:v>
      </x:c>
      <x:c r="D404" s="44" t="n">
        <x:v>51.31413746583773</x:v>
      </x:c>
      <x:c r="E404" s="44" t="n">
        <x:v>-0.10441565802871923</x:v>
      </x:c>
      <x:c r="F404" s="33" t="n">
        <x:v>540</x:v>
      </x:c>
      <x:c r="G404" s="33" t="n">
        <x:v>153</x:v>
      </x:c>
      <x:c r="H404" s="26" t="n">
        <x:v>0.2833333333333333</x:v>
      </x:c>
      <x:c r="I404" s="12" t="n">
        <x:v>1</x:v>
      </x:c>
      <x:c r="J404" s="12" t="n">
        <x:v>23</x:v>
      </x:c>
      <x:c r="K404" s="12"/>
      <x:c r="L404" s="12"/>
      <x:c r="M404" s="12" t="str">
        <x:f>IF(K404="", "", MAX(0,IF(K404&lt;=20,100,IF(K404&lt;=30,85,IF(K404&lt;=40,70,IF(K404&lt;=50,55,IF(K404&lt;=60,40,20)))))-MIN(L404*5,20)))</x:f>
      </x:c>
      <x:c r="N404" s="12"/>
      <x:c r="O404" s="12"/>
      <x:c r="P404" s="12" t="str">
        <x:f>IF(OR(H404="",J404="",M404=""),"",ROUND(PERCENTRANK.INC($H$2:$H$941,H404)*35+J404*0.35+M404*0.30,0))</x:f>
      </x:c>
      <x:c r="Q404" s="12" t="str">
        <x:f>IF(P404="","",IF(P404&gt;=80,"ATTACK",IF(P404&gt;=65,"GROW",IF(P404&gt;=50,"PARTNER","WATCH"))))</x:f>
      </x:c>
      <x:c r="R404" s="12" t="str">
        <x:f>IF(Q404="","",IF(Q404="ATTACK","Grassroots + family acquisition",IF(Q404="GROW","Test local campaign",IF(Q404="PARTNER","Organisation-first partnership","Low priority / validate"))))</x:f>
      </x:c>
      <x:c r="S404" s="45" t="n">
        <x:v>12.039199695963681</x:v>
      </x:c>
      <x:c r="T404" t="str">
        <x:v>EXTENDED</x:v>
      </x:c>
      <x:c r="U404" s="32" t="n">
        <x:f>PERCENTRANK.INC($G$2:$G$941,G404)</x:f>
        <x:v>0.101</x:v>
      </x:c>
      <x:c r="V404" s="32" t="n">
        <x:f>PERCENTRANK.INC($H$2:$H$941,H404)</x:f>
        <x:v>0.307</x:v>
      </x:c>
      <x:c r="W404" t="n">
        <x:f>ROUND((U404*55+V404*45)*IF(S404&lt;=5,1,IF(S404&lt;=10,0.95,IF(S404&lt;=20,0.85,0.70))),0)</x:f>
        <x:v>16</x:v>
      </x:c>
      <x:c r="X404" t="n">
        <x:v>20</x:v>
      </x:c>
      <x:c r="Y404" t="str">
        <x:v>WATCH</x:v>
      </x:c>
      <x:c r="Z404" s="12" t="str">
        <x:v>Family + verified grassroots + straight-line geo only; transport not yet routed</x:v>
      </x:c>
      <x:c r="AA404" s="12"/>
      <x:c r="AB404" s="12"/>
      <x:c r="AC404" s="12"/>
      <x:c r="AD404" s="12"/>
      <x:c r="AE404" t="str">
        <x:v>Crystal Palace Women</x:v>
      </x:c>
      <x:c r="AF404" s="45" t="n">
        <x:v>9.13703067737066</x:v>
      </x:c>
      <x:c r="AG404" t="str">
        <x:v>AFC Wimbledon Women</x:v>
      </x:c>
      <x:c r="AH404" s="45" t="n">
        <x:v>14.224042030342043</x:v>
      </x:c>
      <x:c r="AI404" t="n">
        <x:v>65</x:v>
      </x:c>
      <x:c r="AJ404" t="str">
        <x:v>MEDIUM</x:v>
      </x:c>
    </x:row>
    <x:row r="405">
      <x:c r="A405" s="12" t="str">
        <x:v>E01001104</x:v>
      </x:c>
      <x:c r="B405" s="12" t="str">
        <x:v>Croydon 042D</x:v>
      </x:c>
      <x:c r="C405" s="12" t="str">
        <x:v>Croydon</x:v>
      </x:c>
      <x:c r="D405" s="44" t="n">
        <x:v>51.329346218252695</x:v>
      </x:c>
      <x:c r="E405" s="44" t="n">
        <x:v>-0.09527611765819219</x:v>
      </x:c>
      <x:c r="F405" s="33" t="n">
        <x:v>645</x:v>
      </x:c>
      <x:c r="G405" s="33" t="n">
        <x:v>210</x:v>
      </x:c>
      <x:c r="H405" s="26" t="n">
        <x:v>0.32558139534883723</x:v>
      </x:c>
      <x:c r="I405" s="12" t="n">
        <x:v>2</x:v>
      </x:c>
      <x:c r="J405" s="12" t="n">
        <x:v>38</x:v>
      </x:c>
      <x:c r="K405" s="12"/>
      <x:c r="L405" s="12"/>
      <x:c r="M405" s="12" t="str">
        <x:f>IF(K405="", "", MAX(0,IF(K405&lt;=20,100,IF(K405&lt;=30,85,IF(K405&lt;=40,70,IF(K405&lt;=50,55,IF(K405&lt;=60,40,20)))))-MIN(L405*5,20)))</x:f>
      </x:c>
      <x:c r="N405" s="12"/>
      <x:c r="O405" s="12"/>
      <x:c r="P405" s="12" t="str">
        <x:f>IF(OR(H405="",J405="",M405=""),"",ROUND(PERCENTRANK.INC($H$2:$H$941,H405)*35+J405*0.35+M405*0.30,0))</x:f>
      </x:c>
      <x:c r="Q405" s="12" t="str">
        <x:f>IF(P405="","",IF(P405&gt;=80,"ATTACK",IF(P405&gt;=65,"GROW",IF(P405&gt;=50,"PARTNER","WATCH"))))</x:f>
      </x:c>
      <x:c r="R405" s="12" t="str">
        <x:f>IF(Q405="","",IF(Q405="ATTACK","Grassroots + family acquisition",IF(Q405="GROW","Test local campaign",IF(Q405="PARTNER","Organisation-first partnership","Low priority / validate"))))</x:f>
      </x:c>
      <x:c r="S405" s="45" t="n">
        <x:v>10.417187651229266</x:v>
      </x:c>
      <x:c r="T405" t="str">
        <x:v>EXTENDED</x:v>
      </x:c>
      <x:c r="U405" s="32" t="n">
        <x:f>PERCENTRANK.INC($G$2:$G$941,G405)</x:f>
        <x:v>0.471</x:v>
      </x:c>
      <x:c r="V405" s="32" t="n">
        <x:f>PERCENTRANK.INC($H$2:$H$941,H405)</x:f>
        <x:v>0.545</x:v>
      </x:c>
      <x:c r="W405" t="n">
        <x:f>ROUND((U405*55+V405*45)*IF(S405&lt;=5,1,IF(S405&lt;=10,0.95,IF(S405&lt;=20,0.85,0.70))),0)</x:f>
        <x:v>43</x:v>
      </x:c>
      <x:c r="X405" t="n">
        <x:v>41</x:v>
      </x:c>
      <x:c r="Y405" t="str">
        <x:v>WATCH</x:v>
      </x:c>
      <x:c r="Z405" s="12" t="str">
        <x:v>Family + verified grassroots + straight-line geo only; transport not yet routed</x:v>
      </x:c>
      <x:c r="AA405" s="12"/>
      <x:c r="AB405" s="12"/>
      <x:c r="AC405" s="12"/>
      <x:c r="AD405" s="12"/>
      <x:c r="AE405" t="str">
        <x:v>Crystal Palace Women</x:v>
      </x:c>
      <x:c r="AF405" s="45" t="n">
        <x:v>7.69727005117828</x:v>
      </x:c>
      <x:c r="AG405" t="str">
        <x:v>AFC Wimbledon Women</x:v>
      </x:c>
      <x:c r="AH405" s="45" t="n">
        <x:v>12.991824683592355</x:v>
      </x:c>
      <x:c r="AI405" t="n">
        <x:v>65</x:v>
      </x:c>
      <x:c r="AJ405" t="str">
        <x:v>MEDIUM</x:v>
      </x:c>
    </x:row>
    <x:row r="406">
      <x:c r="A406" s="12" t="str">
        <x:v>E01001017</x:v>
      </x:c>
      <x:c r="B406" s="12" t="str">
        <x:v>Croydon 043A</x:v>
      </x:c>
      <x:c r="C406" s="12" t="str">
        <x:v>Croydon</x:v>
      </x:c>
      <x:c r="D406" s="44" t="n">
        <x:v>51.308103616018336</x:v>
      </x:c>
      <x:c r="E406" s="44" t="n">
        <x:v>-0.14183495641218252</x:v>
      </x:c>
      <x:c r="F406" s="33" t="n">
        <x:v>630</x:v>
      </x:c>
      <x:c r="G406" s="33" t="n">
        <x:v>204</x:v>
      </x:c>
      <x:c r="H406" s="26" t="n">
        <x:v>0.3238095238095238</x:v>
      </x:c>
      <x:c r="I406" s="12" t="n">
        <x:v>0</x:v>
      </x:c>
      <x:c r="J406" s="12" t="n">
        <x:v>8</x:v>
      </x:c>
      <x:c r="K406" s="12"/>
      <x:c r="L406" s="12"/>
      <x:c r="M406" s="12" t="str">
        <x:f>IF(K406="", "", MAX(0,IF(K406&lt;=20,100,IF(K406&lt;=30,85,IF(K406&lt;=40,70,IF(K406&lt;=50,55,IF(K406&lt;=60,40,20)))))-MIN(L406*5,20)))</x:f>
      </x:c>
      <x:c r="N406" s="12"/>
      <x:c r="O406" s="12"/>
      <x:c r="P406" s="12" t="str">
        <x:f>IF(OR(H406="",J406="",M406=""),"",ROUND(PERCENTRANK.INC($H$2:$H$941,H406)*35+J406*0.35+M406*0.30,0))</x:f>
      </x:c>
      <x:c r="Q406" s="12" t="str">
        <x:f>IF(P406="","",IF(P406&gt;=80,"ATTACK",IF(P406&gt;=65,"GROW",IF(P406&gt;=50,"PARTNER","WATCH"))))</x:f>
      </x:c>
      <x:c r="R406" s="12" t="str">
        <x:f>IF(Q406="","",IF(Q406="ATTACK","Grassroots + family acquisition",IF(Q406="GROW","Test local campaign",IF(Q406="PARTNER","Organisation-first partnership","Low priority / validate"))))</x:f>
      </x:c>
      <x:c r="S406" s="45" t="n">
        <x:v>14.4119251206543</x:v>
      </x:c>
      <x:c r="T406" t="str">
        <x:v>EXTENDED</x:v>
      </x:c>
      <x:c r="U406" s="32" t="n">
        <x:f>PERCENTRANK.INC($G$2:$G$941,G406)</x:f>
        <x:v>0.421</x:v>
      </x:c>
      <x:c r="V406" s="32" t="n">
        <x:f>PERCENTRANK.INC($H$2:$H$941,H406)</x:f>
        <x:v>0.535</x:v>
      </x:c>
      <x:c r="W406" t="n">
        <x:f>ROUND((U406*55+V406*45)*IF(S406&lt;=5,1,IF(S406&lt;=10,0.95,IF(S406&lt;=20,0.85,0.70))),0)</x:f>
        <x:v>40</x:v>
      </x:c>
      <x:c r="X406" t="n">
        <x:v>26</x:v>
      </x:c>
      <x:c r="Y406" t="str">
        <x:v>WATCH</x:v>
      </x:c>
      <x:c r="Z406" s="12" t="str">
        <x:v>Family + verified grassroots + straight-line geo only; transport not yet routed</x:v>
      </x:c>
      <x:c r="AA406" s="12"/>
      <x:c r="AB406" s="12"/>
      <x:c r="AC406" s="12"/>
      <x:c r="AD406" s="12"/>
      <x:c r="AE406" t="str">
        <x:v>Crystal Palace Women</x:v>
      </x:c>
      <x:c r="AF406" s="45" t="n">
        <x:v>7.907997700947472</x:v>
      </x:c>
      <x:c r="AG406" t="str">
        <x:v>AFC Wimbledon Women</x:v>
      </x:c>
      <x:c r="AH406" s="45" t="n">
        <x:v>14.045301102664359</x:v>
      </x:c>
      <x:c r="AI406" t="n">
        <x:v>65</x:v>
      </x:c>
      <x:c r="AJ406" t="str">
        <x:v>MEDIUM</x:v>
      </x:c>
    </x:row>
    <x:row r="407">
      <x:c r="A407" s="12" t="str">
        <x:v>E01001024</x:v>
      </x:c>
      <x:c r="B407" s="12" t="str">
        <x:v>Croydon 043B</x:v>
      </x:c>
      <x:c r="C407" s="12" t="str">
        <x:v>Croydon</x:v>
      </x:c>
      <x:c r="D407" s="44" t="n">
        <x:v>51.320571458197605</x:v>
      </x:c>
      <x:c r="E407" s="44" t="n">
        <x:v>-0.14577372116168782</x:v>
      </x:c>
      <x:c r="F407" s="33" t="n">
        <x:v>527</x:v>
      </x:c>
      <x:c r="G407" s="33" t="n">
        <x:v>169</x:v>
      </x:c>
      <x:c r="H407" s="26" t="n">
        <x:v>0.3206831119544592</x:v>
      </x:c>
      <x:c r="I407" s="12" t="n">
        <x:v>1</x:v>
      </x:c>
      <x:c r="J407" s="12" t="n">
        <x:v>23</x:v>
      </x:c>
      <x:c r="K407" s="12"/>
      <x:c r="L407" s="12"/>
      <x:c r="M407" s="12" t="str">
        <x:f>IF(K407="", "", MAX(0,IF(K407&lt;=20,100,IF(K407&lt;=30,85,IF(K407&lt;=40,70,IF(K407&lt;=50,55,IF(K407&lt;=60,40,20)))))-MIN(L407*5,20)))</x:f>
      </x:c>
      <x:c r="N407" s="12"/>
      <x:c r="O407" s="12"/>
      <x:c r="P407" s="12" t="str">
        <x:f>IF(OR(H407="",J407="",M407=""),"",ROUND(PERCENTRANK.INC($H$2:$H$941,H407)*35+J407*0.35+M407*0.30,0))</x:f>
      </x:c>
      <x:c r="Q407" s="12" t="str">
        <x:f>IF(P407="","",IF(P407&gt;=80,"ATTACK",IF(P407&gt;=65,"GROW",IF(P407&gt;=50,"PARTNER","WATCH"))))</x:f>
      </x:c>
      <x:c r="R407" s="12" t="str">
        <x:f>IF(Q407="","",IF(Q407="ATTACK","Grassroots + family acquisition",IF(Q407="GROW","Test local campaign",IF(Q407="PARTNER","Organisation-first partnership","Low priority / validate"))))</x:f>
      </x:c>
      <x:c r="S407" s="45" t="n">
        <x:v>13.790360732574003</x:v>
      </x:c>
      <x:c r="T407" t="str">
        <x:v>EXTENDED</x:v>
      </x:c>
      <x:c r="U407" s="32" t="n">
        <x:f>PERCENTRANK.INC($G$2:$G$941,G407)</x:f>
        <x:v>0.169</x:v>
      </x:c>
      <x:c r="V407" s="32" t="n">
        <x:f>PERCENTRANK.INC($H$2:$H$941,H407)</x:f>
        <x:v>0.515</x:v>
      </x:c>
      <x:c r="W407" t="n">
        <x:f>ROUND((U407*55+V407*45)*IF(S407&lt;=5,1,IF(S407&lt;=10,0.95,IF(S407&lt;=20,0.85,0.70))),0)</x:f>
        <x:v>28</x:v>
      </x:c>
      <x:c r="X407" t="n">
        <x:v>26</x:v>
      </x:c>
      <x:c r="Y407" t="str">
        <x:v>WATCH</x:v>
      </x:c>
      <x:c r="Z407" s="12" t="str">
        <x:v>Family + verified grassroots + straight-line geo only; transport not yet routed</x:v>
      </x:c>
      <x:c r="AA407" s="12"/>
      <x:c r="AB407" s="12"/>
      <x:c r="AC407" s="12"/>
      <x:c r="AD407" s="12"/>
      <x:c r="AE407" t="str">
        <x:v>Crystal Palace Women</x:v>
      </x:c>
      <x:c r="AF407" s="45" t="n">
        <x:v>6.620880799267841</x:v>
      </x:c>
      <x:c r="AG407" t="str">
        <x:v>AFC Wimbledon Women</x:v>
      </x:c>
      <x:c r="AH407" s="45" t="n">
        <x:v>12.632835610854778</x:v>
      </x:c>
      <x:c r="AI407" t="n">
        <x:v>65</x:v>
      </x:c>
      <x:c r="AJ407" t="str">
        <x:v>MEDIUM</x:v>
      </x:c>
    </x:row>
    <x:row r="408">
      <x:c r="A408" s="12" t="str">
        <x:v>E01001025</x:v>
      </x:c>
      <x:c r="B408" s="12" t="str">
        <x:v>Croydon 043C</x:v>
      </x:c>
      <x:c r="C408" s="12" t="str">
        <x:v>Croydon</x:v>
      </x:c>
      <x:c r="D408" s="44" t="n">
        <x:v>51.320090585998145</x:v>
      </x:c>
      <x:c r="E408" s="44" t="n">
        <x:v>-0.15559483975873806</x:v>
      </x:c>
      <x:c r="F408" s="33" t="n">
        <x:v>493</x:v>
      </x:c>
      <x:c r="G408" s="33" t="n">
        <x:v>183</x:v>
      </x:c>
      <x:c r="H408" s="26" t="n">
        <x:v>0.3711967545638945</x:v>
      </x:c>
      <x:c r="I408" s="12" t="n">
        <x:v>1</x:v>
      </x:c>
      <x:c r="J408" s="12" t="n">
        <x:v>23</x:v>
      </x:c>
      <x:c r="K408" s="12"/>
      <x:c r="L408" s="12"/>
      <x:c r="M408" s="12" t="str">
        <x:f>IF(K408="", "", MAX(0,IF(K408&lt;=20,100,IF(K408&lt;=30,85,IF(K408&lt;=40,70,IF(K408&lt;=50,55,IF(K408&lt;=60,40,20)))))-MIN(L408*5,20)))</x:f>
      </x:c>
      <x:c r="N408" s="12"/>
      <x:c r="O408" s="12"/>
      <x:c r="P408" s="12" t="str">
        <x:f>IF(OR(H408="",J408="",M408=""),"",ROUND(PERCENTRANK.INC($H$2:$H$941,H408)*35+J408*0.35+M408*0.30,0))</x:f>
      </x:c>
      <x:c r="Q408" s="12" t="str">
        <x:f>IF(P408="","",IF(P408&gt;=80,"ATTACK",IF(P408&gt;=65,"GROW",IF(P408&gt;=50,"PARTNER","WATCH"))))</x:f>
      </x:c>
      <x:c r="R408" s="12" t="str">
        <x:f>IF(Q408="","",IF(Q408="ATTACK","Grassroots + family acquisition",IF(Q408="GROW","Test local campaign",IF(Q408="PARTNER","Organisation-first partnership","Low priority / validate"))))</x:f>
      </x:c>
      <x:c r="S408" s="45" t="n">
        <x:v>14.386263542823759</x:v>
      </x:c>
      <x:c r="T408" t="str">
        <x:v>EXTENDED</x:v>
      </x:c>
      <x:c r="U408" s="32" t="n">
        <x:f>PERCENTRANK.INC($G$2:$G$941,G408)</x:f>
        <x:v>0.248</x:v>
      </x:c>
      <x:c r="V408" s="32" t="n">
        <x:f>PERCENTRANK.INC($H$2:$H$941,H408)</x:f>
        <x:v>0.798</x:v>
      </x:c>
      <x:c r="W408" t="n">
        <x:f>ROUND((U408*55+V408*45)*IF(S408&lt;=5,1,IF(S408&lt;=10,0.95,IF(S408&lt;=20,0.85,0.70))),0)</x:f>
        <x:v>42</x:v>
      </x:c>
      <x:c r="X408" t="n">
        <x:v>34</x:v>
      </x:c>
      <x:c r="Y408" t="str">
        <x:v>WATCH</x:v>
      </x:c>
      <x:c r="Z408" s="12" t="str">
        <x:v>Family + verified grassroots + straight-line geo only; transport not yet routed</x:v>
      </x:c>
      <x:c r="AA408" s="12"/>
      <x:c r="AB408" s="12"/>
      <x:c r="AC408" s="12"/>
      <x:c r="AD408" s="12"/>
      <x:c r="AE408" t="str">
        <x:v>Crystal Palace Women</x:v>
      </x:c>
      <x:c r="AF408" s="45" t="n">
        <x:v>6.269195555383169</x:v>
      </x:c>
      <x:c r="AG408" t="str">
        <x:v>AFC Wimbledon Women</x:v>
      </x:c>
      <x:c r="AH408" s="45" t="n">
        <x:v>12.549313398896622</x:v>
      </x:c>
      <x:c r="AI408" t="n">
        <x:v>65</x:v>
      </x:c>
      <x:c r="AJ408" t="str">
        <x:v>MEDIUM</x:v>
      </x:c>
    </x:row>
    <x:row r="409">
      <x:c r="A409" s="12" t="str">
        <x:v>E01001026</x:v>
      </x:c>
      <x:c r="B409" s="12" t="str">
        <x:v>Croydon 043D</x:v>
      </x:c>
      <x:c r="C409" s="12" t="str">
        <x:v>Croydon</x:v>
      </x:c>
      <x:c r="D409" s="44" t="n">
        <x:v>51.317007217202566</x:v>
      </x:c>
      <x:c r="E409" s="44" t="n">
        <x:v>-0.15591981028275606</x:v>
      </x:c>
      <x:c r="F409" s="33" t="n">
        <x:v>666</x:v>
      </x:c>
      <x:c r="G409" s="33" t="n">
        <x:v>286</x:v>
      </x:c>
      <x:c r="H409" s="26" t="n">
        <x:v>0.4294294294294294</x:v>
      </x:c>
      <x:c r="I409" s="12" t="n">
        <x:v>1</x:v>
      </x:c>
      <x:c r="J409" s="12" t="n">
        <x:v>23</x:v>
      </x:c>
      <x:c r="K409" s="12"/>
      <x:c r="L409" s="12"/>
      <x:c r="M409" s="12" t="str">
        <x:f>IF(K409="", "", MAX(0,IF(K409&lt;=20,100,IF(K409&lt;=30,85,IF(K409&lt;=40,70,IF(K409&lt;=50,55,IF(K409&lt;=60,40,20)))))-MIN(L409*5,20)))</x:f>
      </x:c>
      <x:c r="N409" s="12"/>
      <x:c r="O409" s="12"/>
      <x:c r="P409" s="12" t="str">
        <x:f>IF(OR(H409="",J409="",M409=""),"",ROUND(PERCENTRANK.INC($H$2:$H$941,H409)*35+J409*0.35+M409*0.30,0))</x:f>
      </x:c>
      <x:c r="Q409" s="12" t="str">
        <x:f>IF(P409="","",IF(P409&gt;=80,"ATTACK",IF(P409&gt;=65,"GROW",IF(P409&gt;=50,"PARTNER","WATCH"))))</x:f>
      </x:c>
      <x:c r="R409" s="12" t="str">
        <x:f>IF(Q409="","",IF(Q409="ATTACK","Grassroots + family acquisition",IF(Q409="GROW","Test local campaign",IF(Q409="PARTNER","Organisation-first partnership","Low priority / validate"))))</x:f>
      </x:c>
      <x:c r="S409" s="45" t="n">
        <x:v>14.595923959770298</x:v>
      </x:c>
      <x:c r="T409" t="str">
        <x:v>EXTENDED</x:v>
      </x:c>
      <x:c r="U409" s="32" t="n">
        <x:f>PERCENTRANK.INC($G$2:$G$941,G409)</x:f>
        <x:v>0.919</x:v>
      </x:c>
      <x:c r="V409" s="32" t="n">
        <x:f>PERCENTRANK.INC($H$2:$H$941,H409)</x:f>
        <x:v>0.957</x:v>
      </x:c>
      <x:c r="W409" t="n">
        <x:f>ROUND((U409*55+V409*45)*IF(S409&lt;=5,1,IF(S409&lt;=10,0.95,IF(S409&lt;=20,0.85,0.70))),0)</x:f>
        <x:v>80</x:v>
      </x:c>
      <x:c r="X409" t="n">
        <x:v>54</x:v>
      </x:c>
      <x:c r="Y409" t="str">
        <x:v>PARTNER</x:v>
      </x:c>
      <x:c r="Z409" s="12" t="str">
        <x:v>Family + verified grassroots + straight-line geo only; transport not yet routed</x:v>
      </x:c>
      <x:c r="AA409" s="12"/>
      <x:c r="AB409" s="12"/>
      <x:c r="AC409" s="12"/>
      <x:c r="AD409" s="12"/>
      <x:c r="AE409" t="str">
        <x:v>Crystal Palace Women</x:v>
      </x:c>
      <x:c r="AF409" s="45" t="n">
        <x:v>6.5485360957318255</x:v>
      </x:c>
      <x:c r="AG409" t="str">
        <x:v>AFC Wimbledon Women</x:v>
      </x:c>
      <x:c r="AH409" s="45" t="n">
        <x:v>12.883377544308244</x:v>
      </x:c>
      <x:c r="AI409" t="n">
        <x:v>65</x:v>
      </x:c>
      <x:c r="AJ409" t="str">
        <x:v>MEDIUM</x:v>
      </x:c>
    </x:row>
    <x:row r="410">
      <x:c r="A410" s="12" t="str">
        <x:v>E01001027</x:v>
      </x:c>
      <x:c r="B410" s="12" t="str">
        <x:v>Croydon 043E</x:v>
      </x:c>
      <x:c r="C410" s="12" t="str">
        <x:v>Croydon</x:v>
      </x:c>
      <x:c r="D410" s="44" t="n">
        <x:v>51.313822140423476</x:v>
      </x:c>
      <x:c r="E410" s="44" t="n">
        <x:v>-0.14942994330676737</x:v>
      </x:c>
      <x:c r="F410" s="33" t="n">
        <x:v>989</x:v>
      </x:c>
      <x:c r="G410" s="33" t="n">
        <x:v>480</x:v>
      </x:c>
      <x:c r="H410" s="26" t="n">
        <x:v>0.48533872598584427</x:v>
      </x:c>
      <x:c r="I410" s="12" t="n">
        <x:v>1</x:v>
      </x:c>
      <x:c r="J410" s="12" t="n">
        <x:v>23</x:v>
      </x:c>
      <x:c r="K410" s="12"/>
      <x:c r="L410" s="12"/>
      <x:c r="M410" s="12" t="str">
        <x:f>IF(K410="", "", MAX(0,IF(K410&lt;=20,100,IF(K410&lt;=30,85,IF(K410&lt;=40,70,IF(K410&lt;=50,55,IF(K410&lt;=60,40,20)))))-MIN(L410*5,20)))</x:f>
      </x:c>
      <x:c r="N410" s="12"/>
      <x:c r="O410" s="12"/>
      <x:c r="P410" s="12" t="str">
        <x:f>IF(OR(H410="",J410="",M410=""),"",ROUND(PERCENTRANK.INC($H$2:$H$941,H410)*35+J410*0.35+M410*0.30,0))</x:f>
      </x:c>
      <x:c r="Q410" s="12" t="str">
        <x:f>IF(P410="","",IF(P410&gt;=80,"ATTACK",IF(P410&gt;=65,"GROW",IF(P410&gt;=50,"PARTNER","WATCH"))))</x:f>
      </x:c>
      <x:c r="R410" s="12" t="str">
        <x:f>IF(Q410="","",IF(Q410="ATTACK","Grassroots + family acquisition",IF(Q410="GROW","Test local campaign",IF(Q410="PARTNER","Organisation-first partnership","Low priority / validate"))))</x:f>
      </x:c>
      <x:c r="S410" s="45" t="n">
        <x:v>14.433913956571324</x:v>
      </x:c>
      <x:c r="T410" t="str">
        <x:v>EXTENDED</x:v>
      </x:c>
      <x:c r="U410" s="32" t="n">
        <x:f>PERCENTRANK.INC($G$2:$G$941,G410)</x:f>
        <x:v>1</x:v>
      </x:c>
      <x:c r="V410" s="32" t="n">
        <x:f>PERCENTRANK.INC($H$2:$H$941,H410)</x:f>
        <x:v>0.991</x:v>
      </x:c>
      <x:c r="W410" t="n">
        <x:f>ROUND((U410*55+V410*45)*IF(S410&lt;=5,1,IF(S410&lt;=10,0.95,IF(S410&lt;=20,0.85,0.70))),0)</x:f>
        <x:v>85</x:v>
      </x:c>
      <x:c r="X410" t="n">
        <x:v>57</x:v>
      </x:c>
      <x:c r="Y410" t="str">
        <x:v>PARTNER</x:v>
      </x:c>
      <x:c r="Z410" s="12" t="str">
        <x:v>Family + verified grassroots + straight-line geo only; transport not yet routed</x:v>
      </x:c>
      <x:c r="AA410" s="12"/>
      <x:c r="AB410" s="12"/>
      <x:c r="AC410" s="12"/>
      <x:c r="AD410" s="12"/>
      <x:c r="AE410" t="str">
        <x:v>Crystal Palace Women</x:v>
      </x:c>
      <x:c r="AF410" s="45" t="n">
        <x:v>7.087218147200455</x:v>
      </x:c>
      <x:c r="AG410" t="str">
        <x:v>AFC Wimbledon Women</x:v>
      </x:c>
      <x:c r="AH410" s="45" t="n">
        <x:v>13.313247783908235</x:v>
      </x:c>
      <x:c r="AI410" t="n">
        <x:v>65</x:v>
      </x:c>
      <x:c r="AJ410" t="str">
        <x:v>MEDIUM</x:v>
      </x:c>
    </x:row>
    <x:row r="411">
      <x:c r="A411" s="12" t="str">
        <x:v>E01001018</x:v>
      </x:c>
      <x:c r="B411" s="12" t="str">
        <x:v>Croydon 044A</x:v>
      </x:c>
      <x:c r="C411" s="12" t="str">
        <x:v>Croydon</x:v>
      </x:c>
      <x:c r="D411" s="44" t="n">
        <x:v>51.30599527054023</x:v>
      </x:c>
      <x:c r="E411" s="44" t="n">
        <x:v>-0.11371853650005936</x:v>
      </x:c>
      <x:c r="F411" s="33" t="n">
        <x:v>634</x:v>
      </x:c>
      <x:c r="G411" s="33" t="n">
        <x:v>210</x:v>
      </x:c>
      <x:c r="H411" s="26" t="n">
        <x:v>0.3312302839116719</x:v>
      </x:c>
      <x:c r="I411" s="12" t="n">
        <x:v>0</x:v>
      </x:c>
      <x:c r="J411" s="12" t="n">
        <x:v>8</x:v>
      </x:c>
      <x:c r="K411" s="12"/>
      <x:c r="L411" s="12"/>
      <x:c r="M411" s="12" t="str">
        <x:f>IF(K411="", "", MAX(0,IF(K411&lt;=20,100,IF(K411&lt;=30,85,IF(K411&lt;=40,70,IF(K411&lt;=50,55,IF(K411&lt;=60,40,20)))))-MIN(L411*5,20)))</x:f>
      </x:c>
      <x:c r="N411" s="12"/>
      <x:c r="O411" s="12"/>
      <x:c r="P411" s="12" t="str">
        <x:f>IF(OR(H411="",J411="",M411=""),"",ROUND(PERCENTRANK.INC($H$2:$H$941,H411)*35+J411*0.35+M411*0.30,0))</x:f>
      </x:c>
      <x:c r="Q411" s="12" t="str">
        <x:f>IF(P411="","",IF(P411&gt;=80,"ATTACK",IF(P411&gt;=65,"GROW",IF(P411&gt;=50,"PARTNER","WATCH"))))</x:f>
      </x:c>
      <x:c r="R411" s="12" t="str">
        <x:f>IF(Q411="","",IF(Q411="ATTACK","Grassroots + family acquisition",IF(Q411="GROW","Test local campaign",IF(Q411="PARTNER","Organisation-first partnership","Low priority / validate"))))</x:f>
      </x:c>
      <x:c r="S411" s="45" t="n">
        <x:v>13.138675017174682</x:v>
      </x:c>
      <x:c r="T411" t="str">
        <x:v>EXTENDED</x:v>
      </x:c>
      <x:c r="U411" s="32" t="n">
        <x:f>PERCENTRANK.INC($G$2:$G$941,G411)</x:f>
        <x:v>0.471</x:v>
      </x:c>
      <x:c r="V411" s="32" t="n">
        <x:f>PERCENTRANK.INC($H$2:$H$941,H411)</x:f>
        <x:v>0.575</x:v>
      </x:c>
      <x:c r="W411" t="n">
        <x:f>ROUND((U411*55+V411*45)*IF(S411&lt;=5,1,IF(S411&lt;=10,0.95,IF(S411&lt;=20,0.85,0.70))),0)</x:f>
        <x:v>44</x:v>
      </x:c>
      <x:c r="X411" t="n">
        <x:v>28</x:v>
      </x:c>
      <x:c r="Y411" t="str">
        <x:v>WATCH</x:v>
      </x:c>
      <x:c r="Z411" s="12" t="str">
        <x:v>Family + verified grassroots + straight-line geo only; transport not yet routed</x:v>
      </x:c>
      <x:c r="AA411" s="12"/>
      <x:c r="AB411" s="12"/>
      <x:c r="AC411" s="12"/>
      <x:c r="AD411" s="12"/>
      <x:c r="AE411" t="str">
        <x:v>Crystal Palace Women</x:v>
      </x:c>
      <x:c r="AF411" s="45" t="n">
        <x:v>9.300225614518155</x:v>
      </x:c>
      <x:c r="AG411" t="str">
        <x:v>AFC Wimbledon Women</x:v>
      </x:c>
      <x:c r="AH411" s="45" t="n">
        <x:v>14.824126844524013</x:v>
      </x:c>
      <x:c r="AI411" t="n">
        <x:v>65</x:v>
      </x:c>
      <x:c r="AJ411" t="str">
        <x:v>MEDIUM</x:v>
      </x:c>
    </x:row>
    <x:row r="412">
      <x:c r="A412" s="12" t="str">
        <x:v>E01001019</x:v>
      </x:c>
      <x:c r="B412" s="12" t="str">
        <x:v>Croydon 044B</x:v>
      </x:c>
      <x:c r="C412" s="12" t="str">
        <x:v>Croydon</x:v>
      </x:c>
      <x:c r="D412" s="44" t="n">
        <x:v>51.30988890364417</x:v>
      </x:c>
      <x:c r="E412" s="44" t="n">
        <x:v>-0.1278387791460758</x:v>
      </x:c>
      <x:c r="F412" s="33" t="n">
        <x:v>594</x:v>
      </x:c>
      <x:c r="G412" s="33" t="n">
        <x:v>159</x:v>
      </x:c>
      <x:c r="H412" s="26" t="n">
        <x:v>0.2676767676767677</x:v>
      </x:c>
      <x:c r="I412" s="12" t="n">
        <x:v>1</x:v>
      </x:c>
      <x:c r="J412" s="12" t="n">
        <x:v>23</x:v>
      </x:c>
      <x:c r="K412" s="12"/>
      <x:c r="L412" s="12"/>
      <x:c r="M412" s="12" t="str">
        <x:f>IF(K412="", "", MAX(0,IF(K412&lt;=20,100,IF(K412&lt;=30,85,IF(K412&lt;=40,70,IF(K412&lt;=50,55,IF(K412&lt;=60,40,20)))))-MIN(L412*5,20)))</x:f>
      </x:c>
      <x:c r="N412" s="12"/>
      <x:c r="O412" s="12"/>
      <x:c r="P412" s="12" t="str">
        <x:f>IF(OR(H412="",J412="",M412=""),"",ROUND(PERCENTRANK.INC($H$2:$H$941,H412)*35+J412*0.35+M412*0.30,0))</x:f>
      </x:c>
      <x:c r="Q412" s="12" t="str">
        <x:f>IF(P412="","",IF(P412&gt;=80,"ATTACK",IF(P412&gt;=65,"GROW",IF(P412&gt;=50,"PARTNER","WATCH"))))</x:f>
      </x:c>
      <x:c r="R412" s="12" t="str">
        <x:f>IF(Q412="","",IF(Q412="ATTACK","Grassroots + family acquisition",IF(Q412="GROW","Test local campaign",IF(Q412="PARTNER","Organisation-first partnership","Low priority / validate"))))</x:f>
      </x:c>
      <x:c r="S412" s="45" t="n">
        <x:v>13.545646696527026</x:v>
      </x:c>
      <x:c r="T412" t="str">
        <x:v>EXTENDED</x:v>
      </x:c>
      <x:c r="U412" s="32" t="n">
        <x:f>PERCENTRANK.INC($G$2:$G$941,G412)</x:f>
        <x:v>0.123</x:v>
      </x:c>
      <x:c r="V412" s="32" t="n">
        <x:f>PERCENTRANK.INC($H$2:$H$941,H412)</x:f>
        <x:v>0.25</x:v>
      </x:c>
      <x:c r="W412" t="n">
        <x:f>ROUND((U412*55+V412*45)*IF(S412&lt;=5,1,IF(S412&lt;=10,0.95,IF(S412&lt;=20,0.85,0.70))),0)</x:f>
        <x:v>15</x:v>
      </x:c>
      <x:c r="X412" t="n">
        <x:v>19</x:v>
      </x:c>
      <x:c r="Y412" t="str">
        <x:v>WATCH</x:v>
      </x:c>
      <x:c r="Z412" s="12" t="str">
        <x:v>Family + verified grassroots + straight-line geo only; transport not yet routed</x:v>
      </x:c>
      <x:c r="AA412" s="12"/>
      <x:c r="AB412" s="12"/>
      <x:c r="AC412" s="12"/>
      <x:c r="AD412" s="12"/>
      <x:c r="AE412" t="str">
        <x:v>Crystal Palace Women</x:v>
      </x:c>
      <x:c r="AF412" s="45" t="n">
        <x:v>8.3279684233801</x:v>
      </x:c>
      <x:c r="AG412" t="str">
        <x:v>AFC Wimbledon Women</x:v>
      </x:c>
      <x:c r="AH412" s="45" t="n">
        <x:v>14.102792495622609</x:v>
      </x:c>
      <x:c r="AI412" t="n">
        <x:v>65</x:v>
      </x:c>
      <x:c r="AJ412" t="str">
        <x:v>MEDIUM</x:v>
      </x:c>
    </x:row>
    <x:row r="413">
      <x:c r="A413" s="12" t="str">
        <x:v>E01001020</x:v>
      </x:c>
      <x:c r="B413" s="12" t="str">
        <x:v>Croydon 044C</x:v>
      </x:c>
      <x:c r="C413" s="12" t="str">
        <x:v>Croydon</x:v>
      </x:c>
      <x:c r="D413" s="44" t="n">
        <x:v>51.30311093588244</x:v>
      </x:c>
      <x:c r="E413" s="44" t="n">
        <x:v>-0.11922390568041846</x:v>
      </x:c>
      <x:c r="F413" s="33" t="n">
        <x:v>638</x:v>
      </x:c>
      <x:c r="G413" s="33" t="n">
        <x:v>223</x:v>
      </x:c>
      <x:c r="H413" s="26" t="n">
        <x:v>0.3495297805642633</x:v>
      </x:c>
      <x:c r="I413" s="12" t="n">
        <x:v>0</x:v>
      </x:c>
      <x:c r="J413" s="12" t="n">
        <x:v>8</x:v>
      </x:c>
      <x:c r="K413" s="12"/>
      <x:c r="L413" s="12"/>
      <x:c r="M413" s="12" t="str">
        <x:f>IF(K413="", "", MAX(0,IF(K413&lt;=20,100,IF(K413&lt;=30,85,IF(K413&lt;=40,70,IF(K413&lt;=50,55,IF(K413&lt;=60,40,20)))))-MIN(L413*5,20)))</x:f>
      </x:c>
      <x:c r="N413" s="12"/>
      <x:c r="O413" s="12"/>
      <x:c r="P413" s="12" t="str">
        <x:f>IF(OR(H413="",J413="",M413=""),"",ROUND(PERCENTRANK.INC($H$2:$H$941,H413)*35+J413*0.35+M413*0.30,0))</x:f>
      </x:c>
      <x:c r="Q413" s="12" t="str">
        <x:f>IF(P413="","",IF(P413&gt;=80,"ATTACK",IF(P413&gt;=65,"GROW",IF(P413&gt;=50,"PARTNER","WATCH"))))</x:f>
      </x:c>
      <x:c r="R413" s="12" t="str">
        <x:f>IF(Q413="","",IF(Q413="ATTACK","Grassroots + family acquisition",IF(Q413="GROW","Test local campaign",IF(Q413="PARTNER","Organisation-first partnership","Low priority / validate"))))</x:f>
      </x:c>
      <x:c r="S413" s="45" t="n">
        <x:v>13.635300290447395</x:v>
      </x:c>
      <x:c r="T413" t="str">
        <x:v>EXTENDED</x:v>
      </x:c>
      <x:c r="U413" s="32" t="n">
        <x:f>PERCENTRANK.INC($G$2:$G$941,G413)</x:f>
        <x:v>0.567</x:v>
      </x:c>
      <x:c r="V413" s="32" t="n">
        <x:f>PERCENTRANK.INC($H$2:$H$941,H413)</x:f>
        <x:v>0.684</x:v>
      </x:c>
      <x:c r="W413" t="n">
        <x:f>ROUND((U413*55+V413*45)*IF(S413&lt;=5,1,IF(S413&lt;=10,0.95,IF(S413&lt;=20,0.85,0.70))),0)</x:f>
        <x:v>53</x:v>
      </x:c>
      <x:c r="X413" t="n">
        <x:v>33</x:v>
      </x:c>
      <x:c r="Y413" t="str">
        <x:v>WATCH</x:v>
      </x:c>
      <x:c r="Z413" s="12" t="str">
        <x:v>Family + verified grassroots + straight-line geo only; transport not yet routed</x:v>
      </x:c>
      <x:c r="AA413" s="12"/>
      <x:c r="AB413" s="12"/>
      <x:c r="AC413" s="12"/>
      <x:c r="AD413" s="12"/>
      <x:c r="AE413" t="str">
        <x:v>Crystal Palace Women</x:v>
      </x:c>
      <x:c r="AF413" s="45" t="n">
        <x:v>9.290404718327139</x:v>
      </x:c>
      <x:c r="AG413" t="str">
        <x:v>AFC Wimbledon Women</x:v>
      </x:c>
      <x:c r="AH413" s="45" t="n">
        <x:v>15.001948010953333</x:v>
      </x:c>
      <x:c r="AI413" t="n">
        <x:v>60</x:v>
      </x:c>
      <x:c r="AJ413" t="str">
        <x:v>MEDIUM</x:v>
      </x:c>
    </x:row>
    <x:row r="414">
      <x:c r="A414" s="12" t="str">
        <x:v>E01001021</x:v>
      </x:c>
      <x:c r="B414" s="12" t="str">
        <x:v>Croydon 044D</x:v>
      </x:c>
      <x:c r="C414" s="12" t="str">
        <x:v>Croydon</x:v>
      </x:c>
      <x:c r="D414" s="44" t="n">
        <x:v>51.299644033973394</x:v>
      </x:c>
      <x:c r="E414" s="44" t="n">
        <x:v>-0.12262782115768592</x:v>
      </x:c>
      <x:c r="F414" s="33" t="n">
        <x:v>547</x:v>
      </x:c>
      <x:c r="G414" s="33" t="n">
        <x:v>186</x:v>
      </x:c>
      <x:c r="H414" s="26" t="n">
        <x:v>0.340036563071298</x:v>
      </x:c>
      <x:c r="I414" s="12" t="n">
        <x:v>0</x:v>
      </x:c>
      <x:c r="J414" s="12" t="n">
        <x:v>8</x:v>
      </x:c>
      <x:c r="K414" s="12"/>
      <x:c r="L414" s="12"/>
      <x:c r="M414" s="12" t="str">
        <x:f>IF(K414="", "", MAX(0,IF(K414&lt;=20,100,IF(K414&lt;=30,85,IF(K414&lt;=40,70,IF(K414&lt;=50,55,IF(K414&lt;=60,40,20)))))-MIN(L414*5,20)))</x:f>
      </x:c>
      <x:c r="N414" s="12"/>
      <x:c r="O414" s="12"/>
      <x:c r="P414" s="12" t="str">
        <x:f>IF(OR(H414="",J414="",M414=""),"",ROUND(PERCENTRANK.INC($H$2:$H$941,H414)*35+J414*0.35+M414*0.30,0))</x:f>
      </x:c>
      <x:c r="Q414" s="12" t="str">
        <x:f>IF(P414="","",IF(P414&gt;=80,"ATTACK",IF(P414&gt;=65,"GROW",IF(P414&gt;=50,"PARTNER","WATCH"))))</x:f>
      </x:c>
      <x:c r="R414" s="12" t="str">
        <x:f>IF(Q414="","",IF(Q414="ATTACK","Grassroots + family acquisition",IF(Q414="GROW","Test local campaign",IF(Q414="PARTNER","Organisation-first partnership","Low priority / validate"))))</x:f>
      </x:c>
      <x:c r="S414" s="45" t="n">
        <x:v>14.077050444577859</x:v>
      </x:c>
      <x:c r="T414" t="str">
        <x:v>EXTENDED</x:v>
      </x:c>
      <x:c r="U414" s="32" t="n">
        <x:f>PERCENTRANK.INC($G$2:$G$941,G414)</x:f>
        <x:v>0.277</x:v>
      </x:c>
      <x:c r="V414" s="32" t="n">
        <x:f>PERCENTRANK.INC($H$2:$H$941,H414)</x:f>
        <x:v>0.617</x:v>
      </x:c>
      <x:c r="W414" t="n">
        <x:f>ROUND((U414*55+V414*45)*IF(S414&lt;=5,1,IF(S414&lt;=10,0.95,IF(S414&lt;=20,0.85,0.70))),0)</x:f>
        <x:v>37</x:v>
      </x:c>
      <x:c r="X414" t="n">
        <x:v>24</x:v>
      </x:c>
      <x:c r="Y414" t="str">
        <x:v>WATCH</x:v>
      </x:c>
      <x:c r="Z414" s="12" t="str">
        <x:v>Family + verified grassroots + straight-line geo only; transport not yet routed</x:v>
      </x:c>
      <x:c r="AA414" s="12"/>
      <x:c r="AB414" s="12"/>
      <x:c r="AC414" s="12"/>
      <x:c r="AD414" s="12"/>
      <x:c r="AE414" t="str">
        <x:v>Crystal Palace Women</x:v>
      </x:c>
      <x:c r="AF414" s="45" t="n">
        <x:v>9.446631225475008</x:v>
      </x:c>
      <x:c r="AG414" t="str">
        <x:v>AFC Wimbledon Women</x:v>
      </x:c>
      <x:c r="AH414" s="45" t="n">
        <x:v>15.298078770744167</x:v>
      </x:c>
      <x:c r="AI414" t="n">
        <x:v>60</x:v>
      </x:c>
      <x:c r="AJ414" t="str">
        <x:v>MEDIUM</x:v>
      </x:c>
    </x:row>
    <x:row r="415">
      <x:c r="A415" s="12" t="str">
        <x:v>E01001022</x:v>
      </x:c>
      <x:c r="B415" s="12" t="str">
        <x:v>Croydon 044E</x:v>
      </x:c>
      <x:c r="C415" s="12" t="str">
        <x:v>Croydon</x:v>
      </x:c>
      <x:c r="D415" s="44" t="n">
        <x:v>51.30133505817595</x:v>
      </x:c>
      <x:c r="E415" s="44" t="n">
        <x:v>-0.10993774977102982</x:v>
      </x:c>
      <x:c r="F415" s="33" t="n">
        <x:v>620</x:v>
      </x:c>
      <x:c r="G415" s="33" t="n">
        <x:v>163</x:v>
      </x:c>
      <x:c r="H415" s="26" t="n">
        <x:v>0.2629032258064516</x:v>
      </x:c>
      <x:c r="I415" s="12" t="n">
        <x:v>0</x:v>
      </x:c>
      <x:c r="J415" s="12" t="n">
        <x:v>8</x:v>
      </x:c>
      <x:c r="K415" s="12"/>
      <x:c r="L415" s="12"/>
      <x:c r="M415" s="12" t="str">
        <x:f>IF(K415="", "", MAX(0,IF(K415&lt;=20,100,IF(K415&lt;=30,85,IF(K415&lt;=40,70,IF(K415&lt;=50,55,IF(K415&lt;=60,40,20)))))-MIN(L415*5,20)))</x:f>
      </x:c>
      <x:c r="N415" s="12"/>
      <x:c r="O415" s="12"/>
      <x:c r="P415" s="12" t="str">
        <x:f>IF(OR(H415="",J415="",M415=""),"",ROUND(PERCENTRANK.INC($H$2:$H$941,H415)*35+J415*0.35+M415*0.30,0))</x:f>
      </x:c>
      <x:c r="Q415" s="12" t="str">
        <x:f>IF(P415="","",IF(P415&gt;=80,"ATTACK",IF(P415&gt;=65,"GROW",IF(P415&gt;=50,"PARTNER","WATCH"))))</x:f>
      </x:c>
      <x:c r="R415" s="12" t="str">
        <x:f>IF(Q415="","",IF(Q415="ATTACK","Grassroots + family acquisition",IF(Q415="GROW","Test local campaign",IF(Q415="PARTNER","Organisation-first partnership","Low priority / validate"))))</x:f>
      </x:c>
      <x:c r="S415" s="45" t="n">
        <x:v>13.340574753922857</x:v>
      </x:c>
      <x:c r="T415" t="str">
        <x:v>EXTENDED</x:v>
      </x:c>
      <x:c r="U415" s="32" t="n">
        <x:f>PERCENTRANK.INC($G$2:$G$941,G415)</x:f>
        <x:v>0.138</x:v>
      </x:c>
      <x:c r="V415" s="32" t="n">
        <x:f>PERCENTRANK.INC($H$2:$H$941,H415)</x:f>
        <x:v>0.234</x:v>
      </x:c>
      <x:c r="W415" t="n">
        <x:f>ROUND((U415*55+V415*45)*IF(S415&lt;=5,1,IF(S415&lt;=10,0.95,IF(S415&lt;=20,0.85,0.70))),0)</x:f>
        <x:v>15</x:v>
      </x:c>
      <x:c r="X415" t="n">
        <x:v>12</x:v>
      </x:c>
      <x:c r="Y415" t="str">
        <x:v>WATCH</x:v>
      </x:c>
      <x:c r="Z415" s="12" t="str">
        <x:v>Family + verified grassroots + straight-line geo only; transport not yet routed</x:v>
      </x:c>
      <x:c r="AA415" s="12"/>
      <x:c r="AB415" s="12"/>
      <x:c r="AC415" s="12"/>
      <x:c r="AD415" s="12"/>
      <x:c r="AE415" t="str">
        <x:v>Crystal Palace Women</x:v>
      </x:c>
      <x:c r="AF415" s="45" t="n">
        <x:v>9.860760422215355</x:v>
      </x:c>
      <x:c r="AG415" t="str">
        <x:v>AFC Wimbledon Women</x:v>
      </x:c>
      <x:c r="AH415" s="45" t="n">
        <x:v>15.401117950232907</x:v>
      </x:c>
      <x:c r="AI415" t="n">
        <x:v>60</x:v>
      </x:c>
      <x:c r="AJ415" t="str">
        <x:v>MEDIUM</x:v>
      </x:c>
    </x:row>
    <x:row r="416">
      <x:c r="A416" s="12" t="str">
        <x:v>E01000990</x:v>
      </x:c>
      <x:c r="B416" s="12" t="str">
        <x:v>Croydon 045A</x:v>
      </x:c>
      <x:c r="C416" s="12" t="str">
        <x:v>Croydon</x:v>
      </x:c>
      <x:c r="D416" s="44" t="n">
        <x:v>51.38841110368098</x:v>
      </x:c>
      <x:c r="E416" s="44" t="n">
        <x:v>-0.059399130890675056</x:v>
      </x:c>
      <x:c r="F416" s="33" t="n">
        <x:v>532</x:v>
      </x:c>
      <x:c r="G416" s="33" t="n">
        <x:v>186</x:v>
      </x:c>
      <x:c r="H416" s="26" t="n">
        <x:v>0.34962406015037595</x:v>
      </x:c>
      <x:c r="I416" s="12" t="n">
        <x:v>4</x:v>
      </x:c>
      <x:c r="J416" s="12" t="n">
        <x:v>85</x:v>
      </x:c>
      <x:c r="K416" s="12"/>
      <x:c r="L416" s="12"/>
      <x:c r="M416" s="12" t="str">
        <x:f>IF(K416="", "", MAX(0,IF(K416&lt;=20,100,IF(K416&lt;=30,85,IF(K416&lt;=40,70,IF(K416&lt;=50,55,IF(K416&lt;=60,40,20)))))-MIN(L416*5,20)))</x:f>
      </x:c>
      <x:c r="N416" s="12"/>
      <x:c r="O416" s="12"/>
      <x:c r="P416" s="12" t="str">
        <x:f>IF(OR(H416="",J416="",M416=""),"",ROUND(PERCENTRANK.INC($H$2:$H$941,H416)*35+J416*0.35+M416*0.30,0))</x:f>
      </x:c>
      <x:c r="Q416" s="12" t="str">
        <x:f>IF(P416="","",IF(P416&gt;=80,"ATTACK",IF(P416&gt;=65,"GROW",IF(P416&gt;=50,"PARTNER","WATCH"))))</x:f>
      </x:c>
      <x:c r="R416" s="12" t="str">
        <x:f>IF(Q416="","",IF(Q416="ATTACK","Grassroots + family acquisition",IF(Q416="GROW","Test local campaign",IF(Q416="PARTNER","Organisation-first partnership","Low priority / validate"))))</x:f>
      </x:c>
      <x:c r="S416" s="45" t="n">
        <x:v>5.358088929313996</x:v>
      </x:c>
      <x:c r="T416" t="str">
        <x:v>NEAR</x:v>
      </x:c>
      <x:c r="U416" s="32" t="n">
        <x:f>PERCENTRANK.INC($G$2:$G$941,G416)</x:f>
        <x:v>0.277</x:v>
      </x:c>
      <x:c r="V416" s="32" t="n">
        <x:f>PERCENTRANK.INC($H$2:$H$941,H416)</x:f>
        <x:v>0.685</x:v>
      </x:c>
      <x:c r="W416" t="n">
        <x:f>ROUND((U416*55+V416*45)*IF(S416&lt;=5,1,IF(S416&lt;=10,0.95,IF(S416&lt;=20,0.85,0.70))),0)</x:f>
        <x:v>44</x:v>
      </x:c>
      <x:c r="X416" t="n">
        <x:v>63</x:v>
      </x:c>
      <x:c r="Y416" t="str">
        <x:v>PARTNER</x:v>
      </x:c>
      <x:c r="Z416" s="12" t="str">
        <x:v>Family + verified grassroots + straight-line geo only; transport not yet routed</x:v>
      </x:c>
      <x:c r="AA416" s="12"/>
      <x:c r="AB416" s="12"/>
      <x:c r="AC416" s="12"/>
      <x:c r="AD416" s="12"/>
      <x:c r="AE416" t="str">
        <x:v>Crystal Palace Women</x:v>
      </x:c>
      <x:c r="AF416" s="45" t="n">
        <x:v>2.0967530971095187</x:v>
      </x:c>
      <x:c r="AG416" t="str">
        <x:v>Dulwich Hamlet Women</x:v>
      </x:c>
      <x:c r="AH416" s="45" t="n">
        <x:v>8.28431626739042</x:v>
      </x:c>
      <x:c r="AI416" t="n">
        <x:v>92</x:v>
      </x:c>
      <x:c r="AJ416" t="str">
        <x:v>HIGH</x:v>
      </x:c>
    </x:row>
    <x:row r="417">
      <x:c r="A417" s="12" t="str">
        <x:v>E01001189</x:v>
      </x:c>
      <x:c r="B417" s="12" t="str">
        <x:v>Croydon 045B</x:v>
      </x:c>
      <x:c r="C417" s="12" t="str">
        <x:v>Croydon</x:v>
      </x:c>
      <x:c r="D417" s="44" t="n">
        <x:v>51.39028634953878</x:v>
      </x:c>
      <x:c r="E417" s="44" t="n">
        <x:v>-0.06268175750895012</x:v>
      </x:c>
      <x:c r="F417" s="33" t="n">
        <x:v>457</x:v>
      </x:c>
      <x:c r="G417" s="33" t="n">
        <x:v>175</x:v>
      </x:c>
      <x:c r="H417" s="26" t="n">
        <x:v>0.38293216630196936</x:v>
      </x:c>
      <x:c r="I417" s="12" t="n">
        <x:v>4</x:v>
      </x:c>
      <x:c r="J417" s="12" t="n">
        <x:v>93</x:v>
      </x:c>
      <x:c r="K417" s="12"/>
      <x:c r="L417" s="12"/>
      <x:c r="M417" s="12" t="str">
        <x:f>IF(K417="", "", MAX(0,IF(K417&lt;=20,100,IF(K417&lt;=30,85,IF(K417&lt;=40,70,IF(K417&lt;=50,55,IF(K417&lt;=60,40,20)))))-MIN(L417*5,20)))</x:f>
      </x:c>
      <x:c r="N417" s="12"/>
      <x:c r="O417" s="12"/>
      <x:c r="P417" s="12" t="str">
        <x:f>IF(OR(H417="",J417="",M417=""),"",ROUND(PERCENTRANK.INC($H$2:$H$941,H417)*35+J417*0.35+M417*0.30,0))</x:f>
      </x:c>
      <x:c r="Q417" s="12" t="str">
        <x:f>IF(P417="","",IF(P417&gt;=80,"ATTACK",IF(P417&gt;=65,"GROW",IF(P417&gt;=50,"PARTNER","WATCH"))))</x:f>
      </x:c>
      <x:c r="R417" s="12" t="str">
        <x:f>IF(Q417="","",IF(Q417="ATTACK","Grassroots + family acquisition",IF(Q417="GROW","Test local campaign",IF(Q417="PARTNER","Organisation-first partnership","Low priority / validate"))))</x:f>
      </x:c>
      <x:c r="S417" s="45" t="n">
        <x:v>5.578645388798612</x:v>
      </x:c>
      <x:c r="T417" t="str">
        <x:v>NEAR</x:v>
      </x:c>
      <x:c r="U417" s="32" t="n">
        <x:f>PERCENTRANK.INC($G$2:$G$941,G417)</x:f>
        <x:v>0.195</x:v>
      </x:c>
      <x:c r="V417" s="32" t="n">
        <x:f>PERCENTRANK.INC($H$2:$H$941,H417)</x:f>
        <x:v>0.847</x:v>
      </x:c>
      <x:c r="W417" t="n">
        <x:f>ROUND((U417*55+V417*45)*IF(S417&lt;=5,1,IF(S417&lt;=10,0.95,IF(S417&lt;=20,0.85,0.70))),0)</x:f>
        <x:v>46</x:v>
      </x:c>
      <x:c r="X417" t="n">
        <x:v>67</x:v>
      </x:c>
      <x:c r="Y417" t="str">
        <x:v>GROW</x:v>
      </x:c>
      <x:c r="Z417" s="12" t="str">
        <x:v>Family + verified grassroots + straight-line geo only; transport not yet routed</x:v>
      </x:c>
      <x:c r="AA417" s="12"/>
      <x:c r="AB417" s="12"/>
      <x:c r="AC417" s="12"/>
      <x:c r="AD417" s="12"/>
      <x:c r="AE417" t="str">
        <x:v>Crystal Palace Women</x:v>
      </x:c>
      <x:c r="AF417" s="45" t="n">
        <x:v>1.7944738214173817</x:v>
      </x:c>
      <x:c r="AG417" t="str">
        <x:v>Dulwich Hamlet Women</x:v>
      </x:c>
      <x:c r="AH417" s="45" t="n">
        <x:v>8.035442188028052</x:v>
      </x:c>
      <x:c r="AI417" t="n">
        <x:v>92</x:v>
      </x:c>
      <x:c r="AJ417" t="str">
        <x:v>HIGH</x:v>
      </x:c>
    </x:row>
    <x:row r="418">
      <x:c r="A418" s="12" t="str">
        <x:v>E01001190</x:v>
      </x:c>
      <x:c r="B418" s="12" t="str">
        <x:v>Croydon 045C</x:v>
      </x:c>
      <x:c r="C418" s="12" t="str">
        <x:v>Croydon</x:v>
      </x:c>
      <x:c r="D418" s="44" t="n">
        <x:v>51.398934556645784</x:v>
      </x:c>
      <x:c r="E418" s="44" t="n">
        <x:v>-0.06376075884852962</x:v>
      </x:c>
      <x:c r="F418" s="33" t="n">
        <x:v>601</x:v>
      </x:c>
      <x:c r="G418" s="33" t="n">
        <x:v>212</x:v>
      </x:c>
      <x:c r="H418" s="26" t="n">
        <x:v>0.3527454242928453</x:v>
      </x:c>
      <x:c r="I418" s="12" t="n">
        <x:v>5</x:v>
      </x:c>
      <x:c r="J418" s="12" t="n">
        <x:v>100</x:v>
      </x:c>
      <x:c r="K418" s="12"/>
      <x:c r="L418" s="12"/>
      <x:c r="M418" s="12" t="str">
        <x:f>IF(K418="", "", MAX(0,IF(K418&lt;=20,100,IF(K418&lt;=30,85,IF(K418&lt;=40,70,IF(K418&lt;=50,55,IF(K418&lt;=60,40,20)))))-MIN(L418*5,20)))</x:f>
      </x:c>
      <x:c r="N418" s="12"/>
      <x:c r="O418" s="12"/>
      <x:c r="P418" s="12" t="str">
        <x:f>IF(OR(H418="",J418="",M418=""),"",ROUND(PERCENTRANK.INC($H$2:$H$941,H418)*35+J418*0.35+M418*0.30,0))</x:f>
      </x:c>
      <x:c r="Q418" s="12" t="str">
        <x:f>IF(P418="","",IF(P418&gt;=80,"ATTACK",IF(P418&gt;=65,"GROW",IF(P418&gt;=50,"PARTNER","WATCH"))))</x:f>
      </x:c>
      <x:c r="R418" s="12" t="str">
        <x:f>IF(Q418="","",IF(Q418="ATTACK","Grassroots + family acquisition",IF(Q418="GROW","Test local campaign",IF(Q418="PARTNER","Organisation-first partnership","Low priority / validate"))))</x:f>
      </x:c>
      <x:c r="S418" s="45" t="n">
        <x:v>5.721157523222417</x:v>
      </x:c>
      <x:c r="T418" t="str">
        <x:v>NEAR</x:v>
      </x:c>
      <x:c r="U418" s="32" t="n">
        <x:f>PERCENTRANK.INC($G$2:$G$941,G418)</x:f>
        <x:v>0.492</x:v>
      </x:c>
      <x:c r="V418" s="32" t="n">
        <x:f>PERCENTRANK.INC($H$2:$H$941,H418)</x:f>
        <x:v>0.702</x:v>
      </x:c>
      <x:c r="W418" t="n">
        <x:f>ROUND((U418*55+V418*45)*IF(S418&lt;=5,1,IF(S418&lt;=10,0.95,IF(S418&lt;=20,0.85,0.70))),0)</x:f>
        <x:v>56</x:v>
      </x:c>
      <x:c r="X418" t="n">
        <x:v>76</x:v>
      </x:c>
      <x:c r="Y418" t="str">
        <x:v>GROW</x:v>
      </x:c>
      <x:c r="Z418" s="12" t="str">
        <x:v>Family + verified grassroots + straight-line geo only; transport not yet routed</x:v>
      </x:c>
      <x:c r="AA418" s="12"/>
      <x:c r="AB418" s="12"/>
      <x:c r="AC418" s="12"/>
      <x:c r="AD418" s="12"/>
      <x:c r="AE418" t="str">
        <x:v>Crystal Palace Women</x:v>
      </x:c>
      <x:c r="AF418" s="45" t="n">
        <x:v>1.4856508619782194</x:v>
      </x:c>
      <x:c r="AG418" t="str">
        <x:v>Dulwich Hamlet Women</x:v>
      </x:c>
      <x:c r="AH418" s="45" t="n">
        <x:v>7.0771595685272635</x:v>
      </x:c>
      <x:c r="AI418" t="n">
        <x:v>92</x:v>
      </x:c>
      <x:c r="AJ418" t="str">
        <x:v>HIGH</x:v>
      </x:c>
    </x:row>
    <x:row r="419">
      <x:c r="A419" s="12" t="str">
        <x:v>E01001194</x:v>
      </x:c>
      <x:c r="B419" s="12" t="str">
        <x:v>Croydon 045D</x:v>
      </x:c>
      <x:c r="C419" s="12" t="str">
        <x:v>Croydon</x:v>
      </x:c>
      <x:c r="D419" s="44" t="n">
        <x:v>51.393139711798014</x:v>
      </x:c>
      <x:c r="E419" s="44" t="n">
        <x:v>-0.06428387358957598</x:v>
      </x:c>
      <x:c r="F419" s="33" t="n">
        <x:v>616</x:v>
      </x:c>
      <x:c r="G419" s="33" t="n">
        <x:v>234</x:v>
      </x:c>
      <x:c r="H419" s="26" t="n">
        <x:v>0.37987012987012986</x:v>
      </x:c>
      <x:c r="I419" s="12" t="n">
        <x:v>4</x:v>
      </x:c>
      <x:c r="J419" s="12" t="n">
        <x:v>93</x:v>
      </x:c>
      <x:c r="K419" s="12"/>
      <x:c r="L419" s="12"/>
      <x:c r="M419" s="12" t="str">
        <x:f>IF(K419="", "", MAX(0,IF(K419&lt;=20,100,IF(K419&lt;=30,85,IF(K419&lt;=40,70,IF(K419&lt;=50,55,IF(K419&lt;=60,40,20)))))-MIN(L419*5,20)))</x:f>
      </x:c>
      <x:c r="N419" s="12"/>
      <x:c r="O419" s="12"/>
      <x:c r="P419" s="12" t="str">
        <x:f>IF(OR(H419="",J419="",M419=""),"",ROUND(PERCENTRANK.INC($H$2:$H$941,H419)*35+J419*0.35+M419*0.30,0))</x:f>
      </x:c>
      <x:c r="Q419" s="12" t="str">
        <x:f>IF(P419="","",IF(P419&gt;=80,"ATTACK",IF(P419&gt;=65,"GROW",IF(P419&gt;=50,"PARTNER","WATCH"))))</x:f>
      </x:c>
      <x:c r="R419" s="12" t="str">
        <x:f>IF(Q419="","",IF(Q419="ATTACK","Grassroots + family acquisition",IF(Q419="GROW","Test local campaign",IF(Q419="PARTNER","Organisation-first partnership","Low priority / validate"))))</x:f>
      </x:c>
      <x:c r="S419" s="45" t="n">
        <x:v>5.694141490908078</x:v>
      </x:c>
      <x:c r="T419" t="str">
        <x:v>NEAR</x:v>
      </x:c>
      <x:c r="U419" s="32" t="n">
        <x:f>PERCENTRANK.INC($G$2:$G$941,G419)</x:f>
        <x:v>0.658</x:v>
      </x:c>
      <x:c r="V419" s="32" t="n">
        <x:f>PERCENTRANK.INC($H$2:$H$941,H419)</x:f>
        <x:v>0.827</x:v>
      </x:c>
      <x:c r="W419" t="n">
        <x:f>ROUND((U419*55+V419*45)*IF(S419&lt;=5,1,IF(S419&lt;=10,0.95,IF(S419&lt;=20,0.85,0.70))),0)</x:f>
        <x:v>70</x:v>
      </x:c>
      <x:c r="X419" t="n">
        <x:v>80</x:v>
      </x:c>
      <x:c r="Y419" t="str">
        <x:v>ATTACK</x:v>
      </x:c>
      <x:c r="Z419" s="12" t="str">
        <x:v>Family + verified grassroots + straight-line geo only; transport not yet routed</x:v>
      </x:c>
      <x:c r="AA419" s="12"/>
      <x:c r="AB419" s="12"/>
      <x:c r="AC419" s="12"/>
      <x:c r="AD419" s="12"/>
      <x:c r="AE419" t="str">
        <x:v>Crystal Palace Women</x:v>
      </x:c>
      <x:c r="AF419" s="45" t="n">
        <x:v>1.5564189059520972</x:v>
      </x:c>
      <x:c r="AG419" t="str">
        <x:v>Dulwich Hamlet Women</x:v>
      </x:c>
      <x:c r="AH419" s="45" t="n">
        <x:v>7.703313196899357</x:v>
      </x:c>
      <x:c r="AI419" t="n">
        <x:v>92</x:v>
      </x:c>
      <x:c r="AJ419" t="str">
        <x:v>HIGH</x:v>
      </x:c>
    </x:row>
    <x:row r="420">
      <x:c r="A420" s="12" t="str">
        <x:v>E01032569</x:v>
      </x:c>
      <x:c r="B420" s="12" t="str">
        <x:v>Croydon 045E</x:v>
      </x:c>
      <x:c r="C420" s="12" t="str">
        <x:v>Croydon</x:v>
      </x:c>
      <x:c r="D420" s="44" t="n">
        <x:v>51.3924113619311</x:v>
      </x:c>
      <x:c r="E420" s="44" t="n">
        <x:v>-0.05410519154821633</x:v>
      </x:c>
      <x:c r="F420" s="33" t="n">
        <x:v>682</x:v>
      </x:c>
      <x:c r="G420" s="33" t="n">
        <x:v>288</x:v>
      </x:c>
      <x:c r="H420" s="26" t="n">
        <x:v>0.4222873900293255</x:v>
      </x:c>
      <x:c r="I420" s="12" t="n">
        <x:v>5</x:v>
      </x:c>
      <x:c r="J420" s="12" t="n">
        <x:v>100</x:v>
      </x:c>
      <x:c r="K420" s="12" t="n">
        <x:v>25</x:v>
      </x:c>
      <x:c r="L420" s="12" t="n">
        <x:v>0</x:v>
      </x:c>
      <x:c r="M420" s="12" t="n">
        <x:f>IF(K420="", "", MAX(0,IF(K420&lt;=20,100,IF(K420&lt;=30,85,IF(K420&lt;=40,70,IF(K420&lt;=50,55,IF(K420&lt;=60,40,20)))))-MIN(L420*5,20)))</x:f>
        <x:v>85</x:v>
      </x:c>
      <x:c r="N420" s="12"/>
      <x:c r="O420" s="12"/>
      <x:c r="P420" s="12" t="n">
        <x:f>IF(OR(H420="",J420="",M420=""),"",ROUND(PERCENTRANK.INC($H$2:$H$941,H420)*35+J420*0.35+M420*0.30,0))</x:f>
        <x:v>94</x:v>
      </x:c>
      <x:c r="Q420" s="12" t="str">
        <x:f>IF(P420="","",IF(P420&gt;=80,"ATTACK",IF(P420&gt;=65,"GROW",IF(P420&gt;=50,"PARTNER","WATCH"))))</x:f>
        <x:v>ATTACK</x:v>
      </x:c>
      <x:c r="R420" s="12" t="str">
        <x:f>IF(Q420="","",IF(Q420="ATTACK","Grassroots + family acquisition",IF(Q420="GROW","Test local campaign",IF(Q420="PARTNER","Organisation-first partnership","Low priority / validate"))))</x:f>
        <x:v>Grassroots + family acquisition</x:v>
      </x:c>
      <x:c r="S420" s="45" t="n">
        <x:v>4.985419149654682</x:v>
      </x:c>
      <x:c r="T420" t="str">
        <x:v>CORE</x:v>
      </x:c>
      <x:c r="U420" s="32" t="n">
        <x:f>PERCENTRANK.INC($G$2:$G$941,G420)</x:f>
        <x:v>0.925</x:v>
      </x:c>
      <x:c r="V420" s="32" t="n">
        <x:f>PERCENTRANK.INC($H$2:$H$941,H420)</x:f>
        <x:v>0.949</x:v>
      </x:c>
      <x:c r="W420" t="n">
        <x:f>ROUND((U420*55+V420*45)*IF(S420&lt;=5,1,IF(S420&lt;=10,0.95,IF(S420&lt;=20,0.85,0.70))),0)</x:f>
        <x:v>94</x:v>
      </x:c>
      <x:c r="X420" t="n">
        <x:v>97</x:v>
      </x:c>
      <x:c r="Y420" t="str">
        <x:v>ATTACK</x:v>
      </x:c>
      <x:c r="Z420" s="12" t="str">
        <x:v>Family + verified grassroots + straight-line geo only; transport not yet routed</x:v>
      </x:c>
      <x:c r="AA420" s="12" t="str">
        <x:v>MED-HIGH</x:v>
      </x:c>
      <x:c r="AB420" s="12" t="str">
        <x:v>CR0 7TA / Shirley North</x:v>
      </x:c>
      <x:c r="AC420" s="12" t="str">
        <x:v>119 is direct Hayes Lane/Norman Park–Shirley corridor; Sunday high-frequency service.</x:v>
      </x:c>
      <x:c r="AD420" s="12" t="str">
        <x:v>TfL / route 119 Sunday timetable</x:v>
      </x:c>
      <x:c r="AE420" t="str">
        <x:v>Crystal Palace Women</x:v>
      </x:c>
      <x:c r="AF420" s="45" t="n">
        <x:v>2.250554630740179</x:v>
      </x:c>
      <x:c r="AG420" t="str">
        <x:v>Dulwich Hamlet Women</x:v>
      </x:c>
      <x:c r="AH420" s="45" t="n">
        <x:v>7.937317711413929</x:v>
      </x:c>
      <x:c r="AI420" t="n">
        <x:v>92</x:v>
      </x:c>
      <x:c r="AJ420" t="str">
        <x:v>HIGH</x:v>
      </x:c>
    </x:row>
    <x:row r="421">
      <x:c r="A421" s="12" t="str">
        <x:v>E01034147</x:v>
      </x:c>
      <x:c r="B421" s="12" t="str">
        <x:v>Croydon 046A</x:v>
      </x:c>
      <x:c r="C421" s="12" t="str">
        <x:v>Croydon</x:v>
      </x:c>
      <x:c r="D421" s="44" t="n">
        <x:v>51.37891994363912</x:v>
      </x:c>
      <x:c r="E421" s="44" t="n">
        <x:v>-0.0993475452252234</x:v>
      </x:c>
      <x:c r="F421" s="33" t="n">
        <x:v>640</x:v>
      </x:c>
      <x:c r="G421" s="33" t="n">
        <x:v>81</x:v>
      </x:c>
      <x:c r="H421" s="26" t="n">
        <x:v>0.1265625</x:v>
      </x:c>
      <x:c r="I421" s="12" t="n">
        <x:v>3</x:v>
      </x:c>
      <x:c r="J421" s="12" t="n">
        <x:v>76</x:v>
      </x:c>
      <x:c r="K421" s="12"/>
      <x:c r="L421" s="12"/>
      <x:c r="M421" s="12" t="str">
        <x:f>IF(K421="", "", MAX(0,IF(K421&lt;=20,100,IF(K421&lt;=30,85,IF(K421&lt;=40,70,IF(K421&lt;=50,55,IF(K421&lt;=60,40,20)))))-MIN(L421*5,20)))</x:f>
      </x:c>
      <x:c r="N421" s="12"/>
      <x:c r="O421" s="12"/>
      <x:c r="P421" s="12" t="str">
        <x:f>IF(OR(H421="",J421="",M421=""),"",ROUND(PERCENTRANK.INC($H$2:$H$941,H421)*35+J421*0.35+M421*0.30,0))</x:f>
      </x:c>
      <x:c r="Q421" s="12" t="str">
        <x:f>IF(P421="","",IF(P421&gt;=80,"ATTACK",IF(P421&gt;=65,"GROW",IF(P421&gt;=50,"PARTNER","WATCH"))))</x:f>
      </x:c>
      <x:c r="R421" s="12" t="str">
        <x:f>IF(Q421="","",IF(Q421="ATTACK","Grassroots + family acquisition",IF(Q421="GROW","Test local campaign",IF(Q421="PARTNER","Organisation-first partnership","Low priority / validate"))))</x:f>
      </x:c>
      <x:c r="S421" s="45" t="n">
        <x:v>8.233245611994159</x:v>
      </x:c>
      <x:c r="T421" t="str">
        <x:v>NEAR</x:v>
      </x:c>
      <x:c r="U421" s="32" t="n">
        <x:f>PERCENTRANK.INC($G$2:$G$941,G421)</x:f>
        <x:v>0.01</x:v>
      </x:c>
      <x:c r="V421" s="32" t="n">
        <x:f>PERCENTRANK.INC($H$2:$H$941,H421)</x:f>
        <x:v>0.018</x:v>
      </x:c>
      <x:c r="W421" t="n">
        <x:f>ROUND((U421*55+V421*45)*IF(S421&lt;=5,1,IF(S421&lt;=10,0.95,IF(S421&lt;=20,0.85,0.70))),0)</x:f>
        <x:v>1</x:v>
      </x:c>
      <x:c r="X421" t="n">
        <x:v>35</x:v>
      </x:c>
      <x:c r="Y421" t="str">
        <x:v>WATCH</x:v>
      </x:c>
      <x:c r="Z421" s="12" t="str">
        <x:v>Family + verified grassroots + straight-line geo only; transport not yet routed</x:v>
      </x:c>
      <x:c r="AA421" s="12"/>
      <x:c r="AB421" s="12"/>
      <x:c r="AC421" s="12"/>
      <x:c r="AD421" s="12"/>
      <x:c r="AE421" t="str">
        <x:v>Crystal Palace Women</x:v>
      </x:c>
      <x:c r="AF421" s="45" t="n">
        <x:v>2.3674559042229038</x:v>
      </x:c>
      <x:c r="AG421" t="str">
        <x:v>AFC Wimbledon Women</x:v>
      </x:c>
      <x:c r="AH421" s="45" t="n">
        <x:v>8.408250743564322</x:v>
      </x:c>
      <x:c r="AI421" t="n">
        <x:v>92</x:v>
      </x:c>
      <x:c r="AJ421" t="str">
        <x:v>HIGH</x:v>
      </x:c>
    </x:row>
    <x:row r="422">
      <x:c r="A422" s="12" t="str">
        <x:v>E01034148</x:v>
      </x:c>
      <x:c r="B422" s="12" t="str">
        <x:v>Croydon 046B</x:v>
      </x:c>
      <x:c r="C422" s="12" t="str">
        <x:v>Croydon</x:v>
      </x:c>
      <x:c r="D422" s="44" t="n">
        <x:v>51.377120670241325</x:v>
      </x:c>
      <x:c r="E422" s="44" t="n">
        <x:v>-0.09655409397174705</x:v>
      </x:c>
      <x:c r="F422" s="33" t="n">
        <x:v>836</x:v>
      </x:c>
      <x:c r="G422" s="33" t="n">
        <x:v>123</x:v>
      </x:c>
      <x:c r="H422" s="26" t="n">
        <x:v>0.1471291866028708</x:v>
      </x:c>
      <x:c r="I422" s="12" t="n">
        <x:v>3</x:v>
      </x:c>
      <x:c r="J422" s="12" t="n">
        <x:v>76</x:v>
      </x:c>
      <x:c r="K422" s="12"/>
      <x:c r="L422" s="12"/>
      <x:c r="M422" s="12" t="str">
        <x:f>IF(K422="", "", MAX(0,IF(K422&lt;=20,100,IF(K422&lt;=30,85,IF(K422&lt;=40,70,IF(K422&lt;=50,55,IF(K422&lt;=60,40,20)))))-MIN(L422*5,20)))</x:f>
      </x:c>
      <x:c r="N422" s="12"/>
      <x:c r="O422" s="12"/>
      <x:c r="P422" s="12" t="str">
        <x:f>IF(OR(H422="",J422="",M422=""),"",ROUND(PERCENTRANK.INC($H$2:$H$941,H422)*35+J422*0.35+M422*0.30,0))</x:f>
      </x:c>
      <x:c r="Q422" s="12" t="str">
        <x:f>IF(P422="","",IF(P422&gt;=80,"ATTACK",IF(P422&gt;=65,"GROW",IF(P422&gt;=50,"PARTNER","WATCH"))))</x:f>
      </x:c>
      <x:c r="R422" s="12" t="str">
        <x:f>IF(Q422="","",IF(Q422="ATTACK","Grassroots + family acquisition",IF(Q422="GROW","Test local campaign",IF(Q422="PARTNER","Organisation-first partnership","Low priority / validate"))))</x:f>
      </x:c>
      <x:c r="S422" s="45" t="n">
        <x:v>8.0779811481973</x:v>
      </x:c>
      <x:c r="T422" t="str">
        <x:v>NEAR</x:v>
      </x:c>
      <x:c r="U422" s="32" t="n">
        <x:f>PERCENTRANK.INC($G$2:$G$941,G422)</x:f>
        <x:v>0.034</x:v>
      </x:c>
      <x:c r="V422" s="32" t="n">
        <x:f>PERCENTRANK.INC($H$2:$H$941,H422)</x:f>
        <x:v>0.024</x:v>
      </x:c>
      <x:c r="W422" t="n">
        <x:f>ROUND((U422*55+V422*45)*IF(S422&lt;=5,1,IF(S422&lt;=10,0.95,IF(S422&lt;=20,0.85,0.70))),0)</x:f>
        <x:v>3</x:v>
      </x:c>
      <x:c r="X422" t="n">
        <x:v>36</x:v>
      </x:c>
      <x:c r="Y422" t="str">
        <x:v>WATCH</x:v>
      </x:c>
      <x:c r="Z422" s="12" t="str">
        <x:v>Family + verified grassroots + straight-line geo only; transport not yet routed</x:v>
      </x:c>
      <x:c r="AA422" s="12"/>
      <x:c r="AB422" s="12"/>
      <x:c r="AC422" s="12"/>
      <x:c r="AD422" s="12"/>
      <x:c r="AE422" t="str">
        <x:v>Crystal Palace Women</x:v>
      </x:c>
      <x:c r="AF422" s="45" t="n">
        <x:v>2.4823279342878553</x:v>
      </x:c>
      <x:c r="AG422" t="str">
        <x:v>AFC Wimbledon Women</x:v>
      </x:c>
      <x:c r="AH422" s="45" t="n">
        <x:v>8.68667456777221</x:v>
      </x:c>
      <x:c r="AI422" t="n">
        <x:v>92</x:v>
      </x:c>
      <x:c r="AJ422" t="str">
        <x:v>HIGH</x:v>
      </x:c>
    </x:row>
    <x:row r="423">
      <x:c r="A423" s="12" t="str">
        <x:v>E01034149</x:v>
      </x:c>
      <x:c r="B423" s="12" t="str">
        <x:v>Croydon 046C</x:v>
      </x:c>
      <x:c r="C423" s="12" t="str">
        <x:v>Croydon</x:v>
      </x:c>
      <x:c r="D423" s="44" t="n">
        <x:v>51.37141050290624</x:v>
      </x:c>
      <x:c r="E423" s="44" t="n">
        <x:v>-0.09278452817810118</x:v>
      </x:c>
      <x:c r="F423" s="33" t="n">
        <x:v>1091</x:v>
      </x:c>
      <x:c r="G423" s="33" t="n">
        <x:v>239</x:v>
      </x:c>
      <x:c r="H423" s="26" t="n">
        <x:v>0.21906507791017416</x:v>
      </x:c>
      <x:c r="I423" s="12" t="n">
        <x:v>3</x:v>
      </x:c>
      <x:c r="J423" s="12" t="n">
        <x:v>92</x:v>
      </x:c>
      <x:c r="K423" s="12"/>
      <x:c r="L423" s="12"/>
      <x:c r="M423" s="12" t="str">
        <x:f>IF(K423="", "", MAX(0,IF(K423&lt;=20,100,IF(K423&lt;=30,85,IF(K423&lt;=40,70,IF(K423&lt;=50,55,IF(K423&lt;=60,40,20)))))-MIN(L423*5,20)))</x:f>
      </x:c>
      <x:c r="N423" s="12"/>
      <x:c r="O423" s="12"/>
      <x:c r="P423" s="12" t="str">
        <x:f>IF(OR(H423="",J423="",M423=""),"",ROUND(PERCENTRANK.INC($H$2:$H$941,H423)*35+J423*0.35+M423*0.30,0))</x:f>
      </x:c>
      <x:c r="Q423" s="12" t="str">
        <x:f>IF(P423="","",IF(P423&gt;=80,"ATTACK",IF(P423&gt;=65,"GROW",IF(P423&gt;=50,"PARTNER","WATCH"))))</x:f>
      </x:c>
      <x:c r="R423" s="12" t="str">
        <x:f>IF(Q423="","",IF(Q423="ATTACK","Grassroots + family acquisition",IF(Q423="GROW","Test local campaign",IF(Q423="PARTNER","Organisation-first partnership","Low priority / validate"))))</x:f>
      </x:c>
      <x:c r="S423" s="45" t="n">
        <x:v>7.971299944584011</x:v>
      </x:c>
      <x:c r="T423" t="str">
        <x:v>NEAR</x:v>
      </x:c>
      <x:c r="U423" s="32" t="n">
        <x:f>PERCENTRANK.INC($G$2:$G$941,G423)</x:f>
        <x:v>0.699</x:v>
      </x:c>
      <x:c r="V423" s="32" t="n">
        <x:f>PERCENTRANK.INC($H$2:$H$941,H423)</x:f>
        <x:v>0.102</x:v>
      </x:c>
      <x:c r="W423" t="n">
        <x:f>ROUND((U423*55+V423*45)*IF(S423&lt;=5,1,IF(S423&lt;=10,0.95,IF(S423&lt;=20,0.85,0.70))),0)</x:f>
        <x:v>41</x:v>
      </x:c>
      <x:c r="X423" t="n">
        <x:v>64</x:v>
      </x:c>
      <x:c r="Y423" t="str">
        <x:v>PARTNER</x:v>
      </x:c>
      <x:c r="Z423" s="12" t="str">
        <x:v>Family + verified grassroots + straight-line geo only; transport not yet routed</x:v>
      </x:c>
      <x:c r="AA423" s="12"/>
      <x:c r="AB423" s="12"/>
      <x:c r="AC423" s="12"/>
      <x:c r="AD423" s="12"/>
      <x:c r="AE423" t="str">
        <x:v>Crystal Palace Women</x:v>
      </x:c>
      <x:c r="AF423" s="45" t="n">
        <x:v>3.0343654749925264</x:v>
      </x:c>
      <x:c r="AG423" t="str">
        <x:v>AFC Wimbledon Women</x:v>
      </x:c>
      <x:c r="AH423" s="45" t="n">
        <x:v>9.319550225653435</x:v>
      </x:c>
      <x:c r="AI423" t="n">
        <x:v>81</x:v>
      </x:c>
      <x:c r="AJ423" t="str">
        <x:v>HIGH</x:v>
      </x:c>
    </x:row>
    <x:row r="424">
      <x:c r="A424" s="12" t="str">
        <x:v>E01034150</x:v>
      </x:c>
      <x:c r="B424" s="12" t="str">
        <x:v>Croydon 046D</x:v>
      </x:c>
      <x:c r="C424" s="12" t="str">
        <x:v>Croydon</x:v>
      </x:c>
      <x:c r="D424" s="44" t="n">
        <x:v>51.37094414073996</x:v>
      </x:c>
      <x:c r="E424" s="44" t="n">
        <x:v>-0.1008301684917341</x:v>
      </x:c>
      <x:c r="F424" s="33" t="n">
        <x:v>672</x:v>
      </x:c>
      <x:c r="G424" s="33" t="n">
        <x:v>184</x:v>
      </x:c>
      <x:c r="H424" s="26" t="n">
        <x:v>0.27380952380952384</x:v>
      </x:c>
      <x:c r="I424" s="12" t="n">
        <x:v>3</x:v>
      </x:c>
      <x:c r="J424" s="12" t="n">
        <x:v>84</x:v>
      </x:c>
      <x:c r="K424" s="12"/>
      <x:c r="L424" s="12"/>
      <x:c r="M424" s="12" t="str">
        <x:f>IF(K424="", "", MAX(0,IF(K424&lt;=20,100,IF(K424&lt;=30,85,IF(K424&lt;=40,70,IF(K424&lt;=50,55,IF(K424&lt;=60,40,20)))))-MIN(L424*5,20)))</x:f>
      </x:c>
      <x:c r="N424" s="12"/>
      <x:c r="O424" s="12"/>
      <x:c r="P424" s="12" t="str">
        <x:f>IF(OR(H424="",J424="",M424=""),"",ROUND(PERCENTRANK.INC($H$2:$H$941,H424)*35+J424*0.35+M424*0.30,0))</x:f>
      </x:c>
      <x:c r="Q424" s="12" t="str">
        <x:f>IF(P424="","",IF(P424&gt;=80,"ATTACK",IF(P424&gt;=65,"GROW",IF(P424&gt;=50,"PARTNER","WATCH"))))</x:f>
      </x:c>
      <x:c r="R424" s="12" t="str">
        <x:f>IF(Q424="","",IF(Q424="ATTACK","Grassroots + family acquisition",IF(Q424="GROW","Test local campaign",IF(Q424="PARTNER","Organisation-first partnership","Low priority / validate"))))</x:f>
      </x:c>
      <x:c r="S424" s="45" t="n">
        <x:v>8.52327420023954</x:v>
      </x:c>
      <x:c r="T424" t="str">
        <x:v>NEAR</x:v>
      </x:c>
      <x:c r="U424" s="32" t="n">
        <x:f>PERCENTRANK.INC($G$2:$G$941,G424)</x:f>
        <x:v>0.256</x:v>
      </x:c>
      <x:c r="V424" s="32" t="n">
        <x:f>PERCENTRANK.INC($H$2:$H$941,H424)</x:f>
        <x:v>0.267</x:v>
      </x:c>
      <x:c r="W424" t="n">
        <x:f>ROUND((U424*55+V424*45)*IF(S424&lt;=5,1,IF(S424&lt;=10,0.95,IF(S424&lt;=20,0.85,0.70))),0)</x:f>
        <x:v>25</x:v>
      </x:c>
      <x:c r="X424" t="n">
        <x:v>52</x:v>
      </x:c>
      <x:c r="Y424" t="str">
        <x:v>PARTNER</x:v>
      </x:c>
      <x:c r="Z424" s="12" t="str">
        <x:v>Family + verified grassroots + straight-line geo only; transport not yet routed</x:v>
      </x:c>
      <x:c r="AA424" s="12"/>
      <x:c r="AB424" s="12"/>
      <x:c r="AC424" s="12"/>
      <x:c r="AD424" s="12"/>
      <x:c r="AE424" t="str">
        <x:v>Crystal Palace Women</x:v>
      </x:c>
      <x:c r="AF424" s="45" t="n">
        <x:v>3.2285116145741353</x:v>
      </x:c>
      <x:c r="AG424" t="str">
        <x:v>AFC Wimbledon Women</x:v>
      </x:c>
      <x:c r="AH424" s="45" t="n">
        <x:v>8.976341653054495</x:v>
      </x:c>
      <x:c r="AI424" t="n">
        <x:v>81</x:v>
      </x:c>
      <x:c r="AJ424" t="str">
        <x:v>HIGH</x:v>
      </x:c>
    </x:row>
    <x:row r="425">
      <x:c r="A425" s="12" t="str">
        <x:v>E01034151</x:v>
      </x:c>
      <x:c r="B425" s="12" t="str">
        <x:v>Croydon 046E</x:v>
      </x:c>
      <x:c r="C425" s="12" t="str">
        <x:v>Croydon</x:v>
      </x:c>
      <x:c r="D425" s="44" t="n">
        <x:v>51.36916919870514</x:v>
      </x:c>
      <x:c r="E425" s="44" t="n">
        <x:v>-0.09885497601404594</x:v>
      </x:c>
      <x:c r="F425" s="33" t="n">
        <x:v>640</x:v>
      </x:c>
      <x:c r="G425" s="33" t="n">
        <x:v>120</x:v>
      </x:c>
      <x:c r="H425" s="26" t="n">
        <x:v>0.1875</x:v>
      </x:c>
      <x:c r="I425" s="12" t="n">
        <x:v>3</x:v>
      </x:c>
      <x:c r="J425" s="12" t="n">
        <x:v>84</x:v>
      </x:c>
      <x:c r="K425" s="12"/>
      <x:c r="L425" s="12"/>
      <x:c r="M425" s="12" t="str">
        <x:f>IF(K425="", "", MAX(0,IF(K425&lt;=20,100,IF(K425&lt;=30,85,IF(K425&lt;=40,70,IF(K425&lt;=50,55,IF(K425&lt;=60,40,20)))))-MIN(L425*5,20)))</x:f>
      </x:c>
      <x:c r="N425" s="12"/>
      <x:c r="O425" s="12"/>
      <x:c r="P425" s="12" t="str">
        <x:f>IF(OR(H425="",J425="",M425=""),"",ROUND(PERCENTRANK.INC($H$2:$H$941,H425)*35+J425*0.35+M425*0.30,0))</x:f>
      </x:c>
      <x:c r="Q425" s="12" t="str">
        <x:f>IF(P425="","",IF(P425&gt;=80,"ATTACK",IF(P425&gt;=65,"GROW",IF(P425&gt;=50,"PARTNER","WATCH"))))</x:f>
      </x:c>
      <x:c r="R425" s="12" t="str">
        <x:f>IF(Q425="","",IF(Q425="ATTACK","Grassroots + family acquisition",IF(Q425="GROW","Test local campaign",IF(Q425="PARTNER","Organisation-first partnership","Low priority / validate"))))</x:f>
      </x:c>
      <x:c r="S425" s="45" t="n">
        <x:v>8.445744162438473</x:v>
      </x:c>
      <x:c r="T425" t="str">
        <x:v>NEAR</x:v>
      </x:c>
      <x:c r="U425" s="32" t="n">
        <x:f>PERCENTRANK.INC($G$2:$G$941,G425)</x:f>
        <x:v>0.03</x:v>
      </x:c>
      <x:c r="V425" s="32" t="n">
        <x:f>PERCENTRANK.INC($H$2:$H$941,H425)</x:f>
        <x:v>0.048</x:v>
      </x:c>
      <x:c r="W425" t="n">
        <x:f>ROUND((U425*55+V425*45)*IF(S425&lt;=5,1,IF(S425&lt;=10,0.95,IF(S425&lt;=20,0.85,0.70))),0)</x:f>
        <x:v>4</x:v>
      </x:c>
      <x:c r="X425" t="n">
        <x:v>40</x:v>
      </x:c>
      <x:c r="Y425" t="str">
        <x:v>WATCH</x:v>
      </x:c>
      <x:c r="Z425" s="12" t="str">
        <x:v>Family + verified grassroots + straight-line geo only; transport not yet routed</x:v>
      </x:c>
      <x:c r="AA425" s="12"/>
      <x:c r="AB425" s="12"/>
      <x:c r="AC425" s="12"/>
      <x:c r="AD425" s="12"/>
      <x:c r="AE425" t="str">
        <x:v>Crystal Palace Women</x:v>
      </x:c>
      <x:c r="AF425" s="45" t="n">
        <x:v>3.373809055310427</x:v>
      </x:c>
      <x:c r="AG425" t="str">
        <x:v>AFC Wimbledon Women</x:v>
      </x:c>
      <x:c r="AH425" s="45" t="n">
        <x:v>9.214993031665182</x:v>
      </x:c>
      <x:c r="AI425" t="n">
        <x:v>81</x:v>
      </x:c>
      <x:c r="AJ425" t="str">
        <x:v>HIGH</x:v>
      </x:c>
    </x:row>
    <x:row r="426">
      <x:c r="A426" s="12" t="str">
        <x:v>E01001047</x:v>
      </x:c>
      <x:c r="B426" s="12" t="str">
        <x:v>Croydon 047A</x:v>
      </x:c>
      <x:c r="C426" s="12" t="str">
        <x:v>Croydon</x:v>
      </x:c>
      <x:c r="D426" s="44" t="n">
        <x:v>51.365635153727034</x:v>
      </x:c>
      <x:c r="E426" s="44" t="n">
        <x:v>-0.09543241664821855</x:v>
      </x:c>
      <x:c r="F426" s="33" t="n">
        <x:v>846</x:v>
      </x:c>
      <x:c r="G426" s="33" t="n">
        <x:v>222</x:v>
      </x:c>
      <x:c r="H426" s="26" t="n">
        <x:v>0.2624113475177305</x:v>
      </x:c>
      <x:c r="I426" s="12" t="n">
        <x:v>3</x:v>
      </x:c>
      <x:c r="J426" s="12" t="n">
        <x:v>84</x:v>
      </x:c>
      <x:c r="K426" s="12"/>
      <x:c r="L426" s="12"/>
      <x:c r="M426" s="12" t="str">
        <x:f>IF(K426="", "", MAX(0,IF(K426&lt;=20,100,IF(K426&lt;=30,85,IF(K426&lt;=40,70,IF(K426&lt;=50,55,IF(K426&lt;=60,40,20)))))-MIN(L426*5,20)))</x:f>
      </x:c>
      <x:c r="N426" s="12"/>
      <x:c r="O426" s="12"/>
      <x:c r="P426" s="12" t="str">
        <x:f>IF(OR(H426="",J426="",M426=""),"",ROUND(PERCENTRANK.INC($H$2:$H$941,H426)*35+J426*0.35+M426*0.30,0))</x:f>
      </x:c>
      <x:c r="Q426" s="12" t="str">
        <x:f>IF(P426="","",IF(P426&gt;=80,"ATTACK",IF(P426&gt;=65,"GROW",IF(P426&gt;=50,"PARTNER","WATCH"))))</x:f>
      </x:c>
      <x:c r="R426" s="12" t="str">
        <x:f>IF(Q426="","",IF(Q426="ATTACK","Grassroots + family acquisition",IF(Q426="GROW","Test local campaign",IF(Q426="PARTNER","Organisation-first partnership","Low priority / validate"))))</x:f>
      </x:c>
      <x:c r="S426" s="45" t="n">
        <x:v>8.343223971468733</x:v>
      </x:c>
      <x:c r="T426" t="str">
        <x:v>NEAR</x:v>
      </x:c>
      <x:c r="U426" s="32" t="n">
        <x:f>PERCENTRANK.INC($G$2:$G$941,G426)</x:f>
        <x:v>0.559</x:v>
      </x:c>
      <x:c r="V426" s="32" t="n">
        <x:f>PERCENTRANK.INC($H$2:$H$941,H426)</x:f>
        <x:v>0.231</x:v>
      </x:c>
      <x:c r="W426" t="n">
        <x:f>ROUND((U426*55+V426*45)*IF(S426&lt;=5,1,IF(S426&lt;=10,0.95,IF(S426&lt;=20,0.85,0.70))),0)</x:f>
        <x:v>39</x:v>
      </x:c>
      <x:c r="X426" t="n">
        <x:v>60</x:v>
      </x:c>
      <x:c r="Y426" t="str">
        <x:v>PARTNER</x:v>
      </x:c>
      <x:c r="Z426" s="12" t="str">
        <x:v>Family + verified grassroots + straight-line geo only; transport not yet routed</x:v>
      </x:c>
      <x:c r="AA426" s="12"/>
      <x:c r="AB426" s="12"/>
      <x:c r="AC426" s="12"/>
      <x:c r="AD426" s="12"/>
      <x:c r="AE426" t="str">
        <x:v>Crystal Palace Women</x:v>
      </x:c>
      <x:c r="AF426" s="45" t="n">
        <x:v>3.6994229642833725</x:v>
      </x:c>
      <x:c r="AG426" t="str">
        <x:v>AFC Wimbledon Women</x:v>
      </x:c>
      <x:c r="AH426" s="45" t="n">
        <x:v>9.667166661166814</x:v>
      </x:c>
      <x:c r="AI426" t="n">
        <x:v>81</x:v>
      </x:c>
      <x:c r="AJ426" t="str">
        <x:v>HIGH</x:v>
      </x:c>
    </x:row>
    <x:row r="427">
      <x:c r="A427" s="12" t="str">
        <x:v>E01034152</x:v>
      </x:c>
      <x:c r="B427" s="12" t="str">
        <x:v>Croydon 047B</x:v>
      </x:c>
      <x:c r="C427" s="12" t="str">
        <x:v>Croydon</x:v>
      </x:c>
      <x:c r="D427" s="44" t="n">
        <x:v>51.36673765819402</x:v>
      </x:c>
      <x:c r="E427" s="44" t="n">
        <x:v>-0.0991697788475954</x:v>
      </x:c>
      <x:c r="F427" s="33" t="n">
        <x:v>729</x:v>
      </x:c>
      <x:c r="G427" s="33" t="n">
        <x:v>260</x:v>
      </x:c>
      <x:c r="H427" s="26" t="n">
        <x:v>0.35665294924554186</x:v>
      </x:c>
      <x:c r="I427" s="12" t="n">
        <x:v>3</x:v>
      </x:c>
      <x:c r="J427" s="12" t="n">
        <x:v>84</x:v>
      </x:c>
      <x:c r="K427" s="12"/>
      <x:c r="L427" s="12"/>
      <x:c r="M427" s="12" t="str">
        <x:f>IF(K427="", "", MAX(0,IF(K427&lt;=20,100,IF(K427&lt;=30,85,IF(K427&lt;=40,70,IF(K427&lt;=50,55,IF(K427&lt;=60,40,20)))))-MIN(L427*5,20)))</x:f>
      </x:c>
      <x:c r="N427" s="12"/>
      <x:c r="O427" s="12"/>
      <x:c r="P427" s="12" t="str">
        <x:f>IF(OR(H427="",J427="",M427=""),"",ROUND(PERCENTRANK.INC($H$2:$H$941,H427)*35+J427*0.35+M427*0.30,0))</x:f>
      </x:c>
      <x:c r="Q427" s="12" t="str">
        <x:f>IF(P427="","",IF(P427&gt;=80,"ATTACK",IF(P427&gt;=65,"GROW",IF(P427&gt;=50,"PARTNER","WATCH"))))</x:f>
      </x:c>
      <x:c r="R427" s="12" t="str">
        <x:f>IF(Q427="","",IF(Q427="ATTACK","Grassroots + family acquisition",IF(Q427="GROW","Test local campaign",IF(Q427="PARTNER","Organisation-first partnership","Low priority / validate"))))</x:f>
      </x:c>
      <x:c r="S427" s="45" t="n">
        <x:v>8.548266823648014</x:v>
      </x:c>
      <x:c r="T427" t="str">
        <x:v>NEAR</x:v>
      </x:c>
      <x:c r="U427" s="32" t="n">
        <x:f>PERCENTRANK.INC($G$2:$G$941,G427)</x:f>
        <x:v>0.828</x:v>
      </x:c>
      <x:c r="V427" s="32" t="n">
        <x:f>PERCENTRANK.INC($H$2:$H$941,H427)</x:f>
        <x:v>0.722</x:v>
      </x:c>
      <x:c r="W427" t="n">
        <x:f>ROUND((U427*55+V427*45)*IF(S427&lt;=5,1,IF(S427&lt;=10,0.95,IF(S427&lt;=20,0.85,0.70))),0)</x:f>
        <x:v>74</x:v>
      </x:c>
      <x:c r="X427" t="n">
        <x:v>79</x:v>
      </x:c>
      <x:c r="Y427" t="str">
        <x:v>GROW</x:v>
      </x:c>
      <x:c r="Z427" s="12" t="str">
        <x:v>Family + verified grassroots + straight-line geo only; transport not yet routed</x:v>
      </x:c>
      <x:c r="AA427" s="12"/>
      <x:c r="AB427" s="12"/>
      <x:c r="AC427" s="12"/>
      <x:c r="AD427" s="12"/>
      <x:c r="AE427" t="str">
        <x:v>Crystal Palace Women</x:v>
      </x:c>
      <x:c r="AF427" s="45" t="n">
        <x:v>3.639803760570361</x:v>
      </x:c>
      <x:c r="AG427" t="str">
        <x:v>AFC Wimbledon Women</x:v>
      </x:c>
      <x:c r="AH427" s="45" t="n">
        <x:v>9.405204151317506</x:v>
      </x:c>
      <x:c r="AI427" t="n">
        <x:v>81</x:v>
      </x:c>
      <x:c r="AJ427" t="str">
        <x:v>HIGH</x:v>
      </x:c>
    </x:row>
    <x:row r="428">
      <x:c r="A428" s="12" t="str">
        <x:v>E01001035</x:v>
      </x:c>
      <x:c r="B428" s="12" t="str">
        <x:v>Croydon 047C</x:v>
      </x:c>
      <x:c r="C428" s="12" t="str">
        <x:v>Croydon</x:v>
      </x:c>
      <x:c r="D428" s="44" t="n">
        <x:v>51.36401090919216</x:v>
      </x:c>
      <x:c r="E428" s="44" t="n">
        <x:v>-0.08952202771407664</x:v>
      </x:c>
      <x:c r="F428" s="33" t="n">
        <x:v>840</x:v>
      </x:c>
      <x:c r="G428" s="33" t="n">
        <x:v>236</x:v>
      </x:c>
      <x:c r="H428" s="26" t="n">
        <x:v>0.28095238095238095</x:v>
      </x:c>
      <x:c r="I428" s="12" t="n">
        <x:v>3</x:v>
      </x:c>
      <x:c r="J428" s="12" t="n">
        <x:v>76</x:v>
      </x:c>
      <x:c r="K428" s="12"/>
      <x:c r="L428" s="12"/>
      <x:c r="M428" s="12" t="str">
        <x:f>IF(K428="", "", MAX(0,IF(K428&lt;=20,100,IF(K428&lt;=30,85,IF(K428&lt;=40,70,IF(K428&lt;=50,55,IF(K428&lt;=60,40,20)))))-MIN(L428*5,20)))</x:f>
      </x:c>
      <x:c r="N428" s="12"/>
      <x:c r="O428" s="12"/>
      <x:c r="P428" s="12" t="str">
        <x:f>IF(OR(H428="",J428="",M428=""),"",ROUND(PERCENTRANK.INC($H$2:$H$941,H428)*35+J428*0.35+M428*0.30,0))</x:f>
      </x:c>
      <x:c r="Q428" s="12" t="str">
        <x:f>IF(P428="","",IF(P428&gt;=80,"ATTACK",IF(P428&gt;=65,"GROW",IF(P428&gt;=50,"PARTNER","WATCH"))))</x:f>
      </x:c>
      <x:c r="R428" s="12" t="str">
        <x:f>IF(Q428="","",IF(Q428="ATTACK","Grassroots + family acquisition",IF(Q428="GROW","Test local campaign",IF(Q428="PARTNER","Organisation-first partnership","Low priority / validate"))))</x:f>
      </x:c>
      <x:c r="S428" s="45" t="n">
        <x:v>8.024205372869806</x:v>
      </x:c>
      <x:c r="T428" t="str">
        <x:v>NEAR</x:v>
      </x:c>
      <x:c r="U428" s="32" t="n">
        <x:f>PERCENTRANK.INC($G$2:$G$941,G428)</x:f>
        <x:v>0.679</x:v>
      </x:c>
      <x:c r="V428" s="32" t="n">
        <x:f>PERCENTRANK.INC($H$2:$H$941,H428)</x:f>
        <x:v>0.3</x:v>
      </x:c>
      <x:c r="W428" t="n">
        <x:f>ROUND((U428*55+V428*45)*IF(S428&lt;=5,1,IF(S428&lt;=10,0.95,IF(S428&lt;=20,0.85,0.70))),0)</x:f>
        <x:v>48</x:v>
      </x:c>
      <x:c r="X428" t="n">
        <x:v>61</x:v>
      </x:c>
      <x:c r="Y428" t="str">
        <x:v>PARTNER</x:v>
      </x:c>
      <x:c r="Z428" s="12" t="str">
        <x:v>Family + verified grassroots + straight-line geo only; transport not yet routed</x:v>
      </x:c>
      <x:c r="AA428" s="12"/>
      <x:c r="AB428" s="12"/>
      <x:c r="AC428" s="12"/>
      <x:c r="AD428" s="12"/>
      <x:c r="AE428" t="str">
        <x:v>Crystal Palace Women</x:v>
      </x:c>
      <x:c r="AF428" s="45" t="n">
        <x:v>3.8226155279371</x:v>
      </x:c>
      <x:c r="AG428" t="str">
        <x:v>AFC Wimbledon Women</x:v>
      </x:c>
      <x:c r="AH428" s="45" t="n">
        <x:v>10.074364159267567</x:v>
      </x:c>
      <x:c r="AI428" t="n">
        <x:v>76</x:v>
      </x:c>
      <x:c r="AJ428" t="str">
        <x:v>HIGH</x:v>
      </x:c>
    </x:row>
    <x:row r="429">
      <x:c r="A429" s="12" t="str">
        <x:v>E01001170</x:v>
      </x:c>
      <x:c r="B429" s="12" t="str">
        <x:v>Croydon 047D</x:v>
      </x:c>
      <x:c r="C429" s="12" t="str">
        <x:v>Croydon</x:v>
      </x:c>
      <x:c r="D429" s="44" t="n">
        <x:v>51.36436491444831</x:v>
      </x:c>
      <x:c r="E429" s="44" t="n">
        <x:v>-0.1015408797208485</x:v>
      </x:c>
      <x:c r="F429" s="33" t="n">
        <x:v>896</x:v>
      </x:c>
      <x:c r="G429" s="33" t="n">
        <x:v>278</x:v>
      </x:c>
      <x:c r="H429" s="26" t="n">
        <x:v>0.31026785714285715</x:v>
      </x:c>
      <x:c r="I429" s="12" t="n">
        <x:v>3</x:v>
      </x:c>
      <x:c r="J429" s="12" t="n">
        <x:v>84</x:v>
      </x:c>
      <x:c r="K429" s="12"/>
      <x:c r="L429" s="12"/>
      <x:c r="M429" s="12" t="str">
        <x:f>IF(K429="", "", MAX(0,IF(K429&lt;=20,100,IF(K429&lt;=30,85,IF(K429&lt;=40,70,IF(K429&lt;=50,55,IF(K429&lt;=60,40,20)))))-MIN(L429*5,20)))</x:f>
      </x:c>
      <x:c r="N429" s="12"/>
      <x:c r="O429" s="12"/>
      <x:c r="P429" s="12" t="str">
        <x:f>IF(OR(H429="",J429="",M429=""),"",ROUND(PERCENTRANK.INC($H$2:$H$941,H429)*35+J429*0.35+M429*0.30,0))</x:f>
      </x:c>
      <x:c r="Q429" s="12" t="str">
        <x:f>IF(P429="","",IF(P429&gt;=80,"ATTACK",IF(P429&gt;=65,"GROW",IF(P429&gt;=50,"PARTNER","WATCH"))))</x:f>
      </x:c>
      <x:c r="R429" s="12" t="str">
        <x:f>IF(Q429="","",IF(Q429="ATTACK","Grassroots + family acquisition",IF(Q429="GROW","Test local campaign",IF(Q429="PARTNER","Organisation-first partnership","Low priority / validate"))))</x:f>
      </x:c>
      <x:c r="S429" s="45" t="n">
        <x:v>8.790087964743389</x:v>
      </x:c>
      <x:c r="T429" t="str">
        <x:v>NEAR</x:v>
      </x:c>
      <x:c r="U429" s="32" t="n">
        <x:f>PERCENTRANK.INC($G$2:$G$941,G429)</x:f>
        <x:v>0.893</x:v>
      </x:c>
      <x:c r="V429" s="32" t="n">
        <x:f>PERCENTRANK.INC($H$2:$H$941,H429)</x:f>
        <x:v>0.448</x:v>
      </x:c>
      <x:c r="W429" t="n">
        <x:f>ROUND((U429*55+V429*45)*IF(S429&lt;=5,1,IF(S429&lt;=10,0.95,IF(S429&lt;=20,0.85,0.70))),0)</x:f>
        <x:v>66</x:v>
      </x:c>
      <x:c r="X429" t="n">
        <x:v>74</x:v>
      </x:c>
      <x:c r="Y429" t="str">
        <x:v>GROW</x:v>
      </x:c>
      <x:c r="Z429" s="12" t="str">
        <x:v>Family + verified grassroots + straight-line geo only; transport not yet routed</x:v>
      </x:c>
      <x:c r="AA429" s="12"/>
      <x:c r="AB429" s="12"/>
      <x:c r="AC429" s="12"/>
      <x:c r="AD429" s="12"/>
      <x:c r="AE429" t="str">
        <x:v>Crystal Palace Women</x:v>
      </x:c>
      <x:c r="AF429" s="45" t="n">
        <x:v>3.939019093494803</x:v>
      </x:c>
      <x:c r="AG429" t="str">
        <x:v>AFC Wimbledon Women</x:v>
      </x:c>
      <x:c r="AH429" s="45" t="n">
        <x:v>9.504760931278845</x:v>
      </x:c>
      <x:c r="AI429" t="n">
        <x:v>81</x:v>
      </x:c>
      <x:c r="AJ429" t="str">
        <x:v>HIGH</x:v>
      </x:c>
    </x:row>
    <x:row r="430">
      <x:c r="A430" s="12" t="str">
        <x:v>E01001690</x:v>
      </x:c>
      <x:c r="B430" s="12" t="str">
        <x:v>Greenwich 001A</x:v>
      </x:c>
      <x:c r="C430" s="12" t="str">
        <x:v>Greenwich</x:v>
      </x:c>
      <x:c r="D430" s="44" t="n">
        <x:v>51.50597870160615</x:v>
      </x:c>
      <x:c r="E430" s="44" t="n">
        <x:v>0.11806805237983758</x:v>
      </x:c>
      <x:c r="F430" s="33" t="n">
        <x:v>815</x:v>
      </x:c>
      <x:c r="G430" s="33" t="n">
        <x:v>211</x:v>
      </x:c>
      <x:c r="H430" s="26" t="n">
        <x:v>0.2588957055214724</x:v>
      </x:c>
      <x:c r="I430" s="12" t="n">
        <x:v>0</x:v>
      </x:c>
      <x:c r="J430" s="12" t="n">
        <x:v>0</x:v>
      </x:c>
      <x:c r="K430" s="12"/>
      <x:c r="L430" s="12"/>
      <x:c r="M430" s="12" t="str">
        <x:f>IF(K430="", "", MAX(0,IF(K430&lt;=20,100,IF(K430&lt;=30,85,IF(K430&lt;=40,70,IF(K430&lt;=50,55,IF(K430&lt;=60,40,20)))))-MIN(L430*5,20)))</x:f>
      </x:c>
      <x:c r="N430" s="12"/>
      <x:c r="O430" s="12"/>
      <x:c r="P430" s="12" t="str">
        <x:f>IF(OR(H430="",J430="",M430=""),"",ROUND(PERCENTRANK.INC($H$2:$H$941,H430)*35+J430*0.35+M430*0.30,0))</x:f>
      </x:c>
      <x:c r="Q430" s="12" t="str">
        <x:f>IF(P430="","",IF(P430&gt;=80,"ATTACK",IF(P430&gt;=65,"GROW",IF(P430&gt;=50,"PARTNER","WATCH"))))</x:f>
      </x:c>
      <x:c r="R430" s="12" t="str">
        <x:f>IF(Q430="","",IF(Q430="ATTACK","Grassroots + family acquisition",IF(Q430="GROW","Test local campaign",IF(Q430="PARTNER","Organisation-first partnership","Low priority / validate"))))</x:f>
      </x:c>
      <x:c r="S430" s="45" t="n">
        <x:v>14.555790401227645</x:v>
      </x:c>
      <x:c r="T430" t="str">
        <x:v>EXTENDED</x:v>
      </x:c>
      <x:c r="U430" s="32" t="n">
        <x:f>PERCENTRANK.INC($G$2:$G$941,G430)</x:f>
        <x:v>0.482</x:v>
      </x:c>
      <x:c r="V430" s="32" t="n">
        <x:f>PERCENTRANK.INC($H$2:$H$941,H430)</x:f>
        <x:v>0.214</x:v>
      </x:c>
      <x:c r="W430" t="n">
        <x:f>ROUND((U430*55+V430*45)*IF(S430&lt;=5,1,IF(S430&lt;=10,0.95,IF(S430&lt;=20,0.85,0.70))),0)</x:f>
        <x:v>31</x:v>
      </x:c>
      <x:c r="X430" t="n">
        <x:v>17</x:v>
      </x:c>
      <x:c r="Y430" t="str">
        <x:v>WATCH</x:v>
      </x:c>
      <x:c r="Z430" s="12" t="str">
        <x:v>Family + verified grassroots + straight-line geo only; transport not yet routed</x:v>
      </x:c>
      <x:c r="AA430" s="12"/>
      <x:c r="AB430" s="12"/>
      <x:c r="AC430" s="12"/>
      <x:c r="AD430" s="12"/>
      <x:c r="AE430" t="str">
        <x:v>West Ham United Women</x:v>
      </x:c>
      <x:c r="AF430" s="45" t="n">
        <x:v>5.481671133511766</x:v>
      </x:c>
      <x:c r="AG430" t="str">
        <x:v>Millwall Lionesses</x:v>
      </x:c>
      <x:c r="AH430" s="45" t="n">
        <x:v>10.95534562351329</x:v>
      </x:c>
      <x:c r="AI430" t="n">
        <x:v>76</x:v>
      </x:c>
      <x:c r="AJ430" t="str">
        <x:v>HIGH</x:v>
      </x:c>
    </x:row>
    <x:row r="431">
      <x:c r="A431" s="12" t="str">
        <x:v>E01001692</x:v>
      </x:c>
      <x:c r="B431" s="12" t="str">
        <x:v>Greenwich 001B</x:v>
      </x:c>
      <x:c r="C431" s="12" t="str">
        <x:v>Greenwich</x:v>
      </x:c>
      <x:c r="D431" s="44" t="n">
        <x:v>51.505505059383545</x:v>
      </x:c>
      <x:c r="E431" s="44" t="n">
        <x:v>0.11415853924226023</x:v>
      </x:c>
      <x:c r="F431" s="33" t="n">
        <x:v>555</x:v>
      </x:c>
      <x:c r="G431" s="33" t="n">
        <x:v>223</x:v>
      </x:c>
      <x:c r="H431" s="26" t="n">
        <x:v>0.4018018018018018</x:v>
      </x:c>
      <x:c r="I431" s="12" t="n">
        <x:v>0</x:v>
      </x:c>
      <x:c r="J431" s="12" t="n">
        <x:v>0</x:v>
      </x:c>
      <x:c r="K431" s="12"/>
      <x:c r="L431" s="12"/>
      <x:c r="M431" s="12" t="str">
        <x:f>IF(K431="", "", MAX(0,IF(K431&lt;=20,100,IF(K431&lt;=30,85,IF(K431&lt;=40,70,IF(K431&lt;=50,55,IF(K431&lt;=60,40,20)))))-MIN(L431*5,20)))</x:f>
      </x:c>
      <x:c r="N431" s="12"/>
      <x:c r="O431" s="12"/>
      <x:c r="P431" s="12" t="str">
        <x:f>IF(OR(H431="",J431="",M431=""),"",ROUND(PERCENTRANK.INC($H$2:$H$941,H431)*35+J431*0.35+M431*0.30,0))</x:f>
      </x:c>
      <x:c r="Q431" s="12" t="str">
        <x:f>IF(P431="","",IF(P431&gt;=80,"ATTACK",IF(P431&gt;=65,"GROW",IF(P431&gt;=50,"PARTNER","WATCH"))))</x:f>
      </x:c>
      <x:c r="R431" s="12" t="str">
        <x:f>IF(Q431="","",IF(Q431="ATTACK","Grassroots + family acquisition",IF(Q431="GROW","Test local campaign",IF(Q431="PARTNER","Organisation-first partnership","Low priority / validate"))))</x:f>
      </x:c>
      <x:c r="S431" s="45" t="n">
        <x:v>14.381669110020477</x:v>
      </x:c>
      <x:c r="T431" t="str">
        <x:v>EXTENDED</x:v>
      </x:c>
      <x:c r="U431" s="32" t="n">
        <x:f>PERCENTRANK.INC($G$2:$G$941,G431)</x:f>
        <x:v>0.567</x:v>
      </x:c>
      <x:c r="V431" s="32" t="n">
        <x:f>PERCENTRANK.INC($H$2:$H$941,H431)</x:f>
        <x:v>0.913</x:v>
      </x:c>
      <x:c r="W431" t="n">
        <x:f>ROUND((U431*55+V431*45)*IF(S431&lt;=5,1,IF(S431&lt;=10,0.95,IF(S431&lt;=20,0.85,0.70))),0)</x:f>
        <x:v>61</x:v>
      </x:c>
      <x:c r="X431" t="n">
        <x:v>34</x:v>
      </x:c>
      <x:c r="Y431" t="str">
        <x:v>WATCH</x:v>
      </x:c>
      <x:c r="Z431" s="12" t="str">
        <x:v>Family + verified grassroots + straight-line geo only; transport not yet routed</x:v>
      </x:c>
      <x:c r="AA431" s="12"/>
      <x:c r="AB431" s="12"/>
      <x:c r="AC431" s="12"/>
      <x:c r="AD431" s="12"/>
      <x:c r="AE431" t="str">
        <x:v>West Ham United Women</x:v>
      </x:c>
      <x:c r="AF431" s="45" t="n">
        <x:v>5.67261179832476</x:v>
      </x:c>
      <x:c r="AG431" t="str">
        <x:v>Millwall Lionesses</x:v>
      </x:c>
      <x:c r="AH431" s="45" t="n">
        <x:v>10.685048278338705</x:v>
      </x:c>
      <x:c r="AI431" t="n">
        <x:v>76</x:v>
      </x:c>
      <x:c r="AJ431" t="str">
        <x:v>HIGH</x:v>
      </x:c>
    </x:row>
    <x:row r="432">
      <x:c r="A432" s="12" t="str">
        <x:v>E01001693</x:v>
      </x:c>
      <x:c r="B432" s="12" t="str">
        <x:v>Greenwich 001C</x:v>
      </x:c>
      <x:c r="C432" s="12" t="str">
        <x:v>Greenwich</x:v>
      </x:c>
      <x:c r="D432" s="44" t="n">
        <x:v>51.503116287629545</x:v>
      </x:c>
      <x:c r="E432" s="44" t="n">
        <x:v>0.11745985487127182</x:v>
      </x:c>
      <x:c r="F432" s="33" t="n">
        <x:v>615</x:v>
      </x:c>
      <x:c r="G432" s="33" t="n">
        <x:v>247</x:v>
      </x:c>
      <x:c r="H432" s="26" t="n">
        <x:v>0.4016260162601626</x:v>
      </x:c>
      <x:c r="I432" s="12" t="n">
        <x:v>0</x:v>
      </x:c>
      <x:c r="J432" s="12" t="n">
        <x:v>0</x:v>
      </x:c>
      <x:c r="K432" s="12"/>
      <x:c r="L432" s="12"/>
      <x:c r="M432" s="12" t="str">
        <x:f>IF(K432="", "", MAX(0,IF(K432&lt;=20,100,IF(K432&lt;=30,85,IF(K432&lt;=40,70,IF(K432&lt;=50,55,IF(K432&lt;=60,40,20)))))-MIN(L432*5,20)))</x:f>
      </x:c>
      <x:c r="N432" s="12"/>
      <x:c r="O432" s="12"/>
      <x:c r="P432" s="12" t="str">
        <x:f>IF(OR(H432="",J432="",M432=""),"",ROUND(PERCENTRANK.INC($H$2:$H$941,H432)*35+J432*0.35+M432*0.30,0))</x:f>
      </x:c>
      <x:c r="Q432" s="12" t="str">
        <x:f>IF(P432="","",IF(P432&gt;=80,"ATTACK",IF(P432&gt;=65,"GROW",IF(P432&gt;=50,"PARTNER","WATCH"))))</x:f>
      </x:c>
      <x:c r="R432" s="12" t="str">
        <x:f>IF(Q432="","",IF(Q432="ATTACK","Grassroots + family acquisition",IF(Q432="GROW","Test local campaign",IF(Q432="PARTNER","Organisation-first partnership","Low priority / validate"))))</x:f>
      </x:c>
      <x:c r="S432" s="45" t="n">
        <x:v>14.256616642805456</x:v>
      </x:c>
      <x:c r="T432" t="str">
        <x:v>EXTENDED</x:v>
      </x:c>
      <x:c r="U432" s="32" t="n">
        <x:f>PERCENTRANK.INC($G$2:$G$941,G432)</x:f>
        <x:v>0.752</x:v>
      </x:c>
      <x:c r="V432" s="32" t="n">
        <x:f>PERCENTRANK.INC($H$2:$H$941,H432)</x:f>
        <x:v>0.911</x:v>
      </x:c>
      <x:c r="W432" t="n">
        <x:f>ROUND((U432*55+V432*45)*IF(S432&lt;=5,1,IF(S432&lt;=10,0.95,IF(S432&lt;=20,0.85,0.70))),0)</x:f>
        <x:v>70</x:v>
      </x:c>
      <x:c r="X432" t="n">
        <x:v>39</x:v>
      </x:c>
      <x:c r="Y432" t="str">
        <x:v>WATCH</x:v>
      </x:c>
      <x:c r="Z432" s="12" t="str">
        <x:v>Family + verified grassroots + straight-line geo only; transport not yet routed</x:v>
      </x:c>
      <x:c r="AA432" s="12"/>
      <x:c r="AB432" s="12"/>
      <x:c r="AC432" s="12"/>
      <x:c r="AD432" s="12"/>
      <x:c r="AE432" t="str">
        <x:v>West Ham United Women</x:v>
      </x:c>
      <x:c r="AF432" s="45" t="n">
        <x:v>5.775874975683294</x:v>
      </x:c>
      <x:c r="AG432" t="str">
        <x:v>Millwall Lionesses</x:v>
      </x:c>
      <x:c r="AH432" s="45" t="n">
        <x:v>10.918822293771985</x:v>
      </x:c>
      <x:c r="AI432" t="n">
        <x:v>76</x:v>
      </x:c>
      <x:c r="AJ432" t="str">
        <x:v>HIGH</x:v>
      </x:c>
    </x:row>
    <x:row r="433">
      <x:c r="A433" s="12" t="str">
        <x:v>E01001694</x:v>
      </x:c>
      <x:c r="B433" s="12" t="str">
        <x:v>Greenwich 001D</x:v>
      </x:c>
      <x:c r="C433" s="12" t="str">
        <x:v>Greenwich</x:v>
      </x:c>
      <x:c r="D433" s="44" t="n">
        <x:v>51.50185447629417</x:v>
      </x:c>
      <x:c r="E433" s="44" t="n">
        <x:v>0.11249614840770883</x:v>
      </x:c>
      <x:c r="F433" s="33" t="n">
        <x:v>610</x:v>
      </x:c>
      <x:c r="G433" s="33" t="n">
        <x:v>248</x:v>
      </x:c>
      <x:c r="H433" s="26" t="n">
        <x:v>0.4065573770491803</x:v>
      </x:c>
      <x:c r="I433" s="12" t="n">
        <x:v>0</x:v>
      </x:c>
      <x:c r="J433" s="12" t="n">
        <x:v>0</x:v>
      </x:c>
      <x:c r="K433" s="12"/>
      <x:c r="L433" s="12"/>
      <x:c r="M433" s="12" t="str">
        <x:f>IF(K433="", "", MAX(0,IF(K433&lt;=20,100,IF(K433&lt;=30,85,IF(K433&lt;=40,70,IF(K433&lt;=50,55,IF(K433&lt;=60,40,20)))))-MIN(L433*5,20)))</x:f>
      </x:c>
      <x:c r="N433" s="12"/>
      <x:c r="O433" s="12"/>
      <x:c r="P433" s="12" t="str">
        <x:f>IF(OR(H433="",J433="",M433=""),"",ROUND(PERCENTRANK.INC($H$2:$H$941,H433)*35+J433*0.35+M433*0.30,0))</x:f>
      </x:c>
      <x:c r="Q433" s="12" t="str">
        <x:f>IF(P433="","",IF(P433&gt;=80,"ATTACK",IF(P433&gt;=65,"GROW",IF(P433&gt;=50,"PARTNER","WATCH"))))</x:f>
      </x:c>
      <x:c r="R433" s="12" t="str">
        <x:f>IF(Q433="","",IF(Q433="ATTACK","Grassroots + family acquisition",IF(Q433="GROW","Test local campaign",IF(Q433="PARTNER","Organisation-first partnership","Low priority / validate"))))</x:f>
      </x:c>
      <x:c r="S433" s="45" t="n">
        <x:v>13.969096038320389</x:v>
      </x:c>
      <x:c r="T433" t="str">
        <x:v>EXTENDED</x:v>
      </x:c>
      <x:c r="U433" s="32" t="n">
        <x:f>PERCENTRANK.INC($G$2:$G$941,G433)</x:f>
        <x:v>0.757</x:v>
      </x:c>
      <x:c r="V433" s="32" t="n">
        <x:f>PERCENTRANK.INC($H$2:$H$941,H433)</x:f>
        <x:v>0.927</x:v>
      </x:c>
      <x:c r="W433" t="n">
        <x:f>ROUND((U433*55+V433*45)*IF(S433&lt;=5,1,IF(S433&lt;=10,0.95,IF(S433&lt;=20,0.85,0.70))),0)</x:f>
        <x:v>71</x:v>
      </x:c>
      <x:c r="X433" t="n">
        <x:v>39</x:v>
      </x:c>
      <x:c r="Y433" t="str">
        <x:v>WATCH</x:v>
      </x:c>
      <x:c r="Z433" s="12" t="str">
        <x:v>Family + verified grassroots + straight-line geo only; transport not yet routed</x:v>
      </x:c>
      <x:c r="AA433" s="12"/>
      <x:c r="AB433" s="12"/>
      <x:c r="AC433" s="12"/>
      <x:c r="AD433" s="12"/>
      <x:c r="AE433" t="str">
        <x:v>Charlton Athletic Women</x:v>
      </x:c>
      <x:c r="AF433" s="45" t="n">
        <x:v>5.55775204175241</x:v>
      </x:c>
      <x:c r="AG433" t="str">
        <x:v>Millwall Lionesses</x:v>
      </x:c>
      <x:c r="AH433" s="45" t="n">
        <x:v>10.58100313352873</x:v>
      </x:c>
      <x:c r="AI433" t="n">
        <x:v>76</x:v>
      </x:c>
      <x:c r="AJ433" t="str">
        <x:v>HIGH</x:v>
      </x:c>
    </x:row>
    <x:row r="434">
      <x:c r="A434" s="12" t="str">
        <x:v>E01001687</x:v>
      </x:c>
      <x:c r="B434" s="12" t="str">
        <x:v>Greenwich 002A</x:v>
      </x:c>
      <x:c r="C434" s="12" t="str">
        <x:v>Greenwich</x:v>
      </x:c>
      <x:c r="D434" s="44" t="n">
        <x:v>51.49522987894134</x:v>
      </x:c>
      <x:c r="E434" s="44" t="n">
        <x:v>0.08619093684013775</x:v>
      </x:c>
      <x:c r="F434" s="33" t="n">
        <x:v>511</x:v>
      </x:c>
      <x:c r="G434" s="33" t="n">
        <x:v>168</x:v>
      </x:c>
      <x:c r="H434" s="26" t="n">
        <x:v>0.3287671232876712</x:v>
      </x:c>
      <x:c r="I434" s="12" t="n">
        <x:v>0</x:v>
      </x:c>
      <x:c r="J434" s="12" t="n">
        <x:v>0</x:v>
      </x:c>
      <x:c r="K434" s="12"/>
      <x:c r="L434" s="12"/>
      <x:c r="M434" s="12" t="str">
        <x:f>IF(K434="", "", MAX(0,IF(K434&lt;=20,100,IF(K434&lt;=30,85,IF(K434&lt;=40,70,IF(K434&lt;=50,55,IF(K434&lt;=60,40,20)))))-MIN(L434*5,20)))</x:f>
      </x:c>
      <x:c r="N434" s="12"/>
      <x:c r="O434" s="12"/>
      <x:c r="P434" s="12" t="str">
        <x:f>IF(OR(H434="",J434="",M434=""),"",ROUND(PERCENTRANK.INC($H$2:$H$941,H434)*35+J434*0.35+M434*0.30,0))</x:f>
      </x:c>
      <x:c r="Q434" s="12" t="str">
        <x:f>IF(P434="","",IF(P434&gt;=80,"ATTACK",IF(P434&gt;=65,"GROW",IF(P434&gt;=50,"PARTNER","WATCH"))))</x:f>
      </x:c>
      <x:c r="R434" s="12" t="str">
        <x:f>IF(Q434="","",IF(Q434="ATTACK","Grassroots + family acquisition",IF(Q434="GROW","Test local campaign",IF(Q434="PARTNER","Organisation-first partnership","Low priority / validate"))))</x:f>
      </x:c>
      <x:c r="S434" s="45" t="n">
        <x:v>12.525664761932573</x:v>
      </x:c>
      <x:c r="T434" t="str">
        <x:v>EXTENDED</x:v>
      </x:c>
      <x:c r="U434" s="32" t="n">
        <x:f>PERCENTRANK.INC($G$2:$G$941,G434)</x:f>
        <x:v>0.166</x:v>
      </x:c>
      <x:c r="V434" s="32" t="n">
        <x:f>PERCENTRANK.INC($H$2:$H$941,H434)</x:f>
        <x:v>0.559</x:v>
      </x:c>
      <x:c r="W434" t="n">
        <x:f>ROUND((U434*55+V434*45)*IF(S434&lt;=5,1,IF(S434&lt;=10,0.95,IF(S434&lt;=20,0.85,0.70))),0)</x:f>
        <x:v>29</x:v>
      </x:c>
      <x:c r="X434" t="n">
        <x:v>16</x:v>
      </x:c>
      <x:c r="Y434" t="str">
        <x:v>WATCH</x:v>
      </x:c>
      <x:c r="Z434" s="12" t="str">
        <x:v>Family + verified grassroots + straight-line geo only; transport not yet routed</x:v>
      </x:c>
      <x:c r="AA434" s="12"/>
      <x:c r="AB434" s="12"/>
      <x:c r="AC434" s="12"/>
      <x:c r="AD434" s="12"/>
      <x:c r="AE434" t="str">
        <x:v>Charlton Athletic Women</x:v>
      </x:c>
      <x:c r="AF434" s="45" t="n">
        <x:v>3.6009975282337257</x:v>
      </x:c>
      <x:c r="AG434" t="str">
        <x:v>Millwall Lionesses</x:v>
      </x:c>
      <x:c r="AH434" s="45" t="n">
        <x:v>8.834105552776212</x:v>
      </x:c>
      <x:c r="AI434" t="n">
        <x:v>81</x:v>
      </x:c>
      <x:c r="AJ434" t="str">
        <x:v>HIGH</x:v>
      </x:c>
    </x:row>
    <x:row r="435">
      <x:c r="A435" s="12" t="str">
        <x:v>E01001688</x:v>
      </x:c>
      <x:c r="B435" s="12" t="str">
        <x:v>Greenwich 002B</x:v>
      </x:c>
      <x:c r="C435" s="12" t="str">
        <x:v>Greenwich</x:v>
      </x:c>
      <x:c r="D435" s="44" t="n">
        <x:v>51.508989335732736</x:v>
      </x:c>
      <x:c r="E435" s="44" t="n">
        <x:v>0.115619165941845</x:v>
      </x:c>
      <x:c r="F435" s="33" t="n">
        <x:v>935</x:v>
      </x:c>
      <x:c r="G435" s="33" t="n">
        <x:v>443</x:v>
      </x:c>
      <x:c r="H435" s="26" t="n">
        <x:v>0.4737967914438503</x:v>
      </x:c>
      <x:c r="I435" s="12" t="n">
        <x:v>0</x:v>
      </x:c>
      <x:c r="J435" s="12" t="n">
        <x:v>0</x:v>
      </x:c>
      <x:c r="K435" s="12"/>
      <x:c r="L435" s="12"/>
      <x:c r="M435" s="12" t="str">
        <x:f>IF(K435="", "", MAX(0,IF(K435&lt;=20,100,IF(K435&lt;=30,85,IF(K435&lt;=40,70,IF(K435&lt;=50,55,IF(K435&lt;=60,40,20)))))-MIN(L435*5,20)))</x:f>
      </x:c>
      <x:c r="N435" s="12"/>
      <x:c r="O435" s="12"/>
      <x:c r="P435" s="12" t="str">
        <x:f>IF(OR(H435="",J435="",M435=""),"",ROUND(PERCENTRANK.INC($H$2:$H$941,H435)*35+J435*0.35+M435*0.30,0))</x:f>
      </x:c>
      <x:c r="Q435" s="12" t="str">
        <x:f>IF(P435="","",IF(P435&gt;=80,"ATTACK",IF(P435&gt;=65,"GROW",IF(P435&gt;=50,"PARTNER","WATCH"))))</x:f>
      </x:c>
      <x:c r="R435" s="12" t="str">
        <x:f>IF(Q435="","",IF(Q435="ATTACK","Grassroots + family acquisition",IF(Q435="GROW","Test local campaign",IF(Q435="PARTNER","Organisation-first partnership","Low priority / validate"))))</x:f>
      </x:c>
      <x:c r="S435" s="45" t="n">
        <x:v>14.77192012726185</x:v>
      </x:c>
      <x:c r="T435" t="str">
        <x:v>EXTENDED</x:v>
      </x:c>
      <x:c r="U435" s="32" t="n">
        <x:f>PERCENTRANK.INC($G$2:$G$941,G435)</x:f>
        <x:v>0.997</x:v>
      </x:c>
      <x:c r="V435" s="32" t="n">
        <x:f>PERCENTRANK.INC($H$2:$H$941,H435)</x:f>
        <x:v>0.988</x:v>
      </x:c>
      <x:c r="W435" t="n">
        <x:f>ROUND((U435*55+V435*45)*IF(S435&lt;=5,1,IF(S435&lt;=10,0.95,IF(S435&lt;=20,0.85,0.70))),0)</x:f>
        <x:v>84</x:v>
      </x:c>
      <x:c r="X435" t="n">
        <x:v>46</x:v>
      </x:c>
      <x:c r="Y435" t="str">
        <x:v>WATCH</x:v>
      </x:c>
      <x:c r="Z435" s="12" t="str">
        <x:v>Family + verified grassroots + straight-line geo only; transport not yet routed</x:v>
      </x:c>
      <x:c r="AA435" s="12"/>
      <x:c r="AB435" s="12"/>
      <x:c r="AC435" s="12"/>
      <x:c r="AD435" s="12"/>
      <x:c r="AE435" t="str">
        <x:v>West Ham United Women</x:v>
      </x:c>
      <x:c r="AF435" s="45" t="n">
        <x:v>5.296152617825504</x:v>
      </x:c>
      <x:c r="AG435" t="str">
        <x:v>Millwall Lionesses</x:v>
      </x:c>
      <x:c r="AH435" s="45" t="n">
        <x:v>10.790067631941474</x:v>
      </x:c>
      <x:c r="AI435" t="n">
        <x:v>76</x:v>
      </x:c>
      <x:c r="AJ435" t="str">
        <x:v>HIGH</x:v>
      </x:c>
    </x:row>
    <x:row r="436">
      <x:c r="A436" s="12" t="str">
        <x:v>E01033739</x:v>
      </x:c>
      <x:c r="B436" s="12" t="str">
        <x:v>Greenwich 002E</x:v>
      </x:c>
      <x:c r="C436" s="12" t="str">
        <x:v>Greenwich</x:v>
      </x:c>
      <x:c r="D436" s="44" t="n">
        <x:v>51.50236239161297</x:v>
      </x:c>
      <x:c r="E436" s="44" t="n">
        <x:v>0.08714781784876496</x:v>
      </x:c>
      <x:c r="F436" s="33" t="n">
        <x:v>650</x:v>
      </x:c>
      <x:c r="G436" s="33" t="n">
        <x:v>286</x:v>
      </x:c>
      <x:c r="H436" s="26" t="n">
        <x:v>0.44</x:v>
      </x:c>
      <x:c r="I436" s="12" t="n">
        <x:v>0</x:v>
      </x:c>
      <x:c r="J436" s="12" t="n">
        <x:v>0</x:v>
      </x:c>
      <x:c r="K436" s="12"/>
      <x:c r="L436" s="12"/>
      <x:c r="M436" s="12" t="str">
        <x:f>IF(K436="", "", MAX(0,IF(K436&lt;=20,100,IF(K436&lt;=30,85,IF(K436&lt;=40,70,IF(K436&lt;=50,55,IF(K436&lt;=60,40,20)))))-MIN(L436*5,20)))</x:f>
      </x:c>
      <x:c r="N436" s="12"/>
      <x:c r="O436" s="12"/>
      <x:c r="P436" s="12" t="str">
        <x:f>IF(OR(H436="",J436="",M436=""),"",ROUND(PERCENTRANK.INC($H$2:$H$941,H436)*35+J436*0.35+M436*0.30,0))</x:f>
      </x:c>
      <x:c r="Q436" s="12" t="str">
        <x:f>IF(P436="","",IF(P436&gt;=80,"ATTACK",IF(P436&gt;=65,"GROW",IF(P436&gt;=50,"PARTNER","WATCH"))))</x:f>
      </x:c>
      <x:c r="R436" s="12" t="str">
        <x:f>IF(Q436="","",IF(Q436="ATTACK","Grassroots + family acquisition",IF(Q436="GROW","Test local campaign",IF(Q436="PARTNER","Organisation-first partnership","Low priority / validate"))))</x:f>
      </x:c>
      <x:c r="S436" s="45" t="n">
        <x:v>13.286769054621956</x:v>
      </x:c>
      <x:c r="T436" t="str">
        <x:v>EXTENDED</x:v>
      </x:c>
      <x:c r="U436" s="32" t="n">
        <x:f>PERCENTRANK.INC($G$2:$G$941,G436)</x:f>
        <x:v>0.919</x:v>
      </x:c>
      <x:c r="V436" s="32" t="n">
        <x:f>PERCENTRANK.INC($H$2:$H$941,H436)</x:f>
        <x:v>0.974</x:v>
      </x:c>
      <x:c r="W436" t="n">
        <x:f>ROUND((U436*55+V436*45)*IF(S436&lt;=5,1,IF(S436&lt;=10,0.95,IF(S436&lt;=20,0.85,0.70))),0)</x:f>
        <x:v>80</x:v>
      </x:c>
      <x:c r="X436" t="n">
        <x:v>44</x:v>
      </x:c>
      <x:c r="Y436" t="str">
        <x:v>WATCH</x:v>
      </x:c>
      <x:c r="Z436" s="12" t="str">
        <x:v>Family + verified grassroots + straight-line geo only; transport not yet routed</x:v>
      </x:c>
      <x:c r="AA436" s="12"/>
      <x:c r="AB436" s="12"/>
      <x:c r="AC436" s="12"/>
      <x:c r="AD436" s="12"/>
      <x:c r="AE436" t="str">
        <x:v>Charlton Athletic Women</x:v>
      </x:c>
      <x:c r="AF436" s="45" t="n">
        <x:v>3.9515910656212343</x:v>
      </x:c>
      <x:c r="AG436" t="str">
        <x:v>Millwall Lionesses</x:v>
      </x:c>
      <x:c r="AH436" s="45" t="n">
        <x:v>8.825754680900825</x:v>
      </x:c>
      <x:c r="AI436" t="n">
        <x:v>81</x:v>
      </x:c>
      <x:c r="AJ436" t="str">
        <x:v>HIGH</x:v>
      </x:c>
    </x:row>
    <x:row r="437">
      <x:c r="A437" s="12" t="str">
        <x:v>E01033740</x:v>
      </x:c>
      <x:c r="B437" s="12" t="str">
        <x:v>Greenwich 002F</x:v>
      </x:c>
      <x:c r="C437" s="12" t="str">
        <x:v>Greenwich</x:v>
      </x:c>
      <x:c r="D437" s="44" t="n">
        <x:v>51.500447577155384</x:v>
      </x:c>
      <x:c r="E437" s="44" t="n">
        <x:v>0.08698765873708027</x:v>
      </x:c>
      <x:c r="F437" s="33" t="n">
        <x:v>548</x:v>
      </x:c>
      <x:c r="G437" s="33" t="n">
        <x:v>270</x:v>
      </x:c>
      <x:c r="H437" s="26" t="n">
        <x:v>0.4927007299270073</x:v>
      </x:c>
      <x:c r="I437" s="12" t="n">
        <x:v>0</x:v>
      </x:c>
      <x:c r="J437" s="12" t="n">
        <x:v>0</x:v>
      </x:c>
      <x:c r="K437" s="12"/>
      <x:c r="L437" s="12"/>
      <x:c r="M437" s="12" t="str">
        <x:f>IF(K437="", "", MAX(0,IF(K437&lt;=20,100,IF(K437&lt;=30,85,IF(K437&lt;=40,70,IF(K437&lt;=50,55,IF(K437&lt;=60,40,20)))))-MIN(L437*5,20)))</x:f>
      </x:c>
      <x:c r="N437" s="12"/>
      <x:c r="O437" s="12"/>
      <x:c r="P437" s="12" t="str">
        <x:f>IF(OR(H437="",J437="",M437=""),"",ROUND(PERCENTRANK.INC($H$2:$H$941,H437)*35+J437*0.35+M437*0.30,0))</x:f>
      </x:c>
      <x:c r="Q437" s="12" t="str">
        <x:f>IF(P437="","",IF(P437&gt;=80,"ATTACK",IF(P437&gt;=65,"GROW",IF(P437&gt;=50,"PARTNER","WATCH"))))</x:f>
      </x:c>
      <x:c r="R437" s="12" t="str">
        <x:f>IF(Q437="","",IF(Q437="ATTACK","Grassroots + family acquisition",IF(Q437="GROW","Test local campaign",IF(Q437="PARTNER","Organisation-first partnership","Low priority / validate"))))</x:f>
      </x:c>
      <x:c r="S437" s="45" t="n">
        <x:v>13.084493589401736</x:v>
      </x:c>
      <x:c r="T437" t="str">
        <x:v>EXTENDED</x:v>
      </x:c>
      <x:c r="U437" s="32" t="n">
        <x:f>PERCENTRANK.INC($G$2:$G$941,G437)</x:f>
        <x:v>0.872</x:v>
      </x:c>
      <x:c r="V437" s="32" t="n">
        <x:f>PERCENTRANK.INC($H$2:$H$941,H437)</x:f>
        <x:v>0.993</x:v>
      </x:c>
      <x:c r="W437" t="n">
        <x:f>ROUND((U437*55+V437*45)*IF(S437&lt;=5,1,IF(S437&lt;=10,0.95,IF(S437&lt;=20,0.85,0.70))),0)</x:f>
        <x:v>79</x:v>
      </x:c>
      <x:c r="X437" t="n">
        <x:v>43</x:v>
      </x:c>
      <x:c r="Y437" t="str">
        <x:v>WATCH</x:v>
      </x:c>
      <x:c r="Z437" s="12" t="str">
        <x:v>Family + verified grassroots + straight-line geo only; transport not yet routed</x:v>
      </x:c>
      <x:c r="AA437" s="12"/>
      <x:c r="AB437" s="12"/>
      <x:c r="AC437" s="12"/>
      <x:c r="AD437" s="12"/>
      <x:c r="AE437" t="str">
        <x:v>Charlton Athletic Women</x:v>
      </x:c>
      <x:c r="AF437" s="45" t="n">
        <x:v>3.850574719630836</x:v>
      </x:c>
      <x:c r="AG437" t="str">
        <x:v>Millwall Lionesses</x:v>
      </x:c>
      <x:c r="AH437" s="45" t="n">
        <x:v>8.827628921546461</x:v>
      </x:c>
      <x:c r="AI437" t="n">
        <x:v>81</x:v>
      </x:c>
      <x:c r="AJ437" t="str">
        <x:v>HIGH</x:v>
      </x:c>
    </x:row>
    <x:row r="438">
      <x:c r="A438" s="12" t="str">
        <x:v>E01033741</x:v>
      </x:c>
      <x:c r="B438" s="12" t="str">
        <x:v>Greenwich 002G</x:v>
      </x:c>
      <x:c r="C438" s="12" t="str">
        <x:v>Greenwich</x:v>
      </x:c>
      <x:c r="D438" s="44" t="n">
        <x:v>51.49921029894647</x:v>
      </x:c>
      <x:c r="E438" s="44" t="n">
        <x:v>0.09346426839303999</x:v>
      </x:c>
      <x:c r="F438" s="33" t="n">
        <x:v>637</x:v>
      </x:c>
      <x:c r="G438" s="33" t="n">
        <x:v>275</x:v>
      </x:c>
      <x:c r="H438" s="26" t="n">
        <x:v>0.4317111459968603</x:v>
      </x:c>
      <x:c r="I438" s="12" t="n">
        <x:v>0</x:v>
      </x:c>
      <x:c r="J438" s="12" t="n">
        <x:v>0</x:v>
      </x:c>
      <x:c r="K438" s="12"/>
      <x:c r="L438" s="12"/>
      <x:c r="M438" s="12" t="str">
        <x:f>IF(K438="", "", MAX(0,IF(K438&lt;=20,100,IF(K438&lt;=30,85,IF(K438&lt;=40,70,IF(K438&lt;=50,55,IF(K438&lt;=60,40,20)))))-MIN(L438*5,20)))</x:f>
      </x:c>
      <x:c r="N438" s="12"/>
      <x:c r="O438" s="12"/>
      <x:c r="P438" s="12" t="str">
        <x:f>IF(OR(H438="",J438="",M438=""),"",ROUND(PERCENTRANK.INC($H$2:$H$941,H438)*35+J438*0.35+M438*0.30,0))</x:f>
      </x:c>
      <x:c r="Q438" s="12" t="str">
        <x:f>IF(P438="","",IF(P438&gt;=80,"ATTACK",IF(P438&gt;=65,"GROW",IF(P438&gt;=50,"PARTNER","WATCH"))))</x:f>
      </x:c>
      <x:c r="R438" s="12" t="str">
        <x:f>IF(Q438="","",IF(Q438="ATTACK","Grassroots + family acquisition",IF(Q438="GROW","Test local campaign",IF(Q438="PARTNER","Organisation-first partnership","Low priority / validate"))))</x:f>
      </x:c>
      <x:c r="S438" s="45" t="n">
        <x:v>13.1295812012793</x:v>
      </x:c>
      <x:c r="T438" t="str">
        <x:v>EXTENDED</x:v>
      </x:c>
      <x:c r="U438" s="32" t="n">
        <x:f>PERCENTRANK.INC($G$2:$G$941,G438)</x:f>
        <x:v>0.88</x:v>
      </x:c>
      <x:c r="V438" s="32" t="n">
        <x:f>PERCENTRANK.INC($H$2:$H$941,H438)</x:f>
        <x:v>0.968</x:v>
      </x:c>
      <x:c r="W438" t="n">
        <x:f>ROUND((U438*55+V438*45)*IF(S438&lt;=5,1,IF(S438&lt;=10,0.95,IF(S438&lt;=20,0.85,0.70))),0)</x:f>
        <x:v>78</x:v>
      </x:c>
      <x:c r="X438" t="n">
        <x:v>43</x:v>
      </x:c>
      <x:c r="Y438" t="str">
        <x:v>WATCH</x:v>
      </x:c>
      <x:c r="Z438" s="12" t="str">
        <x:v>Family + verified grassroots + straight-line geo only; transport not yet routed</x:v>
      </x:c>
      <x:c r="AA438" s="12"/>
      <x:c r="AB438" s="12"/>
      <x:c r="AC438" s="12"/>
      <x:c r="AD438" s="12"/>
      <x:c r="AE438" t="str">
        <x:v>Charlton Athletic Women</x:v>
      </x:c>
      <x:c r="AF438" s="45" t="n">
        <x:v>4.215884258197401</x:v>
      </x:c>
      <x:c r="AG438" t="str">
        <x:v>Millwall Lionesses</x:v>
      </x:c>
      <x:c r="AH438" s="45" t="n">
        <x:v>9.285366844532266</x:v>
      </x:c>
      <x:c r="AI438" t="n">
        <x:v>81</x:v>
      </x:c>
      <x:c r="AJ438" t="str">
        <x:v>HIGH</x:v>
      </x:c>
    </x:row>
    <x:row r="439">
      <x:c r="A439" s="12" t="str">
        <x:v>E01033743</x:v>
      </x:c>
      <x:c r="B439" s="12" t="str">
        <x:v>Greenwich 002H</x:v>
      </x:c>
      <x:c r="C439" s="12" t="str">
        <x:v>Greenwich</x:v>
      </x:c>
      <x:c r="D439" s="44" t="n">
        <x:v>51.502771369462344</x:v>
      </x:c>
      <x:c r="E439" s="44" t="n">
        <x:v>0.10033023510787832</x:v>
      </x:c>
      <x:c r="F439" s="33" t="n">
        <x:v>664</x:v>
      </x:c>
      <x:c r="G439" s="33" t="n">
        <x:v>328</x:v>
      </x:c>
      <x:c r="H439" s="26" t="n">
        <x:v>0.4939759036144578</x:v>
      </x:c>
      <x:c r="I439" s="12" t="n">
        <x:v>0</x:v>
      </x:c>
      <x:c r="J439" s="12" t="n">
        <x:v>0</x:v>
      </x:c>
      <x:c r="K439" s="12"/>
      <x:c r="L439" s="12"/>
      <x:c r="M439" s="12" t="str">
        <x:f>IF(K439="", "", MAX(0,IF(K439&lt;=20,100,IF(K439&lt;=30,85,IF(K439&lt;=40,70,IF(K439&lt;=50,55,IF(K439&lt;=60,40,20)))))-MIN(L439*5,20)))</x:f>
      </x:c>
      <x:c r="N439" s="12"/>
      <x:c r="O439" s="12"/>
      <x:c r="P439" s="12" t="str">
        <x:f>IF(OR(H439="",J439="",M439=""),"",ROUND(PERCENTRANK.INC($H$2:$H$941,H439)*35+J439*0.35+M439*0.30,0))</x:f>
      </x:c>
      <x:c r="Q439" s="12" t="str">
        <x:f>IF(P439="","",IF(P439&gt;=80,"ATTACK",IF(P439&gt;=65,"GROW",IF(P439&gt;=50,"PARTNER","WATCH"))))</x:f>
      </x:c>
      <x:c r="R439" s="12" t="str">
        <x:f>IF(Q439="","",IF(Q439="ATTACK","Grassroots + family acquisition",IF(Q439="GROW","Test local campaign",IF(Q439="PARTNER","Organisation-first partnership","Low priority / validate"))))</x:f>
      </x:c>
      <x:c r="S439" s="45" t="n">
        <x:v>13.68551759082687</x:v>
      </x:c>
      <x:c r="T439" t="str">
        <x:v>EXTENDED</x:v>
      </x:c>
      <x:c r="U439" s="32" t="n">
        <x:f>PERCENTRANK.INC($G$2:$G$941,G439)</x:f>
        <x:v>0.974</x:v>
      </x:c>
      <x:c r="V439" s="32" t="n">
        <x:f>PERCENTRANK.INC($H$2:$H$941,H439)</x:f>
        <x:v>0.994</x:v>
      </x:c>
      <x:c r="W439" t="n">
        <x:f>ROUND((U439*55+V439*45)*IF(S439&lt;=5,1,IF(S439&lt;=10,0.95,IF(S439&lt;=20,0.85,0.70))),0)</x:f>
        <x:v>84</x:v>
      </x:c>
      <x:c r="X439" t="n">
        <x:v>46</x:v>
      </x:c>
      <x:c r="Y439" t="str">
        <x:v>WATCH</x:v>
      </x:c>
      <x:c r="Z439" s="12" t="str">
        <x:v>Family + verified grassroots + straight-line geo only; transport not yet routed</x:v>
      </x:c>
      <x:c r="AA439" s="12"/>
      <x:c r="AB439" s="12"/>
      <x:c r="AC439" s="12"/>
      <x:c r="AD439" s="12"/>
      <x:c r="AE439" t="str">
        <x:v>Charlton Athletic Women</x:v>
      </x:c>
      <x:c r="AF439" s="45" t="n">
        <x:v>4.801585760922057</x:v>
      </x:c>
      <x:c r="AG439" t="str">
        <x:v>Millwall Lionesses</x:v>
      </x:c>
      <x:c r="AH439" s="45" t="n">
        <x:v>9.73530647496913</x:v>
      </x:c>
      <x:c r="AI439" t="n">
        <x:v>81</x:v>
      </x:c>
      <x:c r="AJ439" t="str">
        <x:v>HIGH</x:v>
      </x:c>
    </x:row>
    <x:row r="440">
      <x:c r="A440" s="12" t="str">
        <x:v>E01033745</x:v>
      </x:c>
      <x:c r="B440" s="12" t="str">
        <x:v>Greenwich 002I</x:v>
      </x:c>
      <x:c r="C440" s="12" t="str">
        <x:v>Greenwich</x:v>
      </x:c>
      <x:c r="D440" s="44" t="n">
        <x:v>51.501555977226</x:v>
      </x:c>
      <x:c r="E440" s="44" t="n">
        <x:v>0.10504056858182162</x:v>
      </x:c>
      <x:c r="F440" s="33" t="n">
        <x:v>589</x:v>
      </x:c>
      <x:c r="G440" s="33" t="n">
        <x:v>296</x:v>
      </x:c>
      <x:c r="H440" s="26" t="n">
        <x:v>0.5025466893039049</x:v>
      </x:c>
      <x:c r="I440" s="12" t="n">
        <x:v>0</x:v>
      </x:c>
      <x:c r="J440" s="12" t="n">
        <x:v>0</x:v>
      </x:c>
      <x:c r="K440" s="12"/>
      <x:c r="L440" s="12"/>
      <x:c r="M440" s="12" t="str">
        <x:f>IF(K440="", "", MAX(0,IF(K440&lt;=20,100,IF(K440&lt;=30,85,IF(K440&lt;=40,70,IF(K440&lt;=50,55,IF(K440&lt;=60,40,20)))))-MIN(L440*5,20)))</x:f>
      </x:c>
      <x:c r="N440" s="12"/>
      <x:c r="O440" s="12"/>
      <x:c r="P440" s="12" t="str">
        <x:f>IF(OR(H440="",J440="",M440=""),"",ROUND(PERCENTRANK.INC($H$2:$H$941,H440)*35+J440*0.35+M440*0.30,0))</x:f>
      </x:c>
      <x:c r="Q440" s="12" t="str">
        <x:f>IF(P440="","",IF(P440&gt;=80,"ATTACK",IF(P440&gt;=65,"GROW",IF(P440&gt;=50,"PARTNER","WATCH"))))</x:f>
      </x:c>
      <x:c r="R440" s="12" t="str">
        <x:f>IF(Q440="","",IF(Q440="ATTACK","Grassroots + family acquisition",IF(Q440="GROW","Test local campaign",IF(Q440="PARTNER","Organisation-first partnership","Low priority / validate"))))</x:f>
      </x:c>
      <x:c r="S440" s="45" t="n">
        <x:v>13.703922680767292</x:v>
      </x:c>
      <x:c r="T440" t="str">
        <x:v>EXTENDED</x:v>
      </x:c>
      <x:c r="U440" s="32" t="n">
        <x:f>PERCENTRANK.INC($G$2:$G$941,G440)</x:f>
        <x:v>0.938</x:v>
      </x:c>
      <x:c r="V440" s="32" t="n">
        <x:f>PERCENTRANK.INC($H$2:$H$941,H440)</x:f>
        <x:v>0.995</x:v>
      </x:c>
      <x:c r="W440" t="n">
        <x:f>ROUND((U440*55+V440*45)*IF(S440&lt;=5,1,IF(S440&lt;=10,0.95,IF(S440&lt;=20,0.85,0.70))),0)</x:f>
        <x:v>82</x:v>
      </x:c>
      <x:c r="X440" t="n">
        <x:v>45</x:v>
      </x:c>
      <x:c r="Y440" t="str">
        <x:v>WATCH</x:v>
      </x:c>
      <x:c r="Z440" s="12" t="str">
        <x:v>Family + verified grassroots + straight-line geo only; transport not yet routed</x:v>
      </x:c>
      <x:c r="AA440" s="12"/>
      <x:c r="AB440" s="12"/>
      <x:c r="AC440" s="12"/>
      <x:c r="AD440" s="12"/>
      <x:c r="AE440" t="str">
        <x:v>Charlton Athletic Women</x:v>
      </x:c>
      <x:c r="AF440" s="45" t="n">
        <x:v>5.058271325935756</x:v>
      </x:c>
      <x:c r="AG440" t="str">
        <x:v>Millwall Lionesses</x:v>
      </x:c>
      <x:c r="AH440" s="45" t="n">
        <x:v>10.067191099826688</x:v>
      </x:c>
      <x:c r="AI440" t="n">
        <x:v>76</x:v>
      </x:c>
      <x:c r="AJ440" t="str">
        <x:v>HIGH</x:v>
      </x:c>
    </x:row>
    <x:row r="441">
      <x:c r="A441" s="12" t="str">
        <x:v>E01001575</x:v>
      </x:c>
      <x:c r="B441" s="12" t="str">
        <x:v>Greenwich 003A</x:v>
      </x:c>
      <x:c r="C441" s="12" t="str">
        <x:v>Greenwich</x:v>
      </x:c>
      <x:c r="D441" s="44" t="n">
        <x:v>51.497868452584505</x:v>
      </x:c>
      <x:c r="E441" s="44" t="n">
        <x:v>0.11808990805153495</x:v>
      </x:c>
      <x:c r="F441" s="33" t="n">
        <x:v>620</x:v>
      </x:c>
      <x:c r="G441" s="33" t="n">
        <x:v>292</x:v>
      </x:c>
      <x:c r="H441" s="26" t="n">
        <x:v>0.47096774193548385</x:v>
      </x:c>
      <x:c r="I441" s="12" t="n">
        <x:v>0</x:v>
      </x:c>
      <x:c r="J441" s="12" t="n">
        <x:v>0</x:v>
      </x:c>
      <x:c r="K441" s="12"/>
      <x:c r="L441" s="12"/>
      <x:c r="M441" s="12" t="str">
        <x:f>IF(K441="", "", MAX(0,IF(K441&lt;=20,100,IF(K441&lt;=30,85,IF(K441&lt;=40,70,IF(K441&lt;=50,55,IF(K441&lt;=60,40,20)))))-MIN(L441*5,20)))</x:f>
      </x:c>
      <x:c r="N441" s="12"/>
      <x:c r="O441" s="12"/>
      <x:c r="P441" s="12" t="str">
        <x:f>IF(OR(H441="",J441="",M441=""),"",ROUND(PERCENTRANK.INC($H$2:$H$941,H441)*35+J441*0.35+M441*0.30,0))</x:f>
      </x:c>
      <x:c r="Q441" s="12" t="str">
        <x:f>IF(P441="","",IF(P441&gt;=80,"ATTACK",IF(P441&gt;=65,"GROW",IF(P441&gt;=50,"PARTNER","WATCH"))))</x:f>
      </x:c>
      <x:c r="R441" s="12" t="str">
        <x:f>IF(Q441="","",IF(Q441="ATTACK","Grassroots + family acquisition",IF(Q441="GROW","Test local campaign",IF(Q441="PARTNER","Organisation-first partnership","Low priority / validate"))))</x:f>
      </x:c>
      <x:c r="S441" s="45" t="n">
        <x:v>13.77138809712488</x:v>
      </x:c>
      <x:c r="T441" t="str">
        <x:v>EXTENDED</x:v>
      </x:c>
      <x:c r="U441" s="32" t="n">
        <x:f>PERCENTRANK.INC($G$2:$G$941,G441)</x:f>
        <x:v>0.931</x:v>
      </x:c>
      <x:c r="V441" s="32" t="n">
        <x:f>PERCENTRANK.INC($H$2:$H$941,H441)</x:f>
        <x:v>0.985</x:v>
      </x:c>
      <x:c r="W441" t="n">
        <x:f>ROUND((U441*55+V441*45)*IF(S441&lt;=5,1,IF(S441&lt;=10,0.95,IF(S441&lt;=20,0.85,0.70))),0)</x:f>
        <x:v>81</x:v>
      </x:c>
      <x:c r="X441" t="n">
        <x:v>45</x:v>
      </x:c>
      <x:c r="Y441" t="str">
        <x:v>WATCH</x:v>
      </x:c>
      <x:c r="Z441" s="12" t="str">
        <x:v>Family + verified grassroots + straight-line geo only; transport not yet routed</x:v>
      </x:c>
      <x:c r="AA441" s="12"/>
      <x:c r="AB441" s="12"/>
      <x:c r="AC441" s="12"/>
      <x:c r="AD441" s="12"/>
      <x:c r="AE441" t="str">
        <x:v>Charlton Athletic Women</x:v>
      </x:c>
      <x:c r="AF441" s="45" t="n">
        <x:v>5.814471552546439</x:v>
      </x:c>
      <x:c r="AG441" t="str">
        <x:v>Millwall Lionesses</x:v>
      </x:c>
      <x:c r="AH441" s="45" t="n">
        <x:v>10.996533557915788</x:v>
      </x:c>
      <x:c r="AI441" t="n">
        <x:v>76</x:v>
      </x:c>
      <x:c r="AJ441" t="str">
        <x:v>HIGH</x:v>
      </x:c>
    </x:row>
    <x:row r="442">
      <x:c r="A442" s="12" t="str">
        <x:v>E01001576</x:v>
      </x:c>
      <x:c r="B442" s="12" t="str">
        <x:v>Greenwich 003B</x:v>
      </x:c>
      <x:c r="C442" s="12" t="str">
        <x:v>Greenwich</x:v>
      </x:c>
      <x:c r="D442" s="44" t="n">
        <x:v>51.49550664862777</x:v>
      </x:c>
      <x:c r="E442" s="44" t="n">
        <x:v>0.10910490932018481</x:v>
      </x:c>
      <x:c r="F442" s="33" t="n">
        <x:v>668</x:v>
      </x:c>
      <x:c r="G442" s="33" t="n">
        <x:v>288</x:v>
      </x:c>
      <x:c r="H442" s="26" t="n">
        <x:v>0.4311377245508982</x:v>
      </x:c>
      <x:c r="I442" s="12" t="n">
        <x:v>0</x:v>
      </x:c>
      <x:c r="J442" s="12" t="n">
        <x:v>0</x:v>
      </x:c>
      <x:c r="K442" s="12"/>
      <x:c r="L442" s="12"/>
      <x:c r="M442" s="12" t="str">
        <x:f>IF(K442="", "", MAX(0,IF(K442&lt;=20,100,IF(K442&lt;=30,85,IF(K442&lt;=40,70,IF(K442&lt;=50,55,IF(K442&lt;=60,40,20)))))-MIN(L442*5,20)))</x:f>
      </x:c>
      <x:c r="N442" s="12"/>
      <x:c r="O442" s="12"/>
      <x:c r="P442" s="12" t="str">
        <x:f>IF(OR(H442="",J442="",M442=""),"",ROUND(PERCENTRANK.INC($H$2:$H$941,H442)*35+J442*0.35+M442*0.30,0))</x:f>
      </x:c>
      <x:c r="Q442" s="12" t="str">
        <x:f>IF(P442="","",IF(P442&gt;=80,"ATTACK",IF(P442&gt;=65,"GROW",IF(P442&gt;=50,"PARTNER","WATCH"))))</x:f>
      </x:c>
      <x:c r="R442" s="12" t="str">
        <x:f>IF(Q442="","",IF(Q442="ATTACK","Grassroots + family acquisition",IF(Q442="GROW","Test local campaign",IF(Q442="PARTNER","Organisation-first partnership","Low priority / validate"))))</x:f>
      </x:c>
      <x:c r="S442" s="45" t="n">
        <x:v>13.236440106297827</x:v>
      </x:c>
      <x:c r="T442" t="str">
        <x:v>EXTENDED</x:v>
      </x:c>
      <x:c r="U442" s="32" t="n">
        <x:f>PERCENTRANK.INC($G$2:$G$941,G442)</x:f>
        <x:v>0.925</x:v>
      </x:c>
      <x:c r="V442" s="32" t="n">
        <x:f>PERCENTRANK.INC($H$2:$H$941,H442)</x:f>
        <x:v>0.965</x:v>
      </x:c>
      <x:c r="W442" t="n">
        <x:f>ROUND((U442*55+V442*45)*IF(S442&lt;=5,1,IF(S442&lt;=10,0.95,IF(S442&lt;=20,0.85,0.70))),0)</x:f>
        <x:v>80</x:v>
      </x:c>
      <x:c r="X442" t="n">
        <x:v>44</x:v>
      </x:c>
      <x:c r="Y442" t="str">
        <x:v>WATCH</x:v>
      </x:c>
      <x:c r="Z442" s="12" t="str">
        <x:v>Family + verified grassroots + straight-line geo only; transport not yet routed</x:v>
      </x:c>
      <x:c r="AA442" s="12"/>
      <x:c r="AB442" s="12"/>
      <x:c r="AC442" s="12"/>
      <x:c r="AD442" s="12"/>
      <x:c r="AE442" t="str">
        <x:v>Charlton Athletic Women</x:v>
      </x:c>
      <x:c r="AF442" s="45" t="n">
        <x:v>5.151486092541602</x:v>
      </x:c>
      <x:c r="AG442" t="str">
        <x:v>Millwall Lionesses</x:v>
      </x:c>
      <x:c r="AH442" s="45" t="n">
        <x:v>10.403824203694139</x:v>
      </x:c>
      <x:c r="AI442" t="n">
        <x:v>76</x:v>
      </x:c>
      <x:c r="AJ442" t="str">
        <x:v>HIGH</x:v>
      </x:c>
    </x:row>
    <x:row r="443">
      <x:c r="A443" s="12" t="str">
        <x:v>E01001577</x:v>
      </x:c>
      <x:c r="B443" s="12" t="str">
        <x:v>Greenwich 003C</x:v>
      </x:c>
      <x:c r="C443" s="12" t="str">
        <x:v>Greenwich</x:v>
      </x:c>
      <x:c r="D443" s="44" t="n">
        <x:v>51.493886164799356</x:v>
      </x:c>
      <x:c r="E443" s="44" t="n">
        <x:v>0.11443402102221786</x:v>
      </x:c>
      <x:c r="F443" s="33" t="n">
        <x:v>728</x:v>
      </x:c>
      <x:c r="G443" s="33" t="n">
        <x:v>313</x:v>
      </x:c>
      <x:c r="H443" s="26" t="n">
        <x:v>0.42994505494505497</x:v>
      </x:c>
      <x:c r="I443" s="12" t="n">
        <x:v>0</x:v>
      </x:c>
      <x:c r="J443" s="12" t="n">
        <x:v>0</x:v>
      </x:c>
      <x:c r="K443" s="12"/>
      <x:c r="L443" s="12"/>
      <x:c r="M443" s="12" t="str">
        <x:f>IF(K443="", "", MAX(0,IF(K443&lt;=20,100,IF(K443&lt;=30,85,IF(K443&lt;=40,70,IF(K443&lt;=50,55,IF(K443&lt;=60,40,20)))))-MIN(L443*5,20)))</x:f>
      </x:c>
      <x:c r="N443" s="12"/>
      <x:c r="O443" s="12"/>
      <x:c r="P443" s="12" t="str">
        <x:f>IF(OR(H443="",J443="",M443=""),"",ROUND(PERCENTRANK.INC($H$2:$H$941,H443)*35+J443*0.35+M443*0.30,0))</x:f>
      </x:c>
      <x:c r="Q443" s="12" t="str">
        <x:f>IF(P443="","",IF(P443&gt;=80,"ATTACK",IF(P443&gt;=65,"GROW",IF(P443&gt;=50,"PARTNER","WATCH"))))</x:f>
      </x:c>
      <x:c r="R443" s="12" t="str">
        <x:f>IF(Q443="","",IF(Q443="ATTACK","Grassroots + family acquisition",IF(Q443="GROW","Test local campaign",IF(Q443="PARTNER","Organisation-first partnership","Low priority / validate"))))</x:f>
      </x:c>
      <x:c r="S443" s="45" t="n">
        <x:v>13.261387144794528</x:v>
      </x:c>
      <x:c r="T443" t="str">
        <x:v>EXTENDED</x:v>
      </x:c>
      <x:c r="U443" s="32" t="n">
        <x:f>PERCENTRANK.INC($G$2:$G$941,G443)</x:f>
        <x:v>0.957</x:v>
      </x:c>
      <x:c r="V443" s="32" t="n">
        <x:f>PERCENTRANK.INC($H$2:$H$941,H443)</x:f>
        <x:v>0.96</x:v>
      </x:c>
      <x:c r="W443" t="n">
        <x:f>ROUND((U443*55+V443*45)*IF(S443&lt;=5,1,IF(S443&lt;=10,0.95,IF(S443&lt;=20,0.85,0.70))),0)</x:f>
        <x:v>81</x:v>
      </x:c>
      <x:c r="X443" t="n">
        <x:v>45</x:v>
      </x:c>
      <x:c r="Y443" t="str">
        <x:v>WATCH</x:v>
      </x:c>
      <x:c r="Z443" s="12" t="str">
        <x:v>Family + verified grassroots + straight-line geo only; transport not yet routed</x:v>
      </x:c>
      <x:c r="AA443" s="12"/>
      <x:c r="AB443" s="12"/>
      <x:c r="AC443" s="12"/>
      <x:c r="AD443" s="12"/>
      <x:c r="AE443" t="str">
        <x:v>Charlton Athletic Women</x:v>
      </x:c>
      <x:c r="AF443" s="45" t="n">
        <x:v>5.483586308101201</x:v>
      </x:c>
      <x:c r="AG443" t="str">
        <x:v>Millwall Lionesses</x:v>
      </x:c>
      <x:c r="AH443" s="45" t="n">
        <x:v>10.79187780705889</x:v>
      </x:c>
      <x:c r="AI443" t="n">
        <x:v>76</x:v>
      </x:c>
      <x:c r="AJ443" t="str">
        <x:v>HIGH</x:v>
      </x:c>
    </x:row>
    <x:row r="444">
      <x:c r="A444" s="12" t="str">
        <x:v>E01001578</x:v>
      </x:c>
      <x:c r="B444" s="12" t="str">
        <x:v>Greenwich 003D</x:v>
      </x:c>
      <x:c r="C444" s="12" t="str">
        <x:v>Greenwich</x:v>
      </x:c>
      <x:c r="D444" s="44" t="n">
        <x:v>51.49119479468251</x:v>
      </x:c>
      <x:c r="E444" s="44" t="n">
        <x:v>0.11655666493505783</x:v>
      </x:c>
      <x:c r="F444" s="33" t="n">
        <x:v>848</x:v>
      </x:c>
      <x:c r="G444" s="33" t="n">
        <x:v>324</x:v>
      </x:c>
      <x:c r="H444" s="26" t="n">
        <x:v>0.38207547169811323</x:v>
      </x:c>
      <x:c r="I444" s="12" t="n">
        <x:v>0</x:v>
      </x:c>
      <x:c r="J444" s="12" t="n">
        <x:v>0</x:v>
      </x:c>
      <x:c r="K444" s="12"/>
      <x:c r="L444" s="12"/>
      <x:c r="M444" s="12" t="str">
        <x:f>IF(K444="", "", MAX(0,IF(K444&lt;=20,100,IF(K444&lt;=30,85,IF(K444&lt;=40,70,IF(K444&lt;=50,55,IF(K444&lt;=60,40,20)))))-MIN(L444*5,20)))</x:f>
      </x:c>
      <x:c r="N444" s="12"/>
      <x:c r="O444" s="12"/>
      <x:c r="P444" s="12" t="str">
        <x:f>IF(OR(H444="",J444="",M444=""),"",ROUND(PERCENTRANK.INC($H$2:$H$941,H444)*35+J444*0.35+M444*0.30,0))</x:f>
      </x:c>
      <x:c r="Q444" s="12" t="str">
        <x:f>IF(P444="","",IF(P444&gt;=80,"ATTACK",IF(P444&gt;=65,"GROW",IF(P444&gt;=50,"PARTNER","WATCH"))))</x:f>
      </x:c>
      <x:c r="R444" s="12" t="str">
        <x:f>IF(Q444="","",IF(Q444="ATTACK","Grassroots + family acquisition",IF(Q444="GROW","Test local campaign",IF(Q444="PARTNER","Organisation-first partnership","Low priority / validate"))))</x:f>
      </x:c>
      <x:c r="S444" s="45" t="n">
        <x:v>13.08060624557533</x:v>
      </x:c>
      <x:c r="T444" t="str">
        <x:v>EXTENDED</x:v>
      </x:c>
      <x:c r="U444" s="32" t="n">
        <x:f>PERCENTRANK.INC($G$2:$G$941,G444)</x:f>
        <x:v>0.97</x:v>
      </x:c>
      <x:c r="V444" s="32" t="n">
        <x:f>PERCENTRANK.INC($H$2:$H$941,H444)</x:f>
        <x:v>0.84</x:v>
      </x:c>
      <x:c r="W444" t="n">
        <x:f>ROUND((U444*55+V444*45)*IF(S444&lt;=5,1,IF(S444&lt;=10,0.95,IF(S444&lt;=20,0.85,0.70))),0)</x:f>
        <x:v>77</x:v>
      </x:c>
      <x:c r="X444" t="n">
        <x:v>43</x:v>
      </x:c>
      <x:c r="Y444" t="str">
        <x:v>WATCH</x:v>
      </x:c>
      <x:c r="Z444" s="12" t="str">
        <x:v>Family + verified grassroots + straight-line geo only; transport not yet routed</x:v>
      </x:c>
      <x:c r="AA444" s="12"/>
      <x:c r="AB444" s="12"/>
      <x:c r="AC444" s="12"/>
      <x:c r="AD444" s="12"/>
      <x:c r="AE444" t="str">
        <x:v>Charlton Athletic Women</x:v>
      </x:c>
      <x:c r="AF444" s="45" t="n">
        <x:v>5.592634002195753</x:v>
      </x:c>
      <x:c r="AG444" t="str">
        <x:v>Millwall Lionesses</x:v>
      </x:c>
      <x:c r="AH444" s="45" t="n">
        <x:v>10.9793192842046</x:v>
      </x:c>
      <x:c r="AI444" t="n">
        <x:v>76</x:v>
      </x:c>
      <x:c r="AJ444" t="str">
        <x:v>HIGH</x:v>
      </x:c>
    </x:row>
    <x:row r="445">
      <x:c r="A445" s="12" t="str">
        <x:v>E01001579</x:v>
      </x:c>
      <x:c r="B445" s="12" t="str">
        <x:v>Greenwich 003E</x:v>
      </x:c>
      <x:c r="C445" s="12" t="str">
        <x:v>Greenwich</x:v>
      </x:c>
      <x:c r="D445" s="44" t="n">
        <x:v>51.49124430198005</x:v>
      </x:c>
      <x:c r="E445" s="44" t="n">
        <x:v>0.10582816820004204</x:v>
      </x:c>
      <x:c r="F445" s="33" t="n">
        <x:v>623</x:v>
      </x:c>
      <x:c r="G445" s="33" t="n">
        <x:v>254</x:v>
      </x:c>
      <x:c r="H445" s="26" t="n">
        <x:v>0.40770465489566615</x:v>
      </x:c>
      <x:c r="I445" s="12" t="n">
        <x:v>0</x:v>
      </x:c>
      <x:c r="J445" s="12" t="n">
        <x:v>0</x:v>
      </x:c>
      <x:c r="K445" s="12"/>
      <x:c r="L445" s="12"/>
      <x:c r="M445" s="12" t="str">
        <x:f>IF(K445="", "", MAX(0,IF(K445&lt;=20,100,IF(K445&lt;=30,85,IF(K445&lt;=40,70,IF(K445&lt;=50,55,IF(K445&lt;=60,40,20)))))-MIN(L445*5,20)))</x:f>
      </x:c>
      <x:c r="N445" s="12"/>
      <x:c r="O445" s="12"/>
      <x:c r="P445" s="12" t="str">
        <x:f>IF(OR(H445="",J445="",M445=""),"",ROUND(PERCENTRANK.INC($H$2:$H$941,H445)*35+J445*0.35+M445*0.30,0))</x:f>
      </x:c>
      <x:c r="Q445" s="12" t="str">
        <x:f>IF(P445="","",IF(P445&gt;=80,"ATTACK",IF(P445&gt;=65,"GROW",IF(P445&gt;=50,"PARTNER","WATCH"))))</x:f>
      </x:c>
      <x:c r="R445" s="12" t="str">
        <x:f>IF(Q445="","",IF(Q445="ATTACK","Grassroots + family acquisition",IF(Q445="GROW","Test local campaign",IF(Q445="PARTNER","Organisation-first partnership","Low priority / validate"))))</x:f>
      </x:c>
      <x:c r="S445" s="45" t="n">
        <x:v>12.711769582904857</x:v>
      </x:c>
      <x:c r="T445" t="str">
        <x:v>EXTENDED</x:v>
      </x:c>
      <x:c r="U445" s="32" t="n">
        <x:f>PERCENTRANK.INC($G$2:$G$941,G445)</x:f>
        <x:v>0.804</x:v>
      </x:c>
      <x:c r="V445" s="32" t="n">
        <x:f>PERCENTRANK.INC($H$2:$H$941,H445)</x:f>
        <x:v>0.931</x:v>
      </x:c>
      <x:c r="W445" t="n">
        <x:f>ROUND((U445*55+V445*45)*IF(S445&lt;=5,1,IF(S445&lt;=10,0.95,IF(S445&lt;=20,0.85,0.70))),0)</x:f>
        <x:v>73</x:v>
      </x:c>
      <x:c r="X445" t="n">
        <x:v>40</x:v>
      </x:c>
      <x:c r="Y445" t="str">
        <x:v>WATCH</x:v>
      </x:c>
      <x:c r="Z445" s="12" t="str">
        <x:v>Family + verified grassroots + straight-line geo only; transport not yet routed</x:v>
      </x:c>
      <x:c r="AA445" s="12"/>
      <x:c r="AB445" s="12"/>
      <x:c r="AC445" s="12"/>
      <x:c r="AD445" s="12"/>
      <x:c r="AE445" t="str">
        <x:v>Charlton Athletic Women</x:v>
      </x:c>
      <x:c r="AF445" s="45" t="n">
        <x:v>4.854323880276476</x:v>
      </x:c>
      <x:c r="AG445" t="str">
        <x:v>Millwall Lionesses</x:v>
      </x:c>
      <x:c r="AH445" s="45" t="n">
        <x:v>10.244965194121916</x:v>
      </x:c>
      <x:c r="AI445" t="n">
        <x:v>76</x:v>
      </x:c>
      <x:c r="AJ445" t="str">
        <x:v>HIGH</x:v>
      </x:c>
    </x:row>
    <x:row r="446">
      <x:c r="A446" s="12" t="str">
        <x:v>E01001705</x:v>
      </x:c>
      <x:c r="B446" s="12" t="str">
        <x:v>Greenwich 005A</x:v>
      </x:c>
      <x:c r="C446" s="12" t="str">
        <x:v>Greenwich</x:v>
      </x:c>
      <x:c r="D446" s="44" t="n">
        <x:v>51.48914276663725</x:v>
      </x:c>
      <x:c r="E446" s="44" t="n">
        <x:v>0.056719335369026895</x:v>
      </x:c>
      <x:c r="F446" s="33" t="n">
        <x:v>845</x:v>
      </x:c>
      <x:c r="G446" s="33" t="n">
        <x:v>323</x:v>
      </x:c>
      <x:c r="H446" s="26" t="n">
        <x:v>0.38224852071005916</x:v>
      </x:c>
      <x:c r="I446" s="12" t="n">
        <x:v>0</x:v>
      </x:c>
      <x:c r="J446" s="12" t="n">
        <x:v>7</x:v>
      </x:c>
      <x:c r="K446" s="12"/>
      <x:c r="L446" s="12"/>
      <x:c r="M446" s="12" t="str">
        <x:f>IF(K446="", "", MAX(0,IF(K446&lt;=20,100,IF(K446&lt;=30,85,IF(K446&lt;=40,70,IF(K446&lt;=50,55,IF(K446&lt;=60,40,20)))))-MIN(L446*5,20)))</x:f>
      </x:c>
      <x:c r="N446" s="12"/>
      <x:c r="O446" s="12"/>
      <x:c r="P446" s="12" t="str">
        <x:f>IF(OR(H446="",J446="",M446=""),"",ROUND(PERCENTRANK.INC($H$2:$H$941,H446)*35+J446*0.35+M446*0.30,0))</x:f>
      </x:c>
      <x:c r="Q446" s="12" t="str">
        <x:f>IF(P446="","",IF(P446&gt;=80,"ATTACK",IF(P446&gt;=65,"GROW",IF(P446&gt;=50,"PARTNER","WATCH"))))</x:f>
      </x:c>
      <x:c r="R446" s="12" t="str">
        <x:f>IF(Q446="","",IF(Q446="ATTACK","Grassroots + family acquisition",IF(Q446="GROW","Test local campaign",IF(Q446="PARTNER","Organisation-first partnership","Low priority / validate"))))</x:f>
      </x:c>
      <x:c r="S446" s="45" t="n">
        <x:v>11.244676918111674</x:v>
      </x:c>
      <x:c r="T446" t="str">
        <x:v>EXTENDED</x:v>
      </x:c>
      <x:c r="U446" s="32" t="n">
        <x:f>PERCENTRANK.INC($G$2:$G$941,G446)</x:f>
        <x:v>0.969</x:v>
      </x:c>
      <x:c r="V446" s="32" t="n">
        <x:f>PERCENTRANK.INC($H$2:$H$941,H446)</x:f>
        <x:v>0.841</x:v>
      </x:c>
      <x:c r="W446" t="n">
        <x:f>ROUND((U446*55+V446*45)*IF(S446&lt;=5,1,IF(S446&lt;=10,0.95,IF(S446&lt;=20,0.85,0.70))),0)</x:f>
        <x:v>77</x:v>
      </x:c>
      <x:c r="X446" t="n">
        <x:v>46</x:v>
      </x:c>
      <x:c r="Y446" t="str">
        <x:v>WATCH</x:v>
      </x:c>
      <x:c r="Z446" s="12" t="str">
        <x:v>Family + verified grassroots + straight-line geo only; transport not yet routed</x:v>
      </x:c>
      <x:c r="AA446" s="12"/>
      <x:c r="AB446" s="12"/>
      <x:c r="AC446" s="12"/>
      <x:c r="AD446" s="12"/>
      <x:c r="AE446" t="str">
        <x:v>Charlton Athletic Women</x:v>
      </x:c>
      <x:c r="AF446" s="45" t="n">
        <x:v>1.4564917920938716</x:v>
      </x:c>
      <x:c r="AG446" t="str">
        <x:v>Millwall Lionesses</x:v>
      </x:c>
      <x:c r="AH446" s="45" t="n">
        <x:v>6.972223538997908</x:v>
      </x:c>
      <x:c r="AI446" t="n">
        <x:v>92</x:v>
      </x:c>
      <x:c r="AJ446" t="str">
        <x:v>HIGH</x:v>
      </x:c>
    </x:row>
    <x:row r="447">
      <x:c r="A447" s="12" t="str">
        <x:v>E01001708</x:v>
      </x:c>
      <x:c r="B447" s="12" t="str">
        <x:v>Greenwich 005C</x:v>
      </x:c>
      <x:c r="C447" s="12" t="str">
        <x:v>Greenwich</x:v>
      </x:c>
      <x:c r="D447" s="44" t="n">
        <x:v>51.4864771266323</x:v>
      </x:c>
      <x:c r="E447" s="44" t="n">
        <x:v>0.04876772640112389</x:v>
      </x:c>
      <x:c r="F447" s="33" t="n">
        <x:v>682</x:v>
      </x:c>
      <x:c r="G447" s="33" t="n">
        <x:v>226</x:v>
      </x:c>
      <x:c r="H447" s="26" t="n">
        <x:v>0.3313782991202346</x:v>
      </x:c>
      <x:c r="I447" s="12" t="n">
        <x:v>0</x:v>
      </x:c>
      <x:c r="J447" s="12" t="n">
        <x:v>7</x:v>
      </x:c>
      <x:c r="K447" s="12"/>
      <x:c r="L447" s="12"/>
      <x:c r="M447" s="12" t="str">
        <x:f>IF(K447="", "", MAX(0,IF(K447&lt;=20,100,IF(K447&lt;=30,85,IF(K447&lt;=40,70,IF(K447&lt;=50,55,IF(K447&lt;=60,40,20)))))-MIN(L447*5,20)))</x:f>
      </x:c>
      <x:c r="N447" s="12"/>
      <x:c r="O447" s="12"/>
      <x:c r="P447" s="12" t="str">
        <x:f>IF(OR(H447="",J447="",M447=""),"",ROUND(PERCENTRANK.INC($H$2:$H$941,H447)*35+J447*0.35+M447*0.30,0))</x:f>
      </x:c>
      <x:c r="Q447" s="12" t="str">
        <x:f>IF(P447="","",IF(P447&gt;=80,"ATTACK",IF(P447&gt;=65,"GROW",IF(P447&gt;=50,"PARTNER","WATCH"))))</x:f>
      </x:c>
      <x:c r="R447" s="12" t="str">
        <x:f>IF(Q447="","",IF(Q447="ATTACK","Grassroots + family acquisition",IF(Q447="GROW","Test local campaign",IF(Q447="PARTNER","Organisation-first partnership","Low priority / validate"))))</x:f>
      </x:c>
      <x:c r="S447" s="45" t="n">
        <x:v>10.834385121888038</x:v>
      </x:c>
      <x:c r="T447" t="str">
        <x:v>EXTENDED</x:v>
      </x:c>
      <x:c r="U447" s="32" t="n">
        <x:f>PERCENTRANK.INC($G$2:$G$941,G447)</x:f>
        <x:v>0.595</x:v>
      </x:c>
      <x:c r="V447" s="32" t="n">
        <x:f>PERCENTRANK.INC($H$2:$H$941,H447)</x:f>
        <x:v>0.578</x:v>
      </x:c>
      <x:c r="W447" t="n">
        <x:f>ROUND((U447*55+V447*45)*IF(S447&lt;=5,1,IF(S447&lt;=10,0.95,IF(S447&lt;=20,0.85,0.70))),0)</x:f>
        <x:v>50</x:v>
      </x:c>
      <x:c r="X447" t="n">
        <x:v>31</x:v>
      </x:c>
      <x:c r="Y447" t="str">
        <x:v>WATCH</x:v>
      </x:c>
      <x:c r="Z447" s="12" t="str">
        <x:v>Family + verified grassroots + straight-line geo only; transport not yet routed</x:v>
      </x:c>
      <x:c r="AA447" s="12"/>
      <x:c r="AB447" s="12"/>
      <x:c r="AC447" s="12"/>
      <x:c r="AD447" s="12"/>
      <x:c r="AE447" t="str">
        <x:v>Charlton Athletic Women</x:v>
      </x:c>
      <x:c r="AF447" s="45" t="n">
        <x:v>0.8737081087223304</x:v>
      </x:c>
      <x:c r="AG447" t="str">
        <x:v>Millwall Lionesses</x:v>
      </x:c>
      <x:c r="AH447" s="45" t="n">
        <x:v>6.537519456661381</x:v>
      </x:c>
      <x:c r="AI447" t="n">
        <x:v>92</x:v>
      </x:c>
      <x:c r="AJ447" t="str">
        <x:v>HIGH</x:v>
      </x:c>
    </x:row>
    <x:row r="448">
      <x:c r="A448" s="12" t="str">
        <x:v>E01001710</x:v>
      </x:c>
      <x:c r="B448" s="12" t="str">
        <x:v>Greenwich 005D</x:v>
      </x:c>
      <x:c r="C448" s="12" t="str">
        <x:v>Greenwich</x:v>
      </x:c>
      <x:c r="D448" s="44" t="n">
        <x:v>51.48877351772558</x:v>
      </x:c>
      <x:c r="E448" s="44" t="n">
        <x:v>0.05296601111752874</x:v>
      </x:c>
      <x:c r="F448" s="33" t="n">
        <x:v>648</x:v>
      </x:c>
      <x:c r="G448" s="33" t="n">
        <x:v>261</x:v>
      </x:c>
      <x:c r="H448" s="26" t="n">
        <x:v>0.4027777777777778</x:v>
      </x:c>
      <x:c r="I448" s="12" t="n">
        <x:v>0</x:v>
      </x:c>
      <x:c r="J448" s="12" t="n">
        <x:v>7</x:v>
      </x:c>
      <x:c r="K448" s="12"/>
      <x:c r="L448" s="12"/>
      <x:c r="M448" s="12" t="str">
        <x:f>IF(K448="", "", MAX(0,IF(K448&lt;=20,100,IF(K448&lt;=30,85,IF(K448&lt;=40,70,IF(K448&lt;=50,55,IF(K448&lt;=60,40,20)))))-MIN(L448*5,20)))</x:f>
      </x:c>
      <x:c r="N448" s="12"/>
      <x:c r="O448" s="12"/>
      <x:c r="P448" s="12" t="str">
        <x:f>IF(OR(H448="",J448="",M448=""),"",ROUND(PERCENTRANK.INC($H$2:$H$941,H448)*35+J448*0.35+M448*0.30,0))</x:f>
      </x:c>
      <x:c r="Q448" s="12" t="str">
        <x:f>IF(P448="","",IF(P448&gt;=80,"ATTACK",IF(P448&gt;=65,"GROW",IF(P448&gt;=50,"PARTNER","WATCH"))))</x:f>
      </x:c>
      <x:c r="R448" s="12" t="str">
        <x:f>IF(Q448="","",IF(Q448="ATTACK","Grassroots + family acquisition",IF(Q448="GROW","Test local campaign",IF(Q448="PARTNER","Organisation-first partnership","Low priority / validate"))))</x:f>
      </x:c>
      <x:c r="S448" s="45" t="n">
        <x:v>11.144913693854853</x:v>
      </x:c>
      <x:c r="T448" t="str">
        <x:v>EXTENDED</x:v>
      </x:c>
      <x:c r="U448" s="32" t="n">
        <x:f>PERCENTRANK.INC($G$2:$G$941,G448)</x:f>
        <x:v>0.832</x:v>
      </x:c>
      <x:c r="V448" s="32" t="n">
        <x:f>PERCENTRANK.INC($H$2:$H$941,H448)</x:f>
        <x:v>0.916</x:v>
      </x:c>
      <x:c r="W448" t="n">
        <x:f>ROUND((U448*55+V448*45)*IF(S448&lt;=5,1,IF(S448&lt;=10,0.95,IF(S448&lt;=20,0.85,0.70))),0)</x:f>
        <x:v>74</x:v>
      </x:c>
      <x:c r="X448" t="n">
        <x:v>44</x:v>
      </x:c>
      <x:c r="Y448" t="str">
        <x:v>WATCH</x:v>
      </x:c>
      <x:c r="Z448" s="12" t="str">
        <x:v>Family + verified grassroots + straight-line geo only; transport not yet routed</x:v>
      </x:c>
      <x:c r="AA448" s="12"/>
      <x:c r="AB448" s="12"/>
      <x:c r="AC448" s="12"/>
      <x:c r="AD448" s="12"/>
      <x:c r="AE448" t="str">
        <x:v>Charlton Athletic Women</x:v>
      </x:c>
      <x:c r="AF448" s="45" t="n">
        <x:v>1.1938684283463308</x:v>
      </x:c>
      <x:c r="AG448" t="str">
        <x:v>Millwall Lionesses</x:v>
      </x:c>
      <x:c r="AH448" s="45" t="n">
        <x:v>6.734221775338584</x:v>
      </x:c>
      <x:c r="AI448" t="n">
        <x:v>92</x:v>
      </x:c>
      <x:c r="AJ448" t="str">
        <x:v>HIGH</x:v>
      </x:c>
    </x:row>
    <x:row r="449">
      <x:c r="A449" s="12" t="str">
        <x:v>E01034173</x:v>
      </x:c>
      <x:c r="B449" s="12" t="str">
        <x:v>Greenwich 005F</x:v>
      </x:c>
      <x:c r="C449" s="12" t="str">
        <x:v>Greenwich</x:v>
      </x:c>
      <x:c r="D449" s="44" t="n">
        <x:v>51.48982955802677</x:v>
      </x:c>
      <x:c r="E449" s="44" t="n">
        <x:v>0.049596947018957845</x:v>
      </x:c>
      <x:c r="F449" s="33" t="n">
        <x:v>637</x:v>
      </x:c>
      <x:c r="G449" s="33" t="n">
        <x:v>243</x:v>
      </x:c>
      <x:c r="H449" s="26" t="n">
        <x:v>0.3814756671899529</x:v>
      </x:c>
      <x:c r="I449" s="12" t="n">
        <x:v>0</x:v>
      </x:c>
      <x:c r="J449" s="12" t="n">
        <x:v>7</x:v>
      </x:c>
      <x:c r="K449" s="12"/>
      <x:c r="L449" s="12"/>
      <x:c r="M449" s="12" t="str">
        <x:f>IF(K449="", "", MAX(0,IF(K449&lt;=20,100,IF(K449&lt;=30,85,IF(K449&lt;=40,70,IF(K449&lt;=50,55,IF(K449&lt;=60,40,20)))))-MIN(L449*5,20)))</x:f>
      </x:c>
      <x:c r="N449" s="12"/>
      <x:c r="O449" s="12"/>
      <x:c r="P449" s="12" t="str">
        <x:f>IF(OR(H449="",J449="",M449=""),"",ROUND(PERCENTRANK.INC($H$2:$H$941,H449)*35+J449*0.35+M449*0.30,0))</x:f>
      </x:c>
      <x:c r="Q449" s="12" t="str">
        <x:f>IF(P449="","",IF(P449&gt;=80,"ATTACK",IF(P449&gt;=65,"GROW",IF(P449&gt;=50,"PARTNER","WATCH"))))</x:f>
      </x:c>
      <x:c r="R449" s="12" t="str">
        <x:f>IF(Q449="","",IF(Q449="ATTACK","Grassroots + family acquisition",IF(Q449="GROW","Test local campaign",IF(Q449="PARTNER","Organisation-first partnership","Low priority / validate"))))</x:f>
      </x:c>
      <x:c r="S449" s="45" t="n">
        <x:v>11.21114468632381</x:v>
      </x:c>
      <x:c r="T449" t="str">
        <x:v>EXTENDED</x:v>
      </x:c>
      <x:c r="U449" s="32" t="n">
        <x:f>PERCENTRANK.INC($G$2:$G$941,G449)</x:f>
        <x:v>0.73</x:v>
      </x:c>
      <x:c r="V449" s="32" t="n">
        <x:f>PERCENTRANK.INC($H$2:$H$941,H449)</x:f>
        <x:v>0.835</x:v>
      </x:c>
      <x:c r="W449" t="n">
        <x:f>ROUND((U449*55+V449*45)*IF(S449&lt;=5,1,IF(S449&lt;=10,0.95,IF(S449&lt;=20,0.85,0.70))),0)</x:f>
        <x:v>66</x:v>
      </x:c>
      <x:c r="X449" t="n">
        <x:v>40</x:v>
      </x:c>
      <x:c r="Y449" t="str">
        <x:v>WATCH</x:v>
      </x:c>
      <x:c r="Z449" s="12" t="str">
        <x:v>Family + verified grassroots + straight-line geo only; transport not yet routed</x:v>
      </x:c>
      <x:c r="AA449" s="12"/>
      <x:c r="AB449" s="12"/>
      <x:c r="AC449" s="12"/>
      <x:c r="AD449" s="12"/>
      <x:c r="AE449" t="str">
        <x:v>Charlton Athletic Women</x:v>
      </x:c>
      <x:c r="AF449" s="45" t="n">
        <x:v>1.0061203502696314</x:v>
      </x:c>
      <x:c r="AG449" t="str">
        <x:v>Millwall Lionesses</x:v>
      </x:c>
      <x:c r="AH449" s="45" t="n">
        <x:v>6.4771973018038445</x:v>
      </x:c>
      <x:c r="AI449" t="n">
        <x:v>92</x:v>
      </x:c>
      <x:c r="AJ449" t="str">
        <x:v>HIGH</x:v>
      </x:c>
    </x:row>
    <x:row r="450">
      <x:c r="A450" s="12" t="str">
        <x:v>E01001672</x:v>
      </x:c>
      <x:c r="B450" s="12" t="str">
        <x:v>Greenwich 006A</x:v>
      </x:c>
      <x:c r="C450" s="12" t="str">
        <x:v>Greenwich</x:v>
      </x:c>
      <x:c r="D450" s="44" t="n">
        <x:v>51.48910883600315</x:v>
      </x:c>
      <x:c r="E450" s="44" t="n">
        <x:v>0.09303134520213749</x:v>
      </x:c>
      <x:c r="F450" s="33" t="n">
        <x:v>640</x:v>
      </x:c>
      <x:c r="G450" s="33" t="n">
        <x:v>255</x:v>
      </x:c>
      <x:c r="H450" s="26" t="n">
        <x:v>0.3984375</x:v>
      </x:c>
      <x:c r="I450" s="12" t="n">
        <x:v>0</x:v>
      </x:c>
      <x:c r="J450" s="12" t="n">
        <x:v>8</x:v>
      </x:c>
      <x:c r="K450" s="12"/>
      <x:c r="L450" s="12"/>
      <x:c r="M450" s="12" t="str">
        <x:f>IF(K450="", "", MAX(0,IF(K450&lt;=20,100,IF(K450&lt;=30,85,IF(K450&lt;=40,70,IF(K450&lt;=50,55,IF(K450&lt;=60,40,20)))))-MIN(L450*5,20)))</x:f>
      </x:c>
      <x:c r="N450" s="12"/>
      <x:c r="O450" s="12"/>
      <x:c r="P450" s="12" t="str">
        <x:f>IF(OR(H450="",J450="",M450=""),"",ROUND(PERCENTRANK.INC($H$2:$H$941,H450)*35+J450*0.35+M450*0.30,0))</x:f>
      </x:c>
      <x:c r="Q450" s="12" t="str">
        <x:f>IF(P450="","",IF(P450&gt;=80,"ATTACK",IF(P450&gt;=65,"GROW",IF(P450&gt;=50,"PARTNER","WATCH"))))</x:f>
      </x:c>
      <x:c r="R450" s="12" t="str">
        <x:f>IF(Q450="","",IF(Q450="ATTACK","Grassroots + family acquisition",IF(Q450="GROW","Test local campaign",IF(Q450="PARTNER","Organisation-first partnership","Low priority / validate"))))</x:f>
      </x:c>
      <x:c r="S450" s="45" t="n">
        <x:v>12.095658754626838</x:v>
      </x:c>
      <x:c r="T450" t="str">
        <x:v>EXTENDED</x:v>
      </x:c>
      <x:c r="U450" s="32" t="n">
        <x:f>PERCENTRANK.INC($G$2:$G$941,G450)</x:f>
        <x:v>0.806</x:v>
      </x:c>
      <x:c r="V450" s="32" t="n">
        <x:f>PERCENTRANK.INC($H$2:$H$941,H450)</x:f>
        <x:v>0.899</x:v>
      </x:c>
      <x:c r="W450" t="n">
        <x:f>ROUND((U450*55+V450*45)*IF(S450&lt;=5,1,IF(S450&lt;=10,0.95,IF(S450&lt;=20,0.85,0.70))),0)</x:f>
        <x:v>72</x:v>
      </x:c>
      <x:c r="X450" t="n">
        <x:v>43</x:v>
      </x:c>
      <x:c r="Y450" t="str">
        <x:v>WATCH</x:v>
      </x:c>
      <x:c r="Z450" s="12" t="str">
        <x:v>Family + verified grassroots + straight-line geo only; transport not yet routed</x:v>
      </x:c>
      <x:c r="AA450" s="12"/>
      <x:c r="AB450" s="12"/>
      <x:c r="AC450" s="12"/>
      <x:c r="AD450" s="12"/>
      <x:c r="AE450" t="str">
        <x:v>Charlton Athletic Women</x:v>
      </x:c>
      <x:c r="AF450" s="45" t="n">
        <x:v>3.949918003424735</x:v>
      </x:c>
      <x:c r="AG450" t="str">
        <x:v>Millwall Lionesses</x:v>
      </x:c>
      <x:c r="AH450" s="45" t="n">
        <x:v>9.417053664071267</x:v>
      </x:c>
      <x:c r="AI450" t="n">
        <x:v>81</x:v>
      </x:c>
      <x:c r="AJ450" t="str">
        <x:v>HIGH</x:v>
      </x:c>
    </x:row>
    <x:row r="451">
      <x:c r="A451" s="12" t="str">
        <x:v>E01001673</x:v>
      </x:c>
      <x:c r="B451" s="12" t="str">
        <x:v>Greenwich 006B</x:v>
      </x:c>
      <x:c r="C451" s="12" t="str">
        <x:v>Greenwich</x:v>
      </x:c>
      <x:c r="D451" s="44" t="n">
        <x:v>51.488129036922814</x:v>
      </x:c>
      <x:c r="E451" s="44" t="n">
        <x:v>0.09072314193867649</x:v>
      </x:c>
      <x:c r="F451" s="33" t="n">
        <x:v>799</x:v>
      </x:c>
      <x:c r="G451" s="33" t="n">
        <x:v>253</x:v>
      </x:c>
      <x:c r="H451" s="26" t="n">
        <x:v>0.3166458072590738</x:v>
      </x:c>
      <x:c r="I451" s="12" t="n">
        <x:v>0</x:v>
      </x:c>
      <x:c r="J451" s="12" t="n">
        <x:v>8</x:v>
      </x:c>
      <x:c r="K451" s="12"/>
      <x:c r="L451" s="12"/>
      <x:c r="M451" s="12" t="str">
        <x:f>IF(K451="", "", MAX(0,IF(K451&lt;=20,100,IF(K451&lt;=30,85,IF(K451&lt;=40,70,IF(K451&lt;=50,55,IF(K451&lt;=60,40,20)))))-MIN(L451*5,20)))</x:f>
      </x:c>
      <x:c r="N451" s="12"/>
      <x:c r="O451" s="12"/>
      <x:c r="P451" s="12" t="str">
        <x:f>IF(OR(H451="",J451="",M451=""),"",ROUND(PERCENTRANK.INC($H$2:$H$941,H451)*35+J451*0.35+M451*0.30,0))</x:f>
      </x:c>
      <x:c r="Q451" s="12" t="str">
        <x:f>IF(P451="","",IF(P451&gt;=80,"ATTACK",IF(P451&gt;=65,"GROW",IF(P451&gt;=50,"PARTNER","WATCH"))))</x:f>
      </x:c>
      <x:c r="R451" s="12" t="str">
        <x:f>IF(Q451="","",IF(Q451="ATTACK","Grassroots + family acquisition",IF(Q451="GROW","Test local campaign",IF(Q451="PARTNER","Organisation-first partnership","Low priority / validate"))))</x:f>
      </x:c>
      <x:c r="S451" s="45" t="n">
        <x:v>11.928748720507176</x:v>
      </x:c>
      <x:c r="T451" t="str">
        <x:v>EXTENDED</x:v>
      </x:c>
      <x:c r="U451" s="32" t="n">
        <x:f>PERCENTRANK.INC($G$2:$G$941,G451)</x:f>
        <x:v>0.8</x:v>
      </x:c>
      <x:c r="V451" s="32" t="n">
        <x:f>PERCENTRANK.INC($H$2:$H$941,H451)</x:f>
        <x:v>0.494</x:v>
      </x:c>
      <x:c r="W451" t="n">
        <x:f>ROUND((U451*55+V451*45)*IF(S451&lt;=5,1,IF(S451&lt;=10,0.95,IF(S451&lt;=20,0.85,0.70))),0)</x:f>
        <x:v>56</x:v>
      </x:c>
      <x:c r="X451" t="n">
        <x:v>35</x:v>
      </x:c>
      <x:c r="Y451" t="str">
        <x:v>WATCH</x:v>
      </x:c>
      <x:c r="Z451" s="12" t="str">
        <x:v>Family + verified grassroots + straight-line geo only; transport not yet routed</x:v>
      </x:c>
      <x:c r="AA451" s="12"/>
      <x:c r="AB451" s="12"/>
      <x:c r="AC451" s="12"/>
      <x:c r="AD451" s="12"/>
      <x:c r="AE451" t="str">
        <x:v>Charlton Athletic Women</x:v>
      </x:c>
      <x:c r="AF451" s="45" t="n">
        <x:v>3.783527166352198</x:v>
      </x:c>
      <x:c r="AG451" t="str">
        <x:v>Millwall Lionesses</x:v>
      </x:c>
      <x:c r="AH451" s="45" t="n">
        <x:v>9.283611937400849</x:v>
      </x:c>
      <x:c r="AI451" t="n">
        <x:v>81</x:v>
      </x:c>
      <x:c r="AJ451" t="str">
        <x:v>HIGH</x:v>
      </x:c>
    </x:row>
    <x:row r="452">
      <x:c r="A452" s="12" t="str">
        <x:v>E01001674</x:v>
      </x:c>
      <x:c r="B452" s="12" t="str">
        <x:v>Greenwich 006C</x:v>
      </x:c>
      <x:c r="C452" s="12" t="str">
        <x:v>Greenwich</x:v>
      </x:c>
      <x:c r="D452" s="44" t="n">
        <x:v>51.48826984383196</x:v>
      </x:c>
      <x:c r="E452" s="44" t="n">
        <x:v>0.09988250941303695</x:v>
      </x:c>
      <x:c r="F452" s="33" t="n">
        <x:v>712</x:v>
      </x:c>
      <x:c r="G452" s="33" t="n">
        <x:v>280</x:v>
      </x:c>
      <x:c r="H452" s="26" t="n">
        <x:v>0.39325842696629215</x:v>
      </x:c>
      <x:c r="I452" s="12" t="n">
        <x:v>0</x:v>
      </x:c>
      <x:c r="J452" s="12" t="n">
        <x:v>8</x:v>
      </x:c>
      <x:c r="K452" s="12"/>
      <x:c r="L452" s="12"/>
      <x:c r="M452" s="12" t="str">
        <x:f>IF(K452="", "", MAX(0,IF(K452&lt;=20,100,IF(K452&lt;=30,85,IF(K452&lt;=40,70,IF(K452&lt;=50,55,IF(K452&lt;=60,40,20)))))-MIN(L452*5,20)))</x:f>
      </x:c>
      <x:c r="N452" s="12"/>
      <x:c r="O452" s="12"/>
      <x:c r="P452" s="12" t="str">
        <x:f>IF(OR(H452="",J452="",M452=""),"",ROUND(PERCENTRANK.INC($H$2:$H$941,H452)*35+J452*0.35+M452*0.30,0))</x:f>
      </x:c>
      <x:c r="Q452" s="12" t="str">
        <x:f>IF(P452="","",IF(P452&gt;=80,"ATTACK",IF(P452&gt;=65,"GROW",IF(P452&gt;=50,"PARTNER","WATCH"))))</x:f>
      </x:c>
      <x:c r="R452" s="12" t="str">
        <x:f>IF(Q452="","",IF(Q452="ATTACK","Grassroots + family acquisition",IF(Q452="GROW","Test local campaign",IF(Q452="PARTNER","Organisation-first partnership","Low priority / validate"))))</x:f>
      </x:c>
      <x:c r="S452" s="45" t="n">
        <x:v>12.22547081337645</x:v>
      </x:c>
      <x:c r="T452" t="str">
        <x:v>EXTENDED</x:v>
      </x:c>
      <x:c r="U452" s="32" t="n">
        <x:f>PERCENTRANK.INC($G$2:$G$941,G452)</x:f>
        <x:v>0.9</x:v>
      </x:c>
      <x:c r="V452" s="32" t="n">
        <x:f>PERCENTRANK.INC($H$2:$H$941,H452)</x:f>
        <x:v>0.886</x:v>
      </x:c>
      <x:c r="W452" t="n">
        <x:f>ROUND((U452*55+V452*45)*IF(S452&lt;=5,1,IF(S452&lt;=10,0.95,IF(S452&lt;=20,0.85,0.70))),0)</x:f>
        <x:v>76</x:v>
      </x:c>
      <x:c r="X452" t="n">
        <x:v>46</x:v>
      </x:c>
      <x:c r="Y452" t="str">
        <x:v>WATCH</x:v>
      </x:c>
      <x:c r="Z452" s="12" t="str">
        <x:v>Family + verified grassroots + straight-line geo only; transport not yet routed</x:v>
      </x:c>
      <x:c r="AA452" s="12"/>
      <x:c r="AB452" s="12"/>
      <x:c r="AC452" s="12"/>
      <x:c r="AD452" s="12"/>
      <x:c r="AE452" t="str">
        <x:v>Charlton Athletic Women</x:v>
      </x:c>
      <x:c r="AF452" s="45" t="n">
        <x:v>4.417721487540766</x:v>
      </x:c>
      <x:c r="AG452" t="str">
        <x:v>Millwall Lionesses</x:v>
      </x:c>
      <x:c r="AH452" s="45" t="n">
        <x:v>9.900478881351257</x:v>
      </x:c>
      <x:c r="AI452" t="n">
        <x:v>81</x:v>
      </x:c>
      <x:c r="AJ452" t="str">
        <x:v>HIGH</x:v>
      </x:c>
    </x:row>
    <x:row r="453">
      <x:c r="A453" s="12" t="str">
        <x:v>E01001675</x:v>
      </x:c>
      <x:c r="B453" s="12" t="str">
        <x:v>Greenwich 006D</x:v>
      </x:c>
      <x:c r="C453" s="12" t="str">
        <x:v>Greenwich</x:v>
      </x:c>
      <x:c r="D453" s="44" t="n">
        <x:v>51.48616487419009</x:v>
      </x:c>
      <x:c r="E453" s="44" t="n">
        <x:v>0.090134751579353</x:v>
      </x:c>
      <x:c r="F453" s="33" t="n">
        <x:v>699</x:v>
      </x:c>
      <x:c r="G453" s="33" t="n">
        <x:v>272</x:v>
      </x:c>
      <x:c r="H453" s="26" t="n">
        <x:v>0.38912732474964234</x:v>
      </x:c>
      <x:c r="I453" s="12" t="n">
        <x:v>0</x:v>
      </x:c>
      <x:c r="J453" s="12" t="n">
        <x:v>8</x:v>
      </x:c>
      <x:c r="K453" s="12"/>
      <x:c r="L453" s="12"/>
      <x:c r="M453" s="12" t="str">
        <x:f>IF(K453="", "", MAX(0,IF(K453&lt;=20,100,IF(K453&lt;=30,85,IF(K453&lt;=40,70,IF(K453&lt;=50,55,IF(K453&lt;=60,40,20)))))-MIN(L453*5,20)))</x:f>
      </x:c>
      <x:c r="N453" s="12"/>
      <x:c r="O453" s="12"/>
      <x:c r="P453" s="12" t="str">
        <x:f>IF(OR(H453="",J453="",M453=""),"",ROUND(PERCENTRANK.INC($H$2:$H$941,H453)*35+J453*0.35+M453*0.30,0))</x:f>
      </x:c>
      <x:c r="Q453" s="12" t="str">
        <x:f>IF(P453="","",IF(P453&gt;=80,"ATTACK",IF(P453&gt;=65,"GROW",IF(P453&gt;=50,"PARTNER","WATCH"))))</x:f>
      </x:c>
      <x:c r="R453" s="12" t="str">
        <x:f>IF(Q453="","",IF(Q453="ATTACK","Grassroots + family acquisition",IF(Q453="GROW","Test local campaign",IF(Q453="PARTNER","Organisation-first partnership","Low priority / validate"))))</x:f>
      </x:c>
      <x:c r="S453" s="45" t="n">
        <x:v>11.713849421848238</x:v>
      </x:c>
      <x:c r="T453" t="str">
        <x:v>EXTENDED</x:v>
      </x:c>
      <x:c r="U453" s="32" t="n">
        <x:f>PERCENTRANK.INC($G$2:$G$941,G453)</x:f>
        <x:v>0.874</x:v>
      </x:c>
      <x:c r="V453" s="32" t="n">
        <x:f>PERCENTRANK.INC($H$2:$H$941,H453)</x:f>
        <x:v>0.871</x:v>
      </x:c>
      <x:c r="W453" t="n">
        <x:f>ROUND((U453*55+V453*45)*IF(S453&lt;=5,1,IF(S453&lt;=10,0.95,IF(S453&lt;=20,0.85,0.70))),0)</x:f>
        <x:v>74</x:v>
      </x:c>
      <x:c r="X453" t="n">
        <x:v>44</x:v>
      </x:c>
      <x:c r="Y453" t="str">
        <x:v>WATCH</x:v>
      </x:c>
      <x:c r="Z453" s="12" t="str">
        <x:v>Family + verified grassroots + straight-line geo only; transport not yet routed</x:v>
      </x:c>
      <x:c r="AA453" s="12"/>
      <x:c r="AB453" s="12"/>
      <x:c r="AC453" s="12"/>
      <x:c r="AD453" s="12"/>
      <x:c r="AE453" t="str">
        <x:v>Charlton Athletic Women</x:v>
      </x:c>
      <x:c r="AF453" s="45" t="n">
        <x:v>3.7380709928316986</x:v>
      </x:c>
      <x:c r="AG453" t="str">
        <x:v>Millwall Lionesses</x:v>
      </x:c>
      <x:c r="AH453" s="45" t="n">
        <x:v>9.293851993039045</x:v>
      </x:c>
      <x:c r="AI453" t="n">
        <x:v>81</x:v>
      </x:c>
      <x:c r="AJ453" t="str">
        <x:v>HIGH</x:v>
      </x:c>
    </x:row>
    <x:row r="454">
      <x:c r="A454" s="12" t="str">
        <x:v>E01001677</x:v>
      </x:c>
      <x:c r="B454" s="12" t="str">
        <x:v>Greenwich 006E</x:v>
      </x:c>
      <x:c r="C454" s="12" t="str">
        <x:v>Greenwich</x:v>
      </x:c>
      <x:c r="D454" s="44" t="n">
        <x:v>51.48491626715506</x:v>
      </x:c>
      <x:c r="E454" s="44" t="n">
        <x:v>0.09651248451707119</x:v>
      </x:c>
      <x:c r="F454" s="33" t="n">
        <x:v>730</x:v>
      </x:c>
      <x:c r="G454" s="33" t="n">
        <x:v>280</x:v>
      </x:c>
      <x:c r="H454" s="26" t="n">
        <x:v>0.3835616438356164</x:v>
      </x:c>
      <x:c r="I454" s="12" t="n">
        <x:v>0</x:v>
      </x:c>
      <x:c r="J454" s="12" t="n">
        <x:v>8</x:v>
      </x:c>
      <x:c r="K454" s="12"/>
      <x:c r="L454" s="12"/>
      <x:c r="M454" s="12" t="str">
        <x:f>IF(K454="", "", MAX(0,IF(K454&lt;=20,100,IF(K454&lt;=30,85,IF(K454&lt;=40,70,IF(K454&lt;=50,55,IF(K454&lt;=60,40,20)))))-MIN(L454*5,20)))</x:f>
      </x:c>
      <x:c r="N454" s="12"/>
      <x:c r="O454" s="12"/>
      <x:c r="P454" s="12" t="str">
        <x:f>IF(OR(H454="",J454="",M454=""),"",ROUND(PERCENTRANK.INC($H$2:$H$941,H454)*35+J454*0.35+M454*0.30,0))</x:f>
      </x:c>
      <x:c r="Q454" s="12" t="str">
        <x:f>IF(P454="","",IF(P454&gt;=80,"ATTACK",IF(P454&gt;=65,"GROW",IF(P454&gt;=50,"PARTNER","WATCH"))))</x:f>
      </x:c>
      <x:c r="R454" s="12" t="str">
        <x:f>IF(Q454="","",IF(Q454="ATTACK","Grassroots + family acquisition",IF(Q454="GROW","Test local campaign",IF(Q454="PARTNER","Organisation-first partnership","Low priority / validate"))))</x:f>
      </x:c>
      <x:c r="S454" s="45" t="n">
        <x:v>11.786827227927505</x:v>
      </x:c>
      <x:c r="T454" t="str">
        <x:v>EXTENDED</x:v>
      </x:c>
      <x:c r="U454" s="32" t="n">
        <x:f>PERCENTRANK.INC($G$2:$G$941,G454)</x:f>
        <x:v>0.9</x:v>
      </x:c>
      <x:c r="V454" s="32" t="n">
        <x:f>PERCENTRANK.INC($H$2:$H$941,H454)</x:f>
        <x:v>0.848</x:v>
      </x:c>
      <x:c r="W454" t="n">
        <x:f>ROUND((U454*55+V454*45)*IF(S454&lt;=5,1,IF(S454&lt;=10,0.95,IF(S454&lt;=20,0.85,0.70))),0)</x:f>
        <x:v>75</x:v>
      </x:c>
      <x:c r="X454" t="n">
        <x:v>45</x:v>
      </x:c>
      <x:c r="Y454" t="str">
        <x:v>WATCH</x:v>
      </x:c>
      <x:c r="Z454" s="12" t="str">
        <x:v>Family + verified grassroots + straight-line geo only; transport not yet routed</x:v>
      </x:c>
      <x:c r="AA454" s="12"/>
      <x:c r="AB454" s="12"/>
      <x:c r="AC454" s="12"/>
      <x:c r="AD454" s="12"/>
      <x:c r="AE454" t="str">
        <x:v>Charlton Athletic Women</x:v>
      </x:c>
      <x:c r="AF454" s="45" t="n">
        <x:v>4.182894845256842</x:v>
      </x:c>
      <x:c r="AG454" t="str">
        <x:v>Millwall Lionesses</x:v>
      </x:c>
      <x:c r="AH454" s="45" t="n">
        <x:v>9.755922993137165</x:v>
      </x:c>
      <x:c r="AI454" t="n">
        <x:v>81</x:v>
      </x:c>
      <x:c r="AJ454" t="str">
        <x:v>HIGH</x:v>
      </x:c>
    </x:row>
    <x:row r="455">
      <x:c r="A455" s="12" t="str">
        <x:v>E01001631</x:v>
      </x:c>
      <x:c r="B455" s="12" t="str">
        <x:v>Greenwich 007B</x:v>
      </x:c>
      <x:c r="C455" s="12" t="str">
        <x:v>Greenwich</x:v>
      </x:c>
      <x:c r="D455" s="44" t="n">
        <x:v>51.48896840540728</x:v>
      </x:c>
      <x:c r="E455" s="44" t="n">
        <x:v>0.08248644828428237</x:v>
      </x:c>
      <x:c r="F455" s="33" t="n">
        <x:v>788</x:v>
      </x:c>
      <x:c r="G455" s="33" t="n">
        <x:v>304</x:v>
      </x:c>
      <x:c r="H455" s="26" t="n">
        <x:v>0.38578680203045684</x:v>
      </x:c>
      <x:c r="I455" s="12" t="n">
        <x:v>0</x:v>
      </x:c>
      <x:c r="J455" s="12" t="n">
        <x:v>8</x:v>
      </x:c>
      <x:c r="K455" s="12"/>
      <x:c r="L455" s="12"/>
      <x:c r="M455" s="12" t="str">
        <x:f>IF(K455="", "", MAX(0,IF(K455&lt;=20,100,IF(K455&lt;=30,85,IF(K455&lt;=40,70,IF(K455&lt;=50,55,IF(K455&lt;=60,40,20)))))-MIN(L455*5,20)))</x:f>
      </x:c>
      <x:c r="N455" s="12"/>
      <x:c r="O455" s="12"/>
      <x:c r="P455" s="12" t="str">
        <x:f>IF(OR(H455="",J455="",M455=""),"",ROUND(PERCENTRANK.INC($H$2:$H$941,H455)*35+J455*0.35+M455*0.30,0))</x:f>
      </x:c>
      <x:c r="Q455" s="12" t="str">
        <x:f>IF(P455="","",IF(P455&gt;=80,"ATTACK",IF(P455&gt;=65,"GROW",IF(P455&gt;=50,"PARTNER","WATCH"))))</x:f>
      </x:c>
      <x:c r="R455" s="12" t="str">
        <x:f>IF(Q455="","",IF(Q455="ATTACK","Grassroots + family acquisition",IF(Q455="GROW","Test local campaign",IF(Q455="PARTNER","Organisation-first partnership","Low priority / validate"))))</x:f>
      </x:c>
      <x:c r="S455" s="45" t="n">
        <x:v>11.784199223073138</x:v>
      </x:c>
      <x:c r="T455" t="str">
        <x:v>EXTENDED</x:v>
      </x:c>
      <x:c r="U455" s="32" t="n">
        <x:f>PERCENTRANK.INC($G$2:$G$941,G455)</x:f>
        <x:v>0.945</x:v>
      </x:c>
      <x:c r="V455" s="32" t="n">
        <x:f>PERCENTRANK.INC($H$2:$H$941,H455)</x:f>
        <x:v>0.864</x:v>
      </x:c>
      <x:c r="W455" t="n">
        <x:f>ROUND((U455*55+V455*45)*IF(S455&lt;=5,1,IF(S455&lt;=10,0.95,IF(S455&lt;=20,0.85,0.70))),0)</x:f>
        <x:v>77</x:v>
      </x:c>
      <x:c r="X455" t="n">
        <x:v>46</x:v>
      </x:c>
      <x:c r="Y455" t="str">
        <x:v>WATCH</x:v>
      </x:c>
      <x:c r="Z455" s="12" t="str">
        <x:v>Family + verified grassroots + straight-line geo only; transport not yet routed</x:v>
      </x:c>
      <x:c r="AA455" s="12"/>
      <x:c r="AB455" s="12"/>
      <x:c r="AC455" s="12"/>
      <x:c r="AD455" s="12"/>
      <x:c r="AE455" t="str">
        <x:v>Charlton Athletic Women</x:v>
      </x:c>
      <x:c r="AF455" s="45" t="n">
        <x:v>3.2209880563743085</x:v>
      </x:c>
      <x:c r="AG455" t="str">
        <x:v>Millwall Lionesses</x:v>
      </x:c>
      <x:c r="AH455" s="45" t="n">
        <x:v>8.706709390053913</x:v>
      </x:c>
      <x:c r="AI455" t="n">
        <x:v>81</x:v>
      </x:c>
      <x:c r="AJ455" t="str">
        <x:v>HIGH</x:v>
      </x:c>
    </x:row>
    <x:row r="456">
      <x:c r="A456" s="12" t="str">
        <x:v>E01001632</x:v>
      </x:c>
      <x:c r="B456" s="12" t="str">
        <x:v>Greenwich 007C</x:v>
      </x:c>
      <x:c r="C456" s="12" t="str">
        <x:v>Greenwich</x:v>
      </x:c>
      <x:c r="D456" s="44" t="n">
        <x:v>51.48609323802527</x:v>
      </x:c>
      <x:c r="E456" s="44" t="n">
        <x:v>0.08472202371706242</x:v>
      </x:c>
      <x:c r="F456" s="33" t="n">
        <x:v>664</x:v>
      </x:c>
      <x:c r="G456" s="33" t="n">
        <x:v>229</x:v>
      </x:c>
      <x:c r="H456" s="26" t="n">
        <x:v>0.34487951807228917</x:v>
      </x:c>
      <x:c r="I456" s="12" t="n">
        <x:v>0</x:v>
      </x:c>
      <x:c r="J456" s="12" t="n">
        <x:v>8</x:v>
      </x:c>
      <x:c r="K456" s="12"/>
      <x:c r="L456" s="12"/>
      <x:c r="M456" s="12" t="str">
        <x:f>IF(K456="", "", MAX(0,IF(K456&lt;=20,100,IF(K456&lt;=30,85,IF(K456&lt;=40,70,IF(K456&lt;=50,55,IF(K456&lt;=60,40,20)))))-MIN(L456*5,20)))</x:f>
      </x:c>
      <x:c r="N456" s="12"/>
      <x:c r="O456" s="12"/>
      <x:c r="P456" s="12" t="str">
        <x:f>IF(OR(H456="",J456="",M456=""),"",ROUND(PERCENTRANK.INC($H$2:$H$941,H456)*35+J456*0.35+M456*0.30,0))</x:f>
      </x:c>
      <x:c r="Q456" s="12" t="str">
        <x:f>IF(P456="","",IF(P456&gt;=80,"ATTACK",IF(P456&gt;=65,"GROW",IF(P456&gt;=50,"PARTNER","WATCH"))))</x:f>
      </x:c>
      <x:c r="R456" s="12" t="str">
        <x:f>IF(Q456="","",IF(Q456="ATTACK","Grassroots + family acquisition",IF(Q456="GROW","Test local campaign",IF(Q456="PARTNER","Organisation-first partnership","Low priority / validate"))))</x:f>
      </x:c>
      <x:c r="S456" s="45" t="n">
        <x:v>11.55074525747499</x:v>
      </x:c>
      <x:c r="T456" t="str">
        <x:v>EXTENDED</x:v>
      </x:c>
      <x:c r="U456" s="32" t="n">
        <x:f>PERCENTRANK.INC($G$2:$G$941,G456)</x:f>
        <x:v>0.627</x:v>
      </x:c>
      <x:c r="V456" s="32" t="n">
        <x:f>PERCENTRANK.INC($H$2:$H$941,H456)</x:f>
        <x:v>0.652</x:v>
      </x:c>
      <x:c r="W456" t="n">
        <x:f>ROUND((U456*55+V456*45)*IF(S456&lt;=5,1,IF(S456&lt;=10,0.95,IF(S456&lt;=20,0.85,0.70))),0)</x:f>
        <x:v>54</x:v>
      </x:c>
      <x:c r="X456" t="n">
        <x:v>34</x:v>
      </x:c>
      <x:c r="Y456" t="str">
        <x:v>WATCH</x:v>
      </x:c>
      <x:c r="Z456" s="12" t="str">
        <x:v>Family + verified grassroots + straight-line geo only; transport not yet routed</x:v>
      </x:c>
      <x:c r="AA456" s="12"/>
      <x:c r="AB456" s="12"/>
      <x:c r="AC456" s="12"/>
      <x:c r="AD456" s="12"/>
      <x:c r="AE456" t="str">
        <x:v>Charlton Athletic Women</x:v>
      </x:c>
      <x:c r="AF456" s="45" t="n">
        <x:v>3.3633703576717036</x:v>
      </x:c>
      <x:c r="AG456" t="str">
        <x:v>Millwall Lionesses</x:v>
      </x:c>
      <x:c r="AH456" s="45" t="n">
        <x:v>8.93247166658526</x:v>
      </x:c>
      <x:c r="AI456" t="n">
        <x:v>81</x:v>
      </x:c>
      <x:c r="AJ456" t="str">
        <x:v>HIGH</x:v>
      </x:c>
    </x:row>
    <x:row r="457">
      <x:c r="A457" s="12" t="str">
        <x:v>E01001635</x:v>
      </x:c>
      <x:c r="B457" s="12" t="str">
        <x:v>Greenwich 007D</x:v>
      </x:c>
      <x:c r="C457" s="12" t="str">
        <x:v>Greenwich</x:v>
      </x:c>
      <x:c r="D457" s="44" t="n">
        <x:v>51.48326998821607</x:v>
      </x:c>
      <x:c r="E457" s="44" t="n">
        <x:v>0.08918323830393271</x:v>
      </x:c>
      <x:c r="F457" s="33" t="n">
        <x:v>643</x:v>
      </x:c>
      <x:c r="G457" s="33" t="n">
        <x:v>211</x:v>
      </x:c>
      <x:c r="H457" s="26" t="n">
        <x:v>0.328149300155521</x:v>
      </x:c>
      <x:c r="I457" s="12" t="n">
        <x:v>0</x:v>
      </x:c>
      <x:c r="J457" s="12" t="n">
        <x:v>8</x:v>
      </x:c>
      <x:c r="K457" s="12"/>
      <x:c r="L457" s="12"/>
      <x:c r="M457" s="12" t="str">
        <x:f>IF(K457="", "", MAX(0,IF(K457&lt;=20,100,IF(K457&lt;=30,85,IF(K457&lt;=40,70,IF(K457&lt;=50,55,IF(K457&lt;=60,40,20)))))-MIN(L457*5,20)))</x:f>
      </x:c>
      <x:c r="N457" s="12"/>
      <x:c r="O457" s="12"/>
      <x:c r="P457" s="12" t="str">
        <x:f>IF(OR(H457="",J457="",M457=""),"",ROUND(PERCENTRANK.INC($H$2:$H$941,H457)*35+J457*0.35+M457*0.30,0))</x:f>
      </x:c>
      <x:c r="Q457" s="12" t="str">
        <x:f>IF(P457="","",IF(P457&gt;=80,"ATTACK",IF(P457&gt;=65,"GROW",IF(P457&gt;=50,"PARTNER","WATCH"))))</x:f>
      </x:c>
      <x:c r="R457" s="12" t="str">
        <x:f>IF(Q457="","",IF(Q457="ATTACK","Grassroots + family acquisition",IF(Q457="GROW","Test local campaign",IF(Q457="PARTNER","Organisation-first partnership","Low priority / validate"))))</x:f>
      </x:c>
      <x:c r="S457" s="45" t="n">
        <x:v>11.395083693584569</x:v>
      </x:c>
      <x:c r="T457" t="str">
        <x:v>EXTENDED</x:v>
      </x:c>
      <x:c r="U457" s="32" t="n">
        <x:f>PERCENTRANK.INC($G$2:$G$941,G457)</x:f>
        <x:v>0.482</x:v>
      </x:c>
      <x:c r="V457" s="32" t="n">
        <x:f>PERCENTRANK.INC($H$2:$H$941,H457)</x:f>
        <x:v>0.556</x:v>
      </x:c>
      <x:c r="W457" t="n">
        <x:f>ROUND((U457*55+V457*45)*IF(S457&lt;=5,1,IF(S457&lt;=10,0.95,IF(S457&lt;=20,0.85,0.70))),0)</x:f>
        <x:v>44</x:v>
      </x:c>
      <x:c r="X457" t="n">
        <x:v>28</x:v>
      </x:c>
      <x:c r="Y457" t="str">
        <x:v>WATCH</x:v>
      </x:c>
      <x:c r="Z457" s="12" t="str">
        <x:v>Family + verified grassroots + straight-line geo only; transport not yet routed</x:v>
      </x:c>
      <x:c r="AA457" s="12"/>
      <x:c r="AB457" s="12"/>
      <x:c r="AC457" s="12"/>
      <x:c r="AD457" s="12"/>
      <x:c r="AE457" t="str">
        <x:v>Charlton Athletic Women</x:v>
      </x:c>
      <x:c r="AF457" s="45" t="n">
        <x:v>3.6886683618013163</x:v>
      </x:c>
      <x:c r="AG457" t="str">
        <x:v>Millwall Lionesses</x:v>
      </x:c>
      <x:c r="AH457" s="45" t="n">
        <x:v>9.312964397538941</x:v>
      </x:c>
      <x:c r="AI457" t="n">
        <x:v>81</x:v>
      </x:c>
      <x:c r="AJ457" t="str">
        <x:v>HIGH</x:v>
      </x:c>
    </x:row>
    <x:row r="458">
      <x:c r="A458" s="12" t="str">
        <x:v>E01001636</x:v>
      </x:c>
      <x:c r="B458" s="12" t="str">
        <x:v>Greenwich 007E</x:v>
      </x:c>
      <x:c r="C458" s="12" t="str">
        <x:v>Greenwich</x:v>
      </x:c>
      <x:c r="D458" s="44" t="n">
        <x:v>51.48394581268635</x:v>
      </x:c>
      <x:c r="E458" s="44" t="n">
        <x:v>0.08549326592337018</x:v>
      </x:c>
      <x:c r="F458" s="33" t="n">
        <x:v>599</x:v>
      </x:c>
      <x:c r="G458" s="33" t="n">
        <x:v>197</x:v>
      </x:c>
      <x:c r="H458" s="26" t="n">
        <x:v>0.328881469115192</x:v>
      </x:c>
      <x:c r="I458" s="12" t="n">
        <x:v>0</x:v>
      </x:c>
      <x:c r="J458" s="12" t="n">
        <x:v>8</x:v>
      </x:c>
      <x:c r="K458" s="12"/>
      <x:c r="L458" s="12"/>
      <x:c r="M458" s="12" t="str">
        <x:f>IF(K458="", "", MAX(0,IF(K458&lt;=20,100,IF(K458&lt;=30,85,IF(K458&lt;=40,70,IF(K458&lt;=50,55,IF(K458&lt;=60,40,20)))))-MIN(L458*5,20)))</x:f>
      </x:c>
      <x:c r="N458" s="12"/>
      <x:c r="O458" s="12"/>
      <x:c r="P458" s="12" t="str">
        <x:f>IF(OR(H458="",J458="",M458=""),"",ROUND(PERCENTRANK.INC($H$2:$H$941,H458)*35+J458*0.35+M458*0.30,0))</x:f>
      </x:c>
      <x:c r="Q458" s="12" t="str">
        <x:f>IF(P458="","",IF(P458&gt;=80,"ATTACK",IF(P458&gt;=65,"GROW",IF(P458&gt;=50,"PARTNER","WATCH"))))</x:f>
      </x:c>
      <x:c r="R458" s="12" t="str">
        <x:f>IF(Q458="","",IF(Q458="ATTACK","Grassroots + family acquisition",IF(Q458="GROW","Test local campaign",IF(Q458="PARTNER","Organisation-first partnership","Low priority / validate"))))</x:f>
      </x:c>
      <x:c r="S458" s="45" t="n">
        <x:v>11.35458717822455</x:v>
      </x:c>
      <x:c r="T458" t="str">
        <x:v>EXTENDED</x:v>
      </x:c>
      <x:c r="U458" s="32" t="n">
        <x:f>PERCENTRANK.INC($G$2:$G$941,G458)</x:f>
        <x:v>0.356</x:v>
      </x:c>
      <x:c r="V458" s="32" t="n">
        <x:f>PERCENTRANK.INC($H$2:$H$941,H458)</x:f>
        <x:v>0.56</x:v>
      </x:c>
      <x:c r="W458" t="n">
        <x:f>ROUND((U458*55+V458*45)*IF(S458&lt;=5,1,IF(S458&lt;=10,0.95,IF(S458&lt;=20,0.85,0.70))),0)</x:f>
        <x:v>38</x:v>
      </x:c>
      <x:c r="X458" t="n">
        <x:v>25</x:v>
      </x:c>
      <x:c r="Y458" t="str">
        <x:v>WATCH</x:v>
      </x:c>
      <x:c r="Z458" s="12" t="str">
        <x:v>Family + verified grassroots + straight-line geo only; transport not yet routed</x:v>
      </x:c>
      <x:c r="AA458" s="12"/>
      <x:c r="AB458" s="12"/>
      <x:c r="AC458" s="12"/>
      <x:c r="AD458" s="12"/>
      <x:c r="AE458" t="str">
        <x:v>Charlton Athletic Women</x:v>
      </x:c>
      <x:c r="AF458" s="45" t="n">
        <x:v>3.4275605734952572</x:v>
      </x:c>
      <x:c r="AG458" t="str">
        <x:v>Millwall Lionesses</x:v>
      </x:c>
      <x:c r="AH458" s="45" t="n">
        <x:v>9.04663848545943</x:v>
      </x:c>
      <x:c r="AI458" t="n">
        <x:v>81</x:v>
      </x:c>
      <x:c r="AJ458" t="str">
        <x:v>HIGH</x:v>
      </x:c>
    </x:row>
    <x:row r="459">
      <x:c r="A459" s="12" t="str">
        <x:v>E01033742</x:v>
      </x:c>
      <x:c r="B459" s="12" t="str">
        <x:v>Greenwich 007F</x:v>
      </x:c>
      <x:c r="C459" s="12" t="str">
        <x:v>Greenwich</x:v>
      </x:c>
      <x:c r="D459" s="44" t="n">
        <x:v>51.4967429320619</x:v>
      </x:c>
      <x:c r="E459" s="44" t="n">
        <x:v>0.0798471378684148</x:v>
      </x:c>
      <x:c r="F459" s="33" t="n">
        <x:v>566</x:v>
      </x:c>
      <x:c r="G459" s="33" t="n">
        <x:v>174</x:v>
      </x:c>
      <x:c r="H459" s="26" t="n">
        <x:v>0.30742049469964666</x:v>
      </x:c>
      <x:c r="I459" s="12" t="n">
        <x:v>0</x:v>
      </x:c>
      <x:c r="J459" s="12" t="n">
        <x:v>0</x:v>
      </x:c>
      <x:c r="K459" s="12"/>
      <x:c r="L459" s="12"/>
      <x:c r="M459" s="12" t="str">
        <x:f>IF(K459="", "", MAX(0,IF(K459&lt;=20,100,IF(K459&lt;=30,85,IF(K459&lt;=40,70,IF(K459&lt;=50,55,IF(K459&lt;=60,40,20)))))-MIN(L459*5,20)))</x:f>
      </x:c>
      <x:c r="N459" s="12"/>
      <x:c r="O459" s="12"/>
      <x:c r="P459" s="12" t="str">
        <x:f>IF(OR(H459="",J459="",M459=""),"",ROUND(PERCENTRANK.INC($H$2:$H$941,H459)*35+J459*0.35+M459*0.30,0))</x:f>
      </x:c>
      <x:c r="Q459" s="12" t="str">
        <x:f>IF(P459="","",IF(P459&gt;=80,"ATTACK",IF(P459&gt;=65,"GROW",IF(P459&gt;=50,"PARTNER","WATCH"))))</x:f>
      </x:c>
      <x:c r="R459" s="12" t="str">
        <x:f>IF(Q459="","",IF(Q459="ATTACK","Grassroots + family acquisition",IF(Q459="GROW","Test local campaign",IF(Q459="PARTNER","Organisation-first partnership","Low priority / validate"))))</x:f>
      </x:c>
      <x:c r="S459" s="45" t="n">
        <x:v>12.523586116176741</x:v>
      </x:c>
      <x:c r="T459" t="str">
        <x:v>EXTENDED</x:v>
      </x:c>
      <x:c r="U459" s="32" t="n">
        <x:f>PERCENTRANK.INC($G$2:$G$941,G459)</x:f>
        <x:v>0.188</x:v>
      </x:c>
      <x:c r="V459" s="32" t="n">
        <x:f>PERCENTRANK.INC($H$2:$H$941,H459)</x:f>
        <x:v>0.433</x:v>
      </x:c>
      <x:c r="W459" t="n">
        <x:f>ROUND((U459*55+V459*45)*IF(S459&lt;=5,1,IF(S459&lt;=10,0.95,IF(S459&lt;=20,0.85,0.70))),0)</x:f>
        <x:v>25</x:v>
      </x:c>
      <x:c r="X459" t="n">
        <x:v>14</x:v>
      </x:c>
      <x:c r="Y459" t="str">
        <x:v>WATCH</x:v>
      </x:c>
      <x:c r="Z459" s="12" t="str">
        <x:v>Family + verified grassroots + straight-line geo only; transport not yet routed</x:v>
      </x:c>
      <x:c r="AA459" s="12"/>
      <x:c r="AB459" s="12"/>
      <x:c r="AC459" s="12"/>
      <x:c r="AD459" s="12"/>
      <x:c r="AE459" t="str">
        <x:v>Charlton Athletic Women</x:v>
      </x:c>
      <x:c r="AF459" s="45" t="n">
        <x:v>3.2365306267101115</x:v>
      </x:c>
      <x:c r="AG459" t="str">
        <x:v>Millwall Lionesses</x:v>
      </x:c>
      <x:c r="AH459" s="45" t="n">
        <x:v>8.376556753075597</x:v>
      </x:c>
      <x:c r="AI459" t="n">
        <x:v>81</x:v>
      </x:c>
      <x:c r="AJ459" t="str">
        <x:v>HIGH</x:v>
      </x:c>
    </x:row>
    <x:row r="460">
      <x:c r="A460" s="12" t="str">
        <x:v>E01033744</x:v>
      </x:c>
      <x:c r="B460" s="12" t="str">
        <x:v>Greenwich 007G</x:v>
      </x:c>
      <x:c r="C460" s="12" t="str">
        <x:v>Greenwich</x:v>
      </x:c>
      <x:c r="D460" s="44" t="n">
        <x:v>51.494404298281296</x:v>
      </x:c>
      <x:c r="E460" s="44" t="n">
        <x:v>0.08005358187718098</x:v>
      </x:c>
      <x:c r="F460" s="33" t="n">
        <x:v>659</x:v>
      </x:c>
      <x:c r="G460" s="33" t="n">
        <x:v>238</x:v>
      </x:c>
      <x:c r="H460" s="26" t="n">
        <x:v>0.3611532625189681</x:v>
      </x:c>
      <x:c r="I460" s="12" t="n">
        <x:v>0</x:v>
      </x:c>
      <x:c r="J460" s="12" t="n">
        <x:v>0</x:v>
      </x:c>
      <x:c r="K460" s="12"/>
      <x:c r="L460" s="12"/>
      <x:c r="M460" s="12" t="str">
        <x:f>IF(K460="", "", MAX(0,IF(K460&lt;=20,100,IF(K460&lt;=30,85,IF(K460&lt;=40,70,IF(K460&lt;=50,55,IF(K460&lt;=60,40,20)))))-MIN(L460*5,20)))</x:f>
      </x:c>
      <x:c r="N460" s="12"/>
      <x:c r="O460" s="12"/>
      <x:c r="P460" s="12" t="str">
        <x:f>IF(OR(H460="",J460="",M460=""),"",ROUND(PERCENTRANK.INC($H$2:$H$941,H460)*35+J460*0.35+M460*0.30,0))</x:f>
      </x:c>
      <x:c r="Q460" s="12" t="str">
        <x:f>IF(P460="","",IF(P460&gt;=80,"ATTACK",IF(P460&gt;=65,"GROW",IF(P460&gt;=50,"PARTNER","WATCH"))))</x:f>
      </x:c>
      <x:c r="R460" s="12" t="str">
        <x:f>IF(Q460="","",IF(Q460="ATTACK","Grassroots + family acquisition",IF(Q460="GROW","Test local campaign",IF(Q460="PARTNER","Organisation-first partnership","Low priority / validate"))))</x:f>
      </x:c>
      <x:c r="S460" s="45" t="n">
        <x:v>12.284789123019198</x:v>
      </x:c>
      <x:c r="T460" t="str">
        <x:v>EXTENDED</x:v>
      </x:c>
      <x:c r="U460" s="32" t="n">
        <x:f>PERCENTRANK.INC($G$2:$G$941,G460)</x:f>
        <x:v>0.695</x:v>
      </x:c>
      <x:c r="V460" s="32" t="n">
        <x:f>PERCENTRANK.INC($H$2:$H$941,H460)</x:f>
        <x:v>0.741</x:v>
      </x:c>
      <x:c r="W460" t="n">
        <x:f>ROUND((U460*55+V460*45)*IF(S460&lt;=5,1,IF(S460&lt;=10,0.95,IF(S460&lt;=20,0.85,0.70))),0)</x:f>
        <x:v>61</x:v>
      </x:c>
      <x:c r="X460" t="n">
        <x:v>34</x:v>
      </x:c>
      <x:c r="Y460" t="str">
        <x:v>WATCH</x:v>
      </x:c>
      <x:c r="Z460" s="12" t="str">
        <x:v>Family + verified grassroots + straight-line geo only; transport not yet routed</x:v>
      </x:c>
      <x:c r="AA460" s="12"/>
      <x:c r="AB460" s="12"/>
      <x:c r="AC460" s="12"/>
      <x:c r="AD460" s="12"/>
      <x:c r="AE460" t="str">
        <x:v>Charlton Athletic Women</x:v>
      </x:c>
      <x:c r="AF460" s="45" t="n">
        <x:v>3.1672963703718997</x:v>
      </x:c>
      <x:c r="AG460" t="str">
        <x:v>Millwall Lionesses</x:v>
      </x:c>
      <x:c r="AH460" s="45" t="n">
        <x:v>8.427348790076147</x:v>
      </x:c>
      <x:c r="AI460" t="n">
        <x:v>81</x:v>
      </x:c>
      <x:c r="AJ460" t="str">
        <x:v>HIGH</x:v>
      </x:c>
    </x:row>
    <x:row r="461">
      <x:c r="A461" s="12" t="str">
        <x:v>E01001571</x:v>
      </x:c>
      <x:c r="B461" s="12" t="str">
        <x:v>Greenwich 008A</x:v>
      </x:c>
      <x:c r="C461" s="12" t="str">
        <x:v>Greenwich</x:v>
      </x:c>
      <x:c r="D461" s="44" t="n">
        <x:v>51.48820379247806</x:v>
      </x:c>
      <x:c r="E461" s="44" t="n">
        <x:v>0.11182594200065224</x:v>
      </x:c>
      <x:c r="F461" s="33" t="n">
        <x:v>627</x:v>
      </x:c>
      <x:c r="G461" s="33" t="n">
        <x:v>245</x:v>
      </x:c>
      <x:c r="H461" s="26" t="n">
        <x:v>0.39074960127591707</x:v>
      </x:c>
      <x:c r="I461" s="12" t="n">
        <x:v>0</x:v>
      </x:c>
      <x:c r="J461" s="12" t="n">
        <x:v>8</x:v>
      </x:c>
      <x:c r="K461" s="12"/>
      <x:c r="L461" s="12"/>
      <x:c r="M461" s="12" t="str">
        <x:f>IF(K461="", "", MAX(0,IF(K461&lt;=20,100,IF(K461&lt;=30,85,IF(K461&lt;=40,70,IF(K461&lt;=50,55,IF(K461&lt;=60,40,20)))))-MIN(L461*5,20)))</x:f>
      </x:c>
      <x:c r="N461" s="12"/>
      <x:c r="O461" s="12"/>
      <x:c r="P461" s="12" t="str">
        <x:f>IF(OR(H461="",J461="",M461=""),"",ROUND(PERCENTRANK.INC($H$2:$H$941,H461)*35+J461*0.35+M461*0.30,0))</x:f>
      </x:c>
      <x:c r="Q461" s="12" t="str">
        <x:f>IF(P461="","",IF(P461&gt;=80,"ATTACK",IF(P461&gt;=65,"GROW",IF(P461&gt;=50,"PARTNER","WATCH"))))</x:f>
      </x:c>
      <x:c r="R461" s="12" t="str">
        <x:f>IF(Q461="","",IF(Q461="ATTACK","Grassroots + family acquisition",IF(Q461="GROW","Test local campaign",IF(Q461="PARTNER","Organisation-first partnership","Low priority / validate"))))</x:f>
      </x:c>
      <x:c r="S461" s="45" t="n">
        <x:v>12.62610354694833</x:v>
      </x:c>
      <x:c r="T461" t="str">
        <x:v>EXTENDED</x:v>
      </x:c>
      <x:c r="U461" s="32" t="n">
        <x:f>PERCENTRANK.INC($G$2:$G$941,G461)</x:f>
        <x:v>0.742</x:v>
      </x:c>
      <x:c r="V461" s="32" t="n">
        <x:f>PERCENTRANK.INC($H$2:$H$941,H461)</x:f>
        <x:v>0.876</x:v>
      </x:c>
      <x:c r="W461" t="n">
        <x:f>ROUND((U461*55+V461*45)*IF(S461&lt;=5,1,IF(S461&lt;=10,0.95,IF(S461&lt;=20,0.85,0.70))),0)</x:f>
        <x:v>68</x:v>
      </x:c>
      <x:c r="X461" t="n">
        <x:v>41</x:v>
      </x:c>
      <x:c r="Y461" t="str">
        <x:v>WATCH</x:v>
      </x:c>
      <x:c r="Z461" s="12" t="str">
        <x:v>Family + verified grassroots + straight-line geo only; transport not yet routed</x:v>
      </x:c>
      <x:c r="AA461" s="12"/>
      <x:c r="AB461" s="12"/>
      <x:c r="AC461" s="12"/>
      <x:c r="AD461" s="12"/>
      <x:c r="AE461" t="str">
        <x:v>Charlton Athletic Women</x:v>
      </x:c>
      <x:c r="AF461" s="45" t="n">
        <x:v>5.243628034258336</x:v>
      </x:c>
      <x:c r="AG461" t="str">
        <x:v>Millwall Lionesses</x:v>
      </x:c>
      <x:c r="AH461" s="45" t="n">
        <x:v>10.713060690889217</x:v>
      </x:c>
      <x:c r="AI461" t="n">
        <x:v>76</x:v>
      </x:c>
      <x:c r="AJ461" t="str">
        <x:v>HIGH</x:v>
      </x:c>
    </x:row>
    <x:row r="462">
      <x:c r="A462" s="12" t="str">
        <x:v>E01001572</x:v>
      </x:c>
      <x:c r="B462" s="12" t="str">
        <x:v>Greenwich 008B</x:v>
      </x:c>
      <x:c r="C462" s="12" t="str">
        <x:v>Greenwich</x:v>
      </x:c>
      <x:c r="D462" s="44" t="n">
        <x:v>51.48770703567449</x:v>
      </x:c>
      <x:c r="E462" s="44" t="n">
        <x:v>0.1170934041419702</x:v>
      </x:c>
      <x:c r="F462" s="33" t="n">
        <x:v>651</x:v>
      </x:c>
      <x:c r="G462" s="33" t="n">
        <x:v>219</x:v>
      </x:c>
      <x:c r="H462" s="26" t="n">
        <x:v>0.33640552995391704</x:v>
      </x:c>
      <x:c r="I462" s="12" t="n">
        <x:v>0</x:v>
      </x:c>
      <x:c r="J462" s="12" t="n">
        <x:v>8</x:v>
      </x:c>
      <x:c r="K462" s="12"/>
      <x:c r="L462" s="12"/>
      <x:c r="M462" s="12" t="str">
        <x:f>IF(K462="", "", MAX(0,IF(K462&lt;=20,100,IF(K462&lt;=30,85,IF(K462&lt;=40,70,IF(K462&lt;=50,55,IF(K462&lt;=60,40,20)))))-MIN(L462*5,20)))</x:f>
      </x:c>
      <x:c r="N462" s="12"/>
      <x:c r="O462" s="12"/>
      <x:c r="P462" s="12" t="str">
        <x:f>IF(OR(H462="",J462="",M462=""),"",ROUND(PERCENTRANK.INC($H$2:$H$941,H462)*35+J462*0.35+M462*0.30,0))</x:f>
      </x:c>
      <x:c r="Q462" s="12" t="str">
        <x:f>IF(P462="","",IF(P462&gt;=80,"ATTACK",IF(P462&gt;=65,"GROW",IF(P462&gt;=50,"PARTNER","WATCH"))))</x:f>
      </x:c>
      <x:c r="R462" s="12" t="str">
        <x:f>IF(Q462="","",IF(Q462="ATTACK","Grassroots + family acquisition",IF(Q462="GROW","Test local campaign",IF(Q462="PARTNER","Organisation-first partnership","Low priority / validate"))))</x:f>
      </x:c>
      <x:c r="S462" s="45" t="n">
        <x:v>12.772018733283062</x:v>
      </x:c>
      <x:c r="T462" t="str">
        <x:v>EXTENDED</x:v>
      </x:c>
      <x:c r="U462" s="32" t="n">
        <x:f>PERCENTRANK.INC($G$2:$G$941,G462)</x:f>
        <x:v>0.544</x:v>
      </x:c>
      <x:c r="V462" s="32" t="n">
        <x:f>PERCENTRANK.INC($H$2:$H$941,H462)</x:f>
        <x:v>0.607</x:v>
      </x:c>
      <x:c r="W462" t="n">
        <x:f>ROUND((U462*55+V462*45)*IF(S462&lt;=5,1,IF(S462&lt;=10,0.95,IF(S462&lt;=20,0.85,0.70))),0)</x:f>
        <x:v>49</x:v>
      </x:c>
      <x:c r="X462" t="n">
        <x:v>31</x:v>
      </x:c>
      <x:c r="Y462" t="str">
        <x:v>WATCH</x:v>
      </x:c>
      <x:c r="Z462" s="12" t="str">
        <x:v>Family + verified grassroots + straight-line geo only; transport not yet routed</x:v>
      </x:c>
      <x:c r="AA462" s="12"/>
      <x:c r="AB462" s="12"/>
      <x:c r="AC462" s="12"/>
      <x:c r="AD462" s="12"/>
      <x:c r="AE462" t="str">
        <x:v>Charlton Athletic Women</x:v>
      </x:c>
      <x:c r="AF462" s="45" t="n">
        <x:v>5.606423456651978</x:v>
      </x:c>
      <x:c r="AG462" t="str">
        <x:v>Millwall Lionesses</x:v>
      </x:c>
      <x:c r="AH462" s="45" t="n">
        <x:v>11.081672317897874</x:v>
      </x:c>
      <x:c r="AI462" t="n">
        <x:v>76</x:v>
      </x:c>
      <x:c r="AJ462" t="str">
        <x:v>HIGH</x:v>
      </x:c>
    </x:row>
    <x:row r="463">
      <x:c r="A463" s="12" t="str">
        <x:v>E01001573</x:v>
      </x:c>
      <x:c r="B463" s="12" t="str">
        <x:v>Greenwich 008C</x:v>
      </x:c>
      <x:c r="C463" s="12" t="str">
        <x:v>Greenwich</x:v>
      </x:c>
      <x:c r="D463" s="44" t="n">
        <x:v>51.486472468923154</x:v>
      </x:c>
      <x:c r="E463" s="44" t="n">
        <x:v>0.10719285789016184</x:v>
      </x:c>
      <x:c r="F463" s="33" t="n">
        <x:v>526</x:v>
      </x:c>
      <x:c r="G463" s="33" t="n">
        <x:v>165</x:v>
      </x:c>
      <x:c r="H463" s="26" t="n">
        <x:v>0.31368821292775667</x:v>
      </x:c>
      <x:c r="I463" s="12" t="n">
        <x:v>0</x:v>
      </x:c>
      <x:c r="J463" s="12" t="n">
        <x:v>8</x:v>
      </x:c>
      <x:c r="K463" s="12"/>
      <x:c r="L463" s="12"/>
      <x:c r="M463" s="12" t="str">
        <x:f>IF(K463="", "", MAX(0,IF(K463&lt;=20,100,IF(K463&lt;=30,85,IF(K463&lt;=40,70,IF(K463&lt;=50,55,IF(K463&lt;=60,40,20)))))-MIN(L463*5,20)))</x:f>
      </x:c>
      <x:c r="N463" s="12"/>
      <x:c r="O463" s="12"/>
      <x:c r="P463" s="12" t="str">
        <x:f>IF(OR(H463="",J463="",M463=""),"",ROUND(PERCENTRANK.INC($H$2:$H$941,H463)*35+J463*0.35+M463*0.30,0))</x:f>
      </x:c>
      <x:c r="Q463" s="12" t="str">
        <x:f>IF(P463="","",IF(P463&gt;=80,"ATTACK",IF(P463&gt;=65,"GROW",IF(P463&gt;=50,"PARTNER","WATCH"))))</x:f>
      </x:c>
      <x:c r="R463" s="12" t="str">
        <x:f>IF(Q463="","",IF(Q463="ATTACK","Grassroots + family acquisition",IF(Q463="GROW","Test local campaign",IF(Q463="PARTNER","Organisation-first partnership","Low priority / validate"))))</x:f>
      </x:c>
      <x:c r="S463" s="45" t="n">
        <x:v>12.296671501309882</x:v>
      </x:c>
      <x:c r="T463" t="str">
        <x:v>EXTENDED</x:v>
      </x:c>
      <x:c r="U463" s="32" t="n">
        <x:f>PERCENTRANK.INC($G$2:$G$941,G463)</x:f>
        <x:v>0.145</x:v>
      </x:c>
      <x:c r="V463" s="32" t="n">
        <x:f>PERCENTRANK.INC($H$2:$H$941,H463)</x:f>
        <x:v>0.469</x:v>
      </x:c>
      <x:c r="W463" t="n">
        <x:f>ROUND((U463*55+V463*45)*IF(S463&lt;=5,1,IF(S463&lt;=10,0.95,IF(S463&lt;=20,0.85,0.70))),0)</x:f>
        <x:v>25</x:v>
      </x:c>
      <x:c r="X463" t="n">
        <x:v>17</x:v>
      </x:c>
      <x:c r="Y463" t="str">
        <x:v>WATCH</x:v>
      </x:c>
      <x:c r="Z463" s="12" t="str">
        <x:v>Family + verified grassroots + straight-line geo only; transport not yet routed</x:v>
      </x:c>
      <x:c r="AA463" s="12"/>
      <x:c r="AB463" s="12"/>
      <x:c r="AC463" s="12"/>
      <x:c r="AD463" s="12"/>
      <x:c r="AE463" t="str">
        <x:v>Charlton Athletic Women</x:v>
      </x:c>
      <x:c r="AF463" s="45" t="n">
        <x:v>4.919096581055993</x:v>
      </x:c>
      <x:c r="AG463" t="str">
        <x:v>Millwall Lionesses</x:v>
      </x:c>
      <x:c r="AH463" s="45" t="n">
        <x:v>10.43699384118173</x:v>
      </x:c>
      <x:c r="AI463" t="n">
        <x:v>76</x:v>
      </x:c>
      <x:c r="AJ463" t="str">
        <x:v>HIGH</x:v>
      </x:c>
    </x:row>
    <x:row r="464">
      <x:c r="A464" s="12" t="str">
        <x:v>E01001574</x:v>
      </x:c>
      <x:c r="B464" s="12" t="str">
        <x:v>Greenwich 008D</x:v>
      </x:c>
      <x:c r="C464" s="12" t="str">
        <x:v>Greenwich</x:v>
      </x:c>
      <x:c r="D464" s="44" t="n">
        <x:v>51.485358011056164</x:v>
      </x:c>
      <x:c r="E464" s="44" t="n">
        <x:v>0.11282916274083234</x:v>
      </x:c>
      <x:c r="F464" s="33" t="n">
        <x:v>753</x:v>
      </x:c>
      <x:c r="G464" s="33" t="n">
        <x:v>312</x:v>
      </x:c>
      <x:c r="H464" s="26" t="n">
        <x:v>0.41434262948207173</x:v>
      </x:c>
      <x:c r="I464" s="12" t="n">
        <x:v>0</x:v>
      </x:c>
      <x:c r="J464" s="12" t="n">
        <x:v>8</x:v>
      </x:c>
      <x:c r="K464" s="12"/>
      <x:c r="L464" s="12"/>
      <x:c r="M464" s="12" t="str">
        <x:f>IF(K464="", "", MAX(0,IF(K464&lt;=20,100,IF(K464&lt;=30,85,IF(K464&lt;=40,70,IF(K464&lt;=50,55,IF(K464&lt;=60,40,20)))))-MIN(L464*5,20)))</x:f>
      </x:c>
      <x:c r="N464" s="12"/>
      <x:c r="O464" s="12"/>
      <x:c r="P464" s="12" t="str">
        <x:f>IF(OR(H464="",J464="",M464=""),"",ROUND(PERCENTRANK.INC($H$2:$H$941,H464)*35+J464*0.35+M464*0.30,0))</x:f>
      </x:c>
      <x:c r="Q464" s="12" t="str">
        <x:f>IF(P464="","",IF(P464&gt;=80,"ATTACK",IF(P464&gt;=65,"GROW",IF(P464&gt;=50,"PARTNER","WATCH"))))</x:f>
      </x:c>
      <x:c r="R464" s="12" t="str">
        <x:f>IF(Q464="","",IF(Q464="ATTACK","Grassroots + family acquisition",IF(Q464="GROW","Test local campaign",IF(Q464="PARTNER","Organisation-first partnership","Low priority / validate"))))</x:f>
      </x:c>
      <x:c r="S464" s="45" t="n">
        <x:v>12.393215394896087</x:v>
      </x:c>
      <x:c r="T464" t="str">
        <x:v>EXTENDED</x:v>
      </x:c>
      <x:c r="U464" s="32" t="n">
        <x:f>PERCENTRANK.INC($G$2:$G$941,G464)</x:f>
        <x:v>0.956</x:v>
      </x:c>
      <x:c r="V464" s="32" t="n">
        <x:f>PERCENTRANK.INC($H$2:$H$941,H464)</x:f>
        <x:v>0.939</x:v>
      </x:c>
      <x:c r="W464" t="n">
        <x:f>ROUND((U464*55+V464*45)*IF(S464&lt;=5,1,IF(S464&lt;=10,0.95,IF(S464&lt;=20,0.85,0.70))),0)</x:f>
        <x:v>81</x:v>
      </x:c>
      <x:c r="X464" t="n">
        <x:v>48</x:v>
      </x:c>
      <x:c r="Y464" t="str">
        <x:v>WATCH</x:v>
      </x:c>
      <x:c r="Z464" s="12" t="str">
        <x:v>Family + verified grassroots + straight-line geo only; transport not yet routed</x:v>
      </x:c>
      <x:c r="AA464" s="12"/>
      <x:c r="AB464" s="12"/>
      <x:c r="AC464" s="12"/>
      <x:c r="AD464" s="12"/>
      <x:c r="AE464" t="str">
        <x:v>Charlton Athletic Women</x:v>
      </x:c>
      <x:c r="AF464" s="45" t="n">
        <x:v>5.310683185656455</x:v>
      </x:c>
      <x:c r="AG464" t="str">
        <x:v>Millwall Lionesses</x:v>
      </x:c>
      <x:c r="AH464" s="45" t="n">
        <x:v>10.84468433020057</x:v>
      </x:c>
      <x:c r="AI464" t="n">
        <x:v>76</x:v>
      </x:c>
      <x:c r="AJ464" t="str">
        <x:v>HIGH</x:v>
      </x:c>
    </x:row>
    <x:row r="465">
      <x:c r="A465" s="12" t="str">
        <x:v>E01001629</x:v>
      </x:c>
      <x:c r="B465" s="12" t="str">
        <x:v>Greenwich 009A</x:v>
      </x:c>
      <x:c r="C465" s="12" t="str">
        <x:v>Greenwich</x:v>
      </x:c>
      <x:c r="D465" s="44" t="n">
        <x:v>51.48968433336875</x:v>
      </x:c>
      <x:c r="E465" s="44" t="n">
        <x:v>0.07623247438009412</x:v>
      </x:c>
      <x:c r="F465" s="33" t="n">
        <x:v>839</x:v>
      </x:c>
      <x:c r="G465" s="33" t="n">
        <x:v>310</x:v>
      </x:c>
      <x:c r="H465" s="26" t="n">
        <x:v>0.3694874851013111</x:v>
      </x:c>
      <x:c r="I465" s="12" t="n">
        <x:v>0</x:v>
      </x:c>
      <x:c r="J465" s="12" t="n">
        <x:v>8</x:v>
      </x:c>
      <x:c r="K465" s="12"/>
      <x:c r="L465" s="12"/>
      <x:c r="M465" s="12" t="str">
        <x:f>IF(K465="", "", MAX(0,IF(K465&lt;=20,100,IF(K465&lt;=30,85,IF(K465&lt;=40,70,IF(K465&lt;=50,55,IF(K465&lt;=60,40,20)))))-MIN(L465*5,20)))</x:f>
      </x:c>
      <x:c r="N465" s="12"/>
      <x:c r="O465" s="12"/>
      <x:c r="P465" s="12" t="str">
        <x:f>IF(OR(H465="",J465="",M465=""),"",ROUND(PERCENTRANK.INC($H$2:$H$941,H465)*35+J465*0.35+M465*0.30,0))</x:f>
      </x:c>
      <x:c r="Q465" s="12" t="str">
        <x:f>IF(P465="","",IF(P465&gt;=80,"ATTACK",IF(P465&gt;=65,"GROW",IF(P465&gt;=50,"PARTNER","WATCH"))))</x:f>
      </x:c>
      <x:c r="R465" s="12" t="str">
        <x:f>IF(Q465="","",IF(Q465="ATTACK","Grassroots + family acquisition",IF(Q465="GROW","Test local campaign",IF(Q465="PARTNER","Organisation-first partnership","Low priority / validate"))))</x:f>
      </x:c>
      <x:c r="S465" s="45" t="n">
        <x:v>11.700583697400344</x:v>
      </x:c>
      <x:c r="T465" t="str">
        <x:v>EXTENDED</x:v>
      </x:c>
      <x:c r="U465" s="32" t="n">
        <x:f>PERCENTRANK.INC($G$2:$G$941,G465)</x:f>
        <x:v>0.953</x:v>
      </x:c>
      <x:c r="V465" s="32" t="n">
        <x:f>PERCENTRANK.INC($H$2:$H$941,H465)</x:f>
        <x:v>0.791</x:v>
      </x:c>
      <x:c r="W465" t="n">
        <x:f>ROUND((U465*55+V465*45)*IF(S465&lt;=5,1,IF(S465&lt;=10,0.95,IF(S465&lt;=20,0.85,0.70))),0)</x:f>
        <x:v>75</x:v>
      </x:c>
      <x:c r="X465" t="n">
        <x:v>45</x:v>
      </x:c>
      <x:c r="Y465" t="str">
        <x:v>WATCH</x:v>
      </x:c>
      <x:c r="Z465" s="12" t="str">
        <x:v>Family + verified grassroots + straight-line geo only; transport not yet routed</x:v>
      </x:c>
      <x:c r="AA465" s="12"/>
      <x:c r="AB465" s="12"/>
      <x:c r="AC465" s="12"/>
      <x:c r="AD465" s="12"/>
      <x:c r="AE465" t="str">
        <x:v>Charlton Athletic Women</x:v>
      </x:c>
      <x:c r="AF465" s="45" t="n">
        <x:v>2.799185061067857</x:v>
      </x:c>
      <x:c r="AG465" t="str">
        <x:v>Millwall Lionesses</x:v>
      </x:c>
      <x:c r="AH465" s="45" t="n">
        <x:v>8.266824494103309</x:v>
      </x:c>
      <x:c r="AI465" t="n">
        <x:v>92</x:v>
      </x:c>
      <x:c r="AJ465" t="str">
        <x:v>HIGH</x:v>
      </x:c>
    </x:row>
    <x:row r="466">
      <x:c r="A466" s="12" t="str">
        <x:v>E01001633</x:v>
      </x:c>
      <x:c r="B466" s="12" t="str">
        <x:v>Greenwich 009B</x:v>
      </x:c>
      <x:c r="C466" s="12" t="str">
        <x:v>Greenwich</x:v>
      </x:c>
      <x:c r="D466" s="44" t="n">
        <x:v>51.48433590061065</x:v>
      </x:c>
      <x:c r="E466" s="44" t="n">
        <x:v>0.07579715756642441</x:v>
      </x:c>
      <x:c r="F466" s="33" t="n">
        <x:v>773</x:v>
      </x:c>
      <x:c r="G466" s="33" t="n">
        <x:v>269</x:v>
      </x:c>
      <x:c r="H466" s="26" t="n">
        <x:v>0.34799482535575677</x:v>
      </x:c>
      <x:c r="I466" s="12" t="n">
        <x:v>0</x:v>
      </x:c>
      <x:c r="J466" s="12" t="n">
        <x:v>8</x:v>
      </x:c>
      <x:c r="K466" s="12"/>
      <x:c r="L466" s="12"/>
      <x:c r="M466" s="12" t="str">
        <x:f>IF(K466="", "", MAX(0,IF(K466&lt;=20,100,IF(K466&lt;=30,85,IF(K466&lt;=40,70,IF(K466&lt;=50,55,IF(K466&lt;=60,40,20)))))-MIN(L466*5,20)))</x:f>
      </x:c>
      <x:c r="N466" s="12"/>
      <x:c r="O466" s="12"/>
      <x:c r="P466" s="12" t="str">
        <x:f>IF(OR(H466="",J466="",M466=""),"",ROUND(PERCENTRANK.INC($H$2:$H$941,H466)*35+J466*0.35+M466*0.30,0))</x:f>
      </x:c>
      <x:c r="Q466" s="12" t="str">
        <x:f>IF(P466="","",IF(P466&gt;=80,"ATTACK",IF(P466&gt;=65,"GROW",IF(P466&gt;=50,"PARTNER","WATCH"))))</x:f>
      </x:c>
      <x:c r="R466" s="12" t="str">
        <x:f>IF(Q466="","",IF(Q466="ATTACK","Grassroots + family acquisition",IF(Q466="GROW","Test local campaign",IF(Q466="PARTNER","Organisation-first partnership","Low priority / validate"))))</x:f>
      </x:c>
      <x:c r="S466" s="45" t="n">
        <x:v>11.133791224031764</x:v>
      </x:c>
      <x:c r="T466" t="str">
        <x:v>EXTENDED</x:v>
      </x:c>
      <x:c r="U466" s="32" t="n">
        <x:f>PERCENTRANK.INC($G$2:$G$941,G466)</x:f>
        <x:v>0.866</x:v>
      </x:c>
      <x:c r="V466" s="32" t="n">
        <x:f>PERCENTRANK.INC($H$2:$H$941,H466)</x:f>
        <x:v>0.674</x:v>
      </x:c>
      <x:c r="W466" t="n">
        <x:f>ROUND((U466*55+V466*45)*IF(S466&lt;=5,1,IF(S466&lt;=10,0.95,IF(S466&lt;=20,0.85,0.70))),0)</x:f>
        <x:v>66</x:v>
      </x:c>
      <x:c r="X466" t="n">
        <x:v>40</x:v>
      </x:c>
      <x:c r="Y466" t="str">
        <x:v>WATCH</x:v>
      </x:c>
      <x:c r="Z466" s="12" t="str">
        <x:v>Family + verified grassroots + straight-line geo only; transport not yet routed</x:v>
      </x:c>
      <x:c r="AA466" s="12"/>
      <x:c r="AB466" s="12"/>
      <x:c r="AC466" s="12"/>
      <x:c r="AD466" s="12"/>
      <x:c r="AE466" t="str">
        <x:v>Charlton Athletic Women</x:v>
      </x:c>
      <x:c r="AF466" s="45" t="n">
        <x:v>2.7548572685465382</x:v>
      </x:c>
      <x:c r="AG466" t="str">
        <x:v>Millwall Lionesses</x:v>
      </x:c>
      <x:c r="AH466" s="45" t="n">
        <x:v>8.390219314250864</x:v>
      </x:c>
      <x:c r="AI466" t="n">
        <x:v>92</x:v>
      </x:c>
      <x:c r="AJ466" t="str">
        <x:v>HIGH</x:v>
      </x:c>
    </x:row>
    <x:row r="467">
      <x:c r="A467" s="12" t="str">
        <x:v>E01001634</x:v>
      </x:c>
      <x:c r="B467" s="12" t="str">
        <x:v>Greenwich 009C</x:v>
      </x:c>
      <x:c r="C467" s="12" t="str">
        <x:v>Greenwich</x:v>
      </x:c>
      <x:c r="D467" s="44" t="n">
        <x:v>51.487012762810544</x:v>
      </x:c>
      <x:c r="E467" s="44" t="n">
        <x:v>0.07931890581195701</x:v>
      </x:c>
      <x:c r="F467" s="33" t="n">
        <x:v>657</x:v>
      </x:c>
      <x:c r="G467" s="33" t="n">
        <x:v>240</x:v>
      </x:c>
      <x:c r="H467" s="26" t="n">
        <x:v>0.365296803652968</x:v>
      </x:c>
      <x:c r="I467" s="12" t="n">
        <x:v>0</x:v>
      </x:c>
      <x:c r="J467" s="12" t="n">
        <x:v>8</x:v>
      </x:c>
      <x:c r="K467" s="12"/>
      <x:c r="L467" s="12"/>
      <x:c r="M467" s="12" t="str">
        <x:f>IF(K467="", "", MAX(0,IF(K467&lt;=20,100,IF(K467&lt;=30,85,IF(K467&lt;=40,70,IF(K467&lt;=50,55,IF(K467&lt;=60,40,20)))))-MIN(L467*5,20)))</x:f>
      </x:c>
      <x:c r="N467" s="12"/>
      <x:c r="O467" s="12"/>
      <x:c r="P467" s="12" t="str">
        <x:f>IF(OR(H467="",J467="",M467=""),"",ROUND(PERCENTRANK.INC($H$2:$H$941,H467)*35+J467*0.35+M467*0.30,0))</x:f>
      </x:c>
      <x:c r="Q467" s="12" t="str">
        <x:f>IF(P467="","",IF(P467&gt;=80,"ATTACK",IF(P467&gt;=65,"GROW",IF(P467&gt;=50,"PARTNER","WATCH"))))</x:f>
      </x:c>
      <x:c r="R467" s="12" t="str">
        <x:f>IF(Q467="","",IF(Q467="ATTACK","Grassroots + family acquisition",IF(Q467="GROW","Test local campaign",IF(Q467="PARTNER","Organisation-first partnership","Low priority / validate"))))</x:f>
      </x:c>
      <x:c r="S467" s="45" t="n">
        <x:v>11.500157235626695</x:v>
      </x:c>
      <x:c r="T467" t="str">
        <x:v>EXTENDED</x:v>
      </x:c>
      <x:c r="U467" s="32" t="n">
        <x:f>PERCENTRANK.INC($G$2:$G$941,G467)</x:f>
        <x:v>0.708</x:v>
      </x:c>
      <x:c r="V467" s="32" t="n">
        <x:f>PERCENTRANK.INC($H$2:$H$941,H467)</x:f>
        <x:v>0.773</x:v>
      </x:c>
      <x:c r="W467" t="n">
        <x:f>ROUND((U467*55+V467*45)*IF(S467&lt;=5,1,IF(S467&lt;=10,0.95,IF(S467&lt;=20,0.85,0.70))),0)</x:f>
        <x:v>63</x:v>
      </x:c>
      <x:c r="X467" t="n">
        <x:v>38</x:v>
      </x:c>
      <x:c r="Y467" t="str">
        <x:v>WATCH</x:v>
      </x:c>
      <x:c r="Z467" s="12" t="str">
        <x:v>Family + verified grassroots + straight-line geo only; transport not yet routed</x:v>
      </x:c>
      <x:c r="AA467" s="12"/>
      <x:c r="AB467" s="12"/>
      <x:c r="AC467" s="12"/>
      <x:c r="AD467" s="12"/>
      <x:c r="AE467" t="str">
        <x:v>Charlton Athletic Women</x:v>
      </x:c>
      <x:c r="AF467" s="45" t="n">
        <x:v>2.9898240257689346</x:v>
      </x:c>
      <x:c r="AG467" t="str">
        <x:v>Millwall Lionesses</x:v>
      </x:c>
      <x:c r="AH467" s="45" t="n">
        <x:v>8.54467091678833</x:v>
      </x:c>
      <x:c r="AI467" t="n">
        <x:v>92</x:v>
      </x:c>
      <x:c r="AJ467" t="str">
        <x:v>HIGH</x:v>
      </x:c>
    </x:row>
    <x:row r="468">
      <x:c r="A468" s="12" t="str">
        <x:v>E01001637</x:v>
      </x:c>
      <x:c r="B468" s="12" t="str">
        <x:v>Greenwich 009D</x:v>
      </x:c>
      <x:c r="C468" s="12" t="str">
        <x:v>Greenwich</x:v>
      </x:c>
      <x:c r="D468" s="44" t="n">
        <x:v>51.48381458533434</x:v>
      </x:c>
      <x:c r="E468" s="44" t="n">
        <x:v>0.08016817031048962</x:v>
      </x:c>
      <x:c r="F468" s="33" t="n">
        <x:v>684</x:v>
      </x:c>
      <x:c r="G468" s="33" t="n">
        <x:v>241</x:v>
      </x:c>
      <x:c r="H468" s="26" t="n">
        <x:v>0.35233918128654973</x:v>
      </x:c>
      <x:c r="I468" s="12" t="n">
        <x:v>0</x:v>
      </x:c>
      <x:c r="J468" s="12" t="n">
        <x:v>8</x:v>
      </x:c>
      <x:c r="K468" s="12"/>
      <x:c r="L468" s="12"/>
      <x:c r="M468" s="12" t="str">
        <x:f>IF(K468="", "", MAX(0,IF(K468&lt;=20,100,IF(K468&lt;=30,85,IF(K468&lt;=40,70,IF(K468&lt;=50,55,IF(K468&lt;=60,40,20)))))-MIN(L468*5,20)))</x:f>
      </x:c>
      <x:c r="N468" s="12"/>
      <x:c r="O468" s="12"/>
      <x:c r="P468" s="12" t="str">
        <x:f>IF(OR(H468="",J468="",M468=""),"",ROUND(PERCENTRANK.INC($H$2:$H$941,H468)*35+J468*0.35+M468*0.30,0))</x:f>
      </x:c>
      <x:c r="Q468" s="12" t="str">
        <x:f>IF(P468="","",IF(P468&gt;=80,"ATTACK",IF(P468&gt;=65,"GROW",IF(P468&gt;=50,"PARTNER","WATCH"))))</x:f>
      </x:c>
      <x:c r="R468" s="12" t="str">
        <x:f>IF(Q468="","",IF(Q468="ATTACK","Grassroots + family acquisition",IF(Q468="GROW","Test local campaign",IF(Q468="PARTNER","Organisation-first partnership","Low priority / validate"))))</x:f>
      </x:c>
      <x:c r="S468" s="45" t="n">
        <x:v>11.193435781160458</x:v>
      </x:c>
      <x:c r="T468" t="str">
        <x:v>EXTENDED</x:v>
      </x:c>
      <x:c r="U468" s="32" t="n">
        <x:f>PERCENTRANK.INC($G$2:$G$941,G468)</x:f>
        <x:v>0.714</x:v>
      </x:c>
      <x:c r="V468" s="32" t="n">
        <x:f>PERCENTRANK.INC($H$2:$H$941,H468)</x:f>
        <x:v>0.7</x:v>
      </x:c>
      <x:c r="W468" t="n">
        <x:f>ROUND((U468*55+V468*45)*IF(S468&lt;=5,1,IF(S468&lt;=10,0.95,IF(S468&lt;=20,0.85,0.70))),0)</x:f>
        <x:v>60</x:v>
      </x:c>
      <x:c r="X468" t="n">
        <x:v>37</x:v>
      </x:c>
      <x:c r="Y468" t="str">
        <x:v>WATCH</x:v>
      </x:c>
      <x:c r="Z468" s="12" t="str">
        <x:v>Family + verified grassroots + straight-line geo only; transport not yet routed</x:v>
      </x:c>
      <x:c r="AA468" s="12"/>
      <x:c r="AB468" s="12"/>
      <x:c r="AC468" s="12"/>
      <x:c r="AD468" s="12"/>
      <x:c r="AE468" t="str">
        <x:v>Charlton Athletic Women</x:v>
      </x:c>
      <x:c r="AF468" s="45" t="n">
        <x:v>3.0614860154891526</x:v>
      </x:c>
      <x:c r="AG468" t="str">
        <x:v>Millwall Lionesses</x:v>
      </x:c>
      <x:c r="AH468" s="45" t="n">
        <x:v>8.696752207834084</x:v>
      </x:c>
      <x:c r="AI468" t="n">
        <x:v>81</x:v>
      </x:c>
      <x:c r="AJ468" t="str">
        <x:v>HIGH</x:v>
      </x:c>
    </x:row>
    <x:row r="469">
      <x:c r="A469" s="12" t="str">
        <x:v>E01001695</x:v>
      </x:c>
      <x:c r="B469" s="12" t="str">
        <x:v>Greenwich 011A</x:v>
      </x:c>
      <x:c r="C469" s="12" t="str">
        <x:v>Greenwich</x:v>
      </x:c>
      <x:c r="D469" s="44" t="n">
        <x:v>51.48739253069835</x:v>
      </x:c>
      <x:c r="E469" s="44" t="n">
        <x:v>0.07179149270827115</x:v>
      </x:c>
      <x:c r="F469" s="33" t="n">
        <x:v>562</x:v>
      </x:c>
      <x:c r="G469" s="33" t="n">
        <x:v>187</x:v>
      </x:c>
      <x:c r="H469" s="26" t="n">
        <x:v>0.33274021352313166</x:v>
      </x:c>
      <x:c r="I469" s="12" t="n">
        <x:v>0</x:v>
      </x:c>
      <x:c r="J469" s="12" t="n">
        <x:v>8</x:v>
      </x:c>
      <x:c r="K469" s="12"/>
      <x:c r="L469" s="12"/>
      <x:c r="M469" s="12" t="str">
        <x:f>IF(K469="", "", MAX(0,IF(K469&lt;=20,100,IF(K469&lt;=30,85,IF(K469&lt;=40,70,IF(K469&lt;=50,55,IF(K469&lt;=60,40,20)))))-MIN(L469*5,20)))</x:f>
      </x:c>
      <x:c r="N469" s="12"/>
      <x:c r="O469" s="12"/>
      <x:c r="P469" s="12" t="str">
        <x:f>IF(OR(H469="",J469="",M469=""),"",ROUND(PERCENTRANK.INC($H$2:$H$941,H469)*35+J469*0.35+M469*0.30,0))</x:f>
      </x:c>
      <x:c r="Q469" s="12" t="str">
        <x:f>IF(P469="","",IF(P469&gt;=80,"ATTACK",IF(P469&gt;=65,"GROW",IF(P469&gt;=50,"PARTNER","WATCH"))))</x:f>
      </x:c>
      <x:c r="R469" s="12" t="str">
        <x:f>IF(Q469="","",IF(Q469="ATTACK","Grassroots + family acquisition",IF(Q469="GROW","Test local campaign",IF(Q469="PARTNER","Organisation-first partnership","Low priority / validate"))))</x:f>
      </x:c>
      <x:c r="S469" s="45" t="n">
        <x:v>11.356640098111301</x:v>
      </x:c>
      <x:c r="T469" t="str">
        <x:v>EXTENDED</x:v>
      </x:c>
      <x:c r="U469" s="32" t="n">
        <x:f>PERCENTRANK.INC($G$2:$G$941,G469)</x:f>
        <x:v>0.29</x:v>
      </x:c>
      <x:c r="V469" s="32" t="n">
        <x:f>PERCENTRANK.INC($H$2:$H$941,H469)</x:f>
        <x:v>0.585</x:v>
      </x:c>
      <x:c r="W469" t="n">
        <x:f>ROUND((U469*55+V469*45)*IF(S469&lt;=5,1,IF(S469&lt;=10,0.95,IF(S469&lt;=20,0.85,0.70))),0)</x:f>
        <x:v>36</x:v>
      </x:c>
      <x:c r="X469" t="n">
        <x:v>24</x:v>
      </x:c>
      <x:c r="Y469" t="str">
        <x:v>WATCH</x:v>
      </x:c>
      <x:c r="Z469" s="12" t="str">
        <x:v>Family + verified grassroots + straight-line geo only; transport not yet routed</x:v>
      </x:c>
      <x:c r="AA469" s="12"/>
      <x:c r="AB469" s="12"/>
      <x:c r="AC469" s="12"/>
      <x:c r="AD469" s="12"/>
      <x:c r="AE469" t="str">
        <x:v>Charlton Athletic Women</x:v>
      </x:c>
      <x:c r="AF469" s="45" t="n">
        <x:v>2.4703001044149167</x:v>
      </x:c>
      <x:c r="AG469" t="str">
        <x:v>Millwall Lionesses</x:v>
      </x:c>
      <x:c r="AH469" s="45" t="n">
        <x:v>8.029955025362247</x:v>
      </x:c>
      <x:c r="AI469" t="n">
        <x:v>92</x:v>
      </x:c>
      <x:c r="AJ469" t="str">
        <x:v>HIGH</x:v>
      </x:c>
    </x:row>
    <x:row r="470">
      <x:c r="A470" s="12" t="str">
        <x:v>E01001696</x:v>
      </x:c>
      <x:c r="B470" s="12" t="str">
        <x:v>Greenwich 011B</x:v>
      </x:c>
      <x:c r="C470" s="12" t="str">
        <x:v>Greenwich</x:v>
      </x:c>
      <x:c r="D470" s="44" t="n">
        <x:v>51.487671799528364</x:v>
      </x:c>
      <x:c r="E470" s="44" t="n">
        <x:v>0.06662770917133946</x:v>
      </x:c>
      <x:c r="F470" s="33" t="n">
        <x:v>1142</x:v>
      </x:c>
      <x:c r="G470" s="33" t="n">
        <x:v>341</x:v>
      </x:c>
      <x:c r="H470" s="26" t="n">
        <x:v>0.29859894921190894</x:v>
      </x:c>
      <x:c r="I470" s="12" t="n">
        <x:v>0</x:v>
      </x:c>
      <x:c r="J470" s="12" t="n">
        <x:v>15</x:v>
      </x:c>
      <x:c r="K470" s="12"/>
      <x:c r="L470" s="12"/>
      <x:c r="M470" s="12" t="str">
        <x:f>IF(K470="", "", MAX(0,IF(K470&lt;=20,100,IF(K470&lt;=30,85,IF(K470&lt;=40,70,IF(K470&lt;=50,55,IF(K470&lt;=60,40,20)))))-MIN(L470*5,20)))</x:f>
      </x:c>
      <x:c r="N470" s="12"/>
      <x:c r="O470" s="12"/>
      <x:c r="P470" s="12" t="str">
        <x:f>IF(OR(H470="",J470="",M470=""),"",ROUND(PERCENTRANK.INC($H$2:$H$941,H470)*35+J470*0.35+M470*0.30,0))</x:f>
      </x:c>
      <x:c r="Q470" s="12" t="str">
        <x:f>IF(P470="","",IF(P470&gt;=80,"ATTACK",IF(P470&gt;=65,"GROW",IF(P470&gt;=50,"PARTNER","WATCH"))))</x:f>
      </x:c>
      <x:c r="R470" s="12" t="str">
        <x:f>IF(Q470="","",IF(Q470="ATTACK","Grassroots + family acquisition",IF(Q470="GROW","Test local campaign",IF(Q470="PARTNER","Organisation-first partnership","Low priority / validate"))))</x:f>
      </x:c>
      <x:c r="S470" s="45" t="n">
        <x:v>11.273186566257667</x:v>
      </x:c>
      <x:c r="T470" t="str">
        <x:v>EXTENDED</x:v>
      </x:c>
      <x:c r="U470" s="32" t="n">
        <x:f>PERCENTRANK.INC($G$2:$G$941,G470)</x:f>
        <x:v>0.981</x:v>
      </x:c>
      <x:c r="V470" s="32" t="n">
        <x:f>PERCENTRANK.INC($H$2:$H$941,H470)</x:f>
        <x:v>0.384</x:v>
      </x:c>
      <x:c r="W470" t="n">
        <x:f>ROUND((U470*55+V470*45)*IF(S470&lt;=5,1,IF(S470&lt;=10,0.95,IF(S470&lt;=20,0.85,0.70))),0)</x:f>
        <x:v>61</x:v>
      </x:c>
      <x:c r="X470" t="n">
        <x:v>40</x:v>
      </x:c>
      <x:c r="Y470" t="str">
        <x:v>WATCH</x:v>
      </x:c>
      <x:c r="Z470" s="12" t="str">
        <x:v>Family + verified grassroots + straight-line geo only; transport not yet routed</x:v>
      </x:c>
      <x:c r="AA470" s="12"/>
      <x:c r="AB470" s="12"/>
      <x:c r="AC470" s="12"/>
      <x:c r="AD470" s="12"/>
      <x:c r="AE470" t="str">
        <x:v>Charlton Athletic Women</x:v>
      </x:c>
      <x:c r="AF470" s="45" t="n">
        <x:v>2.1150174449519215</x:v>
      </x:c>
      <x:c r="AG470" t="str">
        <x:v>Millwall Lionesses</x:v>
      </x:c>
      <x:c r="AH470" s="45" t="n">
        <x:v>7.676938047543884</x:v>
      </x:c>
      <x:c r="AI470" t="n">
        <x:v>92</x:v>
      </x:c>
      <x:c r="AJ470" t="str">
        <x:v>HIGH</x:v>
      </x:c>
    </x:row>
    <x:row r="471">
      <x:c r="A471" s="12" t="str">
        <x:v>E01001697</x:v>
      </x:c>
      <x:c r="B471" s="12" t="str">
        <x:v>Greenwich 011C</x:v>
      </x:c>
      <x:c r="C471" s="12" t="str">
        <x:v>Greenwich</x:v>
      </x:c>
      <x:c r="D471" s="44" t="n">
        <x:v>51.48395875141516</x:v>
      </x:c>
      <x:c r="E471" s="44" t="n">
        <x:v>0.06744570126125497</x:v>
      </x:c>
      <x:c r="F471" s="33" t="n">
        <x:v>938</x:v>
      </x:c>
      <x:c r="G471" s="33" t="n">
        <x:v>360</x:v>
      </x:c>
      <x:c r="H471" s="26" t="n">
        <x:v>0.3837953091684435</x:v>
      </x:c>
      <x:c r="I471" s="12" t="n">
        <x:v>0</x:v>
      </x:c>
      <x:c r="J471" s="12" t="n">
        <x:v>15</x:v>
      </x:c>
      <x:c r="K471" s="12"/>
      <x:c r="L471" s="12"/>
      <x:c r="M471" s="12" t="str">
        <x:f>IF(K471="", "", MAX(0,IF(K471&lt;=20,100,IF(K471&lt;=30,85,IF(K471&lt;=40,70,IF(K471&lt;=50,55,IF(K471&lt;=60,40,20)))))-MIN(L471*5,20)))</x:f>
      </x:c>
      <x:c r="N471" s="12"/>
      <x:c r="O471" s="12"/>
      <x:c r="P471" s="12" t="str">
        <x:f>IF(OR(H471="",J471="",M471=""),"",ROUND(PERCENTRANK.INC($H$2:$H$941,H471)*35+J471*0.35+M471*0.30,0))</x:f>
      </x:c>
      <x:c r="Q471" s="12" t="str">
        <x:f>IF(P471="","",IF(P471&gt;=80,"ATTACK",IF(P471&gt;=65,"GROW",IF(P471&gt;=50,"PARTNER","WATCH"))))</x:f>
      </x:c>
      <x:c r="R471" s="12" t="str">
        <x:f>IF(Q471="","",IF(Q471="ATTACK","Grassroots + family acquisition",IF(Q471="GROW","Test local campaign",IF(Q471="PARTNER","Organisation-first partnership","Low priority / validate"))))</x:f>
      </x:c>
      <x:c r="S471" s="45" t="n">
        <x:v>10.897985953275759</x:v>
      </x:c>
      <x:c r="T471" t="str">
        <x:v>EXTENDED</x:v>
      </x:c>
      <x:c r="U471" s="32" t="n">
        <x:f>PERCENTRANK.INC($G$2:$G$941,G471)</x:f>
        <x:v>0.987</x:v>
      </x:c>
      <x:c r="V471" s="32" t="n">
        <x:f>PERCENTRANK.INC($H$2:$H$941,H471)</x:f>
        <x:v>0.851</x:v>
      </x:c>
      <x:c r="W471" t="n">
        <x:f>ROUND((U471*55+V471*45)*IF(S471&lt;=5,1,IF(S471&lt;=10,0.95,IF(S471&lt;=20,0.85,0.70))),0)</x:f>
        <x:v>79</x:v>
      </x:c>
      <x:c r="X471" t="n">
        <x:v>50</x:v>
      </x:c>
      <x:c r="Y471" t="str">
        <x:v>PARTNER</x:v>
      </x:c>
      <x:c r="Z471" s="12" t="str">
        <x:v>Family + verified grassroots + straight-line geo only; transport not yet routed</x:v>
      </x:c>
      <x:c r="AA471" s="12"/>
      <x:c r="AB471" s="12"/>
      <x:c r="AC471" s="12"/>
      <x:c r="AD471" s="12"/>
      <x:c r="AE471" t="str">
        <x:v>Charlton Athletic Women</x:v>
      </x:c>
      <x:c r="AF471" s="45" t="n">
        <x:v>2.183946477247887</x:v>
      </x:c>
      <x:c r="AG471" t="str">
        <x:v>Millwall Lionesses</x:v>
      </x:c>
      <x:c r="AH471" s="45" t="n">
        <x:v>7.851675449322654</x:v>
      </x:c>
      <x:c r="AI471" t="n">
        <x:v>92</x:v>
      </x:c>
      <x:c r="AJ471" t="str">
        <x:v>HIGH</x:v>
      </x:c>
    </x:row>
    <x:row r="472">
      <x:c r="A472" s="12" t="str">
        <x:v>E01001700</x:v>
      </x:c>
      <x:c r="B472" s="12" t="str">
        <x:v>Greenwich 011D</x:v>
      </x:c>
      <x:c r="C472" s="12" t="str">
        <x:v>Greenwich</x:v>
      </x:c>
      <x:c r="D472" s="44" t="n">
        <x:v>51.48331808285772</x:v>
      </x:c>
      <x:c r="E472" s="44" t="n">
        <x:v>0.07136875106717634</x:v>
      </x:c>
      <x:c r="F472" s="33" t="n">
        <x:v>798</x:v>
      </x:c>
      <x:c r="G472" s="33" t="n">
        <x:v>313</x:v>
      </x:c>
      <x:c r="H472" s="26" t="n">
        <x:v>0.39223057644110276</x:v>
      </x:c>
      <x:c r="I472" s="12" t="n">
        <x:v>0</x:v>
      </x:c>
      <x:c r="J472" s="12" t="n">
        <x:v>15</x:v>
      </x:c>
      <x:c r="K472" s="12"/>
      <x:c r="L472" s="12"/>
      <x:c r="M472" s="12" t="str">
        <x:f>IF(K472="", "", MAX(0,IF(K472&lt;=20,100,IF(K472&lt;=30,85,IF(K472&lt;=40,70,IF(K472&lt;=50,55,IF(K472&lt;=60,40,20)))))-MIN(L472*5,20)))</x:f>
      </x:c>
      <x:c r="N472" s="12"/>
      <x:c r="O472" s="12"/>
      <x:c r="P472" s="12" t="str">
        <x:f>IF(OR(H472="",J472="",M472=""),"",ROUND(PERCENTRANK.INC($H$2:$H$941,H472)*35+J472*0.35+M472*0.30,0))</x:f>
      </x:c>
      <x:c r="Q472" s="12" t="str">
        <x:f>IF(P472="","",IF(P472&gt;=80,"ATTACK",IF(P472&gt;=65,"GROW",IF(P472&gt;=50,"PARTNER","WATCH"))))</x:f>
      </x:c>
      <x:c r="R472" s="12" t="str">
        <x:f>IF(Q472="","",IF(Q472="ATTACK","Grassroots + family acquisition",IF(Q472="GROW","Test local campaign",IF(Q472="PARTNER","Organisation-first partnership","Low priority / validate"))))</x:f>
      </x:c>
      <x:c r="S472" s="45" t="n">
        <x:v>10.920038462592938</x:v>
      </x:c>
      <x:c r="T472" t="str">
        <x:v>EXTENDED</x:v>
      </x:c>
      <x:c r="U472" s="32" t="n">
        <x:f>PERCENTRANK.INC($G$2:$G$941,G472)</x:f>
        <x:v>0.957</x:v>
      </x:c>
      <x:c r="V472" s="32" t="n">
        <x:f>PERCENTRANK.INC($H$2:$H$941,H472)</x:f>
        <x:v>0.881</x:v>
      </x:c>
      <x:c r="W472" t="n">
        <x:f>ROUND((U472*55+V472*45)*IF(S472&lt;=5,1,IF(S472&lt;=10,0.95,IF(S472&lt;=20,0.85,0.70))),0)</x:f>
        <x:v>78</x:v>
      </x:c>
      <x:c r="X472" t="n">
        <x:v>50</x:v>
      </x:c>
      <x:c r="Y472" t="str">
        <x:v>PARTNER</x:v>
      </x:c>
      <x:c r="Z472" s="12" t="str">
        <x:v>Family + verified grassroots + straight-line geo only; transport not yet routed</x:v>
      </x:c>
      <x:c r="AA472" s="12"/>
      <x:c r="AB472" s="12"/>
      <x:c r="AC472" s="12"/>
      <x:c r="AD472" s="12"/>
      <x:c r="AE472" t="str">
        <x:v>Charlton Athletic Women</x:v>
      </x:c>
      <x:c r="AF472" s="45" t="n">
        <x:v>2.462632447533618</x:v>
      </x:c>
      <x:c r="AG472" t="str">
        <x:v>Millwall Lionesses</x:v>
      </x:c>
      <x:c r="AH472" s="45" t="n">
        <x:v>8.131956922523347</x:v>
      </x:c>
      <x:c r="AI472" t="n">
        <x:v>92</x:v>
      </x:c>
      <x:c r="AJ472" t="str">
        <x:v>HIGH</x:v>
      </x:c>
    </x:row>
    <x:row r="473">
      <x:c r="A473" s="12" t="str">
        <x:v>E01001703</x:v>
      </x:c>
      <x:c r="B473" s="12" t="str">
        <x:v>Greenwich 011E</x:v>
      </x:c>
      <x:c r="C473" s="12" t="str">
        <x:v>Greenwich</x:v>
      </x:c>
      <x:c r="D473" s="44" t="n">
        <x:v>51.48019209620916</x:v>
      </x:c>
      <x:c r="E473" s="44" t="n">
        <x:v>0.07043425186651059</x:v>
      </x:c>
      <x:c r="F473" s="33" t="n">
        <x:v>763</x:v>
      </x:c>
      <x:c r="G473" s="33" t="n">
        <x:v>335</x:v>
      </x:c>
      <x:c r="H473" s="26" t="n">
        <x:v>0.43905635648754915</x:v>
      </x:c>
      <x:c r="I473" s="12" t="n">
        <x:v>0</x:v>
      </x:c>
      <x:c r="J473" s="12" t="n">
        <x:v>15</x:v>
      </x:c>
      <x:c r="K473" s="12"/>
      <x:c r="L473" s="12"/>
      <x:c r="M473" s="12" t="str">
        <x:f>IF(K473="", "", MAX(0,IF(K473&lt;=20,100,IF(K473&lt;=30,85,IF(K473&lt;=40,70,IF(K473&lt;=50,55,IF(K473&lt;=60,40,20)))))-MIN(L473*5,20)))</x:f>
      </x:c>
      <x:c r="N473" s="12"/>
      <x:c r="O473" s="12"/>
      <x:c r="P473" s="12" t="str">
        <x:f>IF(OR(H473="",J473="",M473=""),"",ROUND(PERCENTRANK.INC($H$2:$H$941,H473)*35+J473*0.35+M473*0.30,0))</x:f>
      </x:c>
      <x:c r="Q473" s="12" t="str">
        <x:f>IF(P473="","",IF(P473&gt;=80,"ATTACK",IF(P473&gt;=65,"GROW",IF(P473&gt;=50,"PARTNER","WATCH"))))</x:f>
      </x:c>
      <x:c r="R473" s="12" t="str">
        <x:f>IF(Q473="","",IF(Q473="ATTACK","Grassroots + family acquisition",IF(Q473="GROW","Test local campaign",IF(Q473="PARTNER","Organisation-first partnership","Low priority / validate"))))</x:f>
      </x:c>
      <x:c r="S473" s="45" t="n">
        <x:v>10.571364624723955</x:v>
      </x:c>
      <x:c r="T473" t="str">
        <x:v>EXTENDED</x:v>
      </x:c>
      <x:c r="U473" s="32" t="n">
        <x:f>PERCENTRANK.INC($G$2:$G$941,G473)</x:f>
        <x:v>0.979</x:v>
      </x:c>
      <x:c r="V473" s="32" t="n">
        <x:f>PERCENTRANK.INC($H$2:$H$941,H473)</x:f>
        <x:v>0.973</x:v>
      </x:c>
      <x:c r="W473" t="n">
        <x:f>ROUND((U473*55+V473*45)*IF(S473&lt;=5,1,IF(S473&lt;=10,0.95,IF(S473&lt;=20,0.85,0.70))),0)</x:f>
        <x:v>83</x:v>
      </x:c>
      <x:c r="X473" t="n">
        <x:v>52</x:v>
      </x:c>
      <x:c r="Y473" t="str">
        <x:v>PARTNER</x:v>
      </x:c>
      <x:c r="Z473" s="12" t="str">
        <x:v>Family + verified grassroots + straight-line geo only; transport not yet routed</x:v>
      </x:c>
      <x:c r="AA473" s="12"/>
      <x:c r="AB473" s="12"/>
      <x:c r="AC473" s="12"/>
      <x:c r="AD473" s="12"/>
      <x:c r="AE473" t="str">
        <x:v>Charlton Athletic Women</x:v>
      </x:c>
      <x:c r="AF473" s="45" t="n">
        <x:v>2.4723647552962347</x:v>
      </x:c>
      <x:c r="AG473" t="str">
        <x:v>Millwall Lionesses</x:v>
      </x:c>
      <x:c r="AH473" s="45" t="n">
        <x:v>8.18681442728498</x:v>
      </x:c>
      <x:c r="AI473" t="n">
        <x:v>92</x:v>
      </x:c>
      <x:c r="AJ473" t="str">
        <x:v>HIGH</x:v>
      </x:c>
    </x:row>
    <x:row r="474">
      <x:c r="A474" s="12" t="str">
        <x:v>E01001704</x:v>
      </x:c>
      <x:c r="B474" s="12" t="str">
        <x:v>Greenwich 011F</x:v>
      </x:c>
      <x:c r="C474" s="12" t="str">
        <x:v>Greenwich</x:v>
      </x:c>
      <x:c r="D474" s="44" t="n">
        <x:v>51.47986934930996</x:v>
      </x:c>
      <x:c r="E474" s="44" t="n">
        <x:v>0.07596275382635405</x:v>
      </x:c>
      <x:c r="F474" s="33" t="n">
        <x:v>618</x:v>
      </x:c>
      <x:c r="G474" s="33" t="n">
        <x:v>207</x:v>
      </x:c>
      <x:c r="H474" s="26" t="n">
        <x:v>0.33495145631067963</x:v>
      </x:c>
      <x:c r="I474" s="12" t="n">
        <x:v>0</x:v>
      </x:c>
      <x:c r="J474" s="12" t="n">
        <x:v>8</x:v>
      </x:c>
      <x:c r="K474" s="12"/>
      <x:c r="L474" s="12"/>
      <x:c r="M474" s="12" t="str">
        <x:f>IF(K474="", "", MAX(0,IF(K474&lt;=20,100,IF(K474&lt;=30,85,IF(K474&lt;=40,70,IF(K474&lt;=50,55,IF(K474&lt;=60,40,20)))))-MIN(L474*5,20)))</x:f>
      </x:c>
      <x:c r="N474" s="12"/>
      <x:c r="O474" s="12"/>
      <x:c r="P474" s="12" t="str">
        <x:f>IF(OR(H474="",J474="",M474=""),"",ROUND(PERCENTRANK.INC($H$2:$H$941,H474)*35+J474*0.35+M474*0.30,0))</x:f>
      </x:c>
      <x:c r="Q474" s="12" t="str">
        <x:f>IF(P474="","",IF(P474&gt;=80,"ATTACK",IF(P474&gt;=65,"GROW",IF(P474&gt;=50,"PARTNER","WATCH"))))</x:f>
      </x:c>
      <x:c r="R474" s="12" t="str">
        <x:f>IF(Q474="","",IF(Q474="ATTACK","Grassroots + family acquisition",IF(Q474="GROW","Test local campaign",IF(Q474="PARTNER","Organisation-first partnership","Low priority / validate"))))</x:f>
      </x:c>
      <x:c r="S474" s="45" t="n">
        <x:v>10.676667749177385</x:v>
      </x:c>
      <x:c r="T474" t="str">
        <x:v>EXTENDED</x:v>
      </x:c>
      <x:c r="U474" s="32" t="n">
        <x:f>PERCENTRANK.INC($G$2:$G$941,G474)</x:f>
        <x:v>0.444</x:v>
      </x:c>
      <x:c r="V474" s="32" t="n">
        <x:f>PERCENTRANK.INC($H$2:$H$941,H474)</x:f>
        <x:v>0.598</x:v>
      </x:c>
      <x:c r="W474" t="n">
        <x:f>ROUND((U474*55+V474*45)*IF(S474&lt;=5,1,IF(S474&lt;=10,0.95,IF(S474&lt;=20,0.85,0.70))),0)</x:f>
        <x:v>44</x:v>
      </x:c>
      <x:c r="X474" t="n">
        <x:v>28</x:v>
      </x:c>
      <x:c r="Y474" t="str">
        <x:v>WATCH</x:v>
      </x:c>
      <x:c r="Z474" s="12" t="str">
        <x:v>Family + verified grassroots + straight-line geo only; transport not yet routed</x:v>
      </x:c>
      <x:c r="AA474" s="12"/>
      <x:c r="AB474" s="12"/>
      <x:c r="AC474" s="12"/>
      <x:c r="AD474" s="12"/>
      <x:c r="AE474" t="str">
        <x:v>Charlton Athletic Women</x:v>
      </x:c>
      <x:c r="AF474" s="45" t="n">
        <x:v>2.8509164509302733</x:v>
      </x:c>
      <x:c r="AG474" t="str">
        <x:v>Millwall Lionesses</x:v>
      </x:c>
      <x:c r="AH474" s="45" t="n">
        <x:v>8.558246282561898</x:v>
      </x:c>
      <x:c r="AI474" t="n">
        <x:v>92</x:v>
      </x:c>
      <x:c r="AJ474" t="str">
        <x:v>HIGH</x:v>
      </x:c>
    </x:row>
    <x:row r="475">
      <x:c r="A475" s="12" t="str">
        <x:v>E01001588</x:v>
      </x:c>
      <x:c r="B475" s="12" t="str">
        <x:v>Greenwich 012A</x:v>
      </x:c>
      <x:c r="C475" s="12" t="str">
        <x:v>Greenwich</x:v>
      </x:c>
      <x:c r="D475" s="44" t="n">
        <x:v>51.48319666629372</x:v>
      </x:c>
      <x:c r="E475" s="44" t="n">
        <x:v>0.04304528573267806</x:v>
      </x:c>
      <x:c r="F475" s="33" t="n">
        <x:v>635</x:v>
      </x:c>
      <x:c r="G475" s="33" t="n">
        <x:v>177</x:v>
      </x:c>
      <x:c r="H475" s="26" t="n">
        <x:v>0.27874015748031494</x:v>
      </x:c>
      <x:c r="I475" s="12" t="n">
        <x:v>0</x:v>
      </x:c>
      <x:c r="J475" s="12" t="n">
        <x:v>15</x:v>
      </x:c>
      <x:c r="K475" s="12"/>
      <x:c r="L475" s="12"/>
      <x:c r="M475" s="12" t="str">
        <x:f>IF(K475="", "", MAX(0,IF(K475&lt;=20,100,IF(K475&lt;=30,85,IF(K475&lt;=40,70,IF(K475&lt;=50,55,IF(K475&lt;=60,40,20)))))-MIN(L475*5,20)))</x:f>
      </x:c>
      <x:c r="N475" s="12"/>
      <x:c r="O475" s="12"/>
      <x:c r="P475" s="12" t="str">
        <x:f>IF(OR(H475="",J475="",M475=""),"",ROUND(PERCENTRANK.INC($H$2:$H$941,H475)*35+J475*0.35+M475*0.30,0))</x:f>
      </x:c>
      <x:c r="Q475" s="12" t="str">
        <x:f>IF(P475="","",IF(P475&gt;=80,"ATTACK",IF(P475&gt;=65,"GROW",IF(P475&gt;=50,"PARTNER","WATCH"))))</x:f>
      </x:c>
      <x:c r="R475" s="12" t="str">
        <x:f>IF(Q475="","",IF(Q475="ATTACK","Grassroots + family acquisition",IF(Q475="GROW","Test local campaign",IF(Q475="PARTNER","Organisation-first partnership","Low priority / validate"))))</x:f>
      </x:c>
      <x:c r="S475" s="45" t="n">
        <x:v>10.40289572551448</x:v>
      </x:c>
      <x:c r="T475" t="str">
        <x:v>EXTENDED</x:v>
      </x:c>
      <x:c r="U475" s="32" t="n">
        <x:f>PERCENTRANK.INC($G$2:$G$941,G475)</x:f>
        <x:v>0.202</x:v>
      </x:c>
      <x:c r="V475" s="32" t="n">
        <x:f>PERCENTRANK.INC($H$2:$H$941,H475)</x:f>
        <x:v>0.288</x:v>
      </x:c>
      <x:c r="W475" t="n">
        <x:f>ROUND((U475*55+V475*45)*IF(S475&lt;=5,1,IF(S475&lt;=10,0.95,IF(S475&lt;=20,0.85,0.70))),0)</x:f>
        <x:v>20</x:v>
      </x:c>
      <x:c r="X475" t="n">
        <x:v>18</x:v>
      </x:c>
      <x:c r="Y475" t="str">
        <x:v>WATCH</x:v>
      </x:c>
      <x:c r="Z475" s="12" t="str">
        <x:v>Family + verified grassroots + straight-line geo only; transport not yet routed</x:v>
      </x:c>
      <x:c r="AA475" s="12"/>
      <x:c r="AB475" s="12"/>
      <x:c r="AC475" s="12"/>
      <x:c r="AD475" s="12"/>
      <x:c r="AE475" t="str">
        <x:v>Charlton Athletic Women</x:v>
      </x:c>
      <x:c r="AF475" s="45" t="n">
        <x:v>0.5956827080918181</x:v>
      </x:c>
      <x:c r="AG475" t="str">
        <x:v>Millwall Lionesses</x:v>
      </x:c>
      <x:c r="AH475" s="45" t="n">
        <x:v>6.304565530647188</x:v>
      </x:c>
      <x:c r="AI475" t="n">
        <x:v>92</x:v>
      </x:c>
      <x:c r="AJ475" t="str">
        <x:v>HIGH</x:v>
      </x:c>
    </x:row>
    <x:row r="476">
      <x:c r="A476" s="12" t="str">
        <x:v>E01001589</x:v>
      </x:c>
      <x:c r="B476" s="12" t="str">
        <x:v>Greenwich 012B</x:v>
      </x:c>
      <x:c r="C476" s="12" t="str">
        <x:v>Greenwich</x:v>
      </x:c>
      <x:c r="D476" s="44" t="n">
        <x:v>51.4868979413074</x:v>
      </x:c>
      <x:c r="E476" s="44" t="n">
        <x:v>0.03820764080620949</x:v>
      </x:c>
      <x:c r="F476" s="33" t="n">
        <x:v>677</x:v>
      </x:c>
      <x:c r="G476" s="33" t="n">
        <x:v>222</x:v>
      </x:c>
      <x:c r="H476" s="26" t="n">
        <x:v>0.32791728212703103</x:v>
      </x:c>
      <x:c r="I476" s="12" t="n">
        <x:v>0</x:v>
      </x:c>
      <x:c r="J476" s="12" t="n">
        <x:v>14</x:v>
      </x:c>
      <x:c r="K476" s="12"/>
      <x:c r="L476" s="12"/>
      <x:c r="M476" s="12" t="str">
        <x:f>IF(K476="", "", MAX(0,IF(K476&lt;=20,100,IF(K476&lt;=30,85,IF(K476&lt;=40,70,IF(K476&lt;=50,55,IF(K476&lt;=60,40,20)))))-MIN(L476*5,20)))</x:f>
      </x:c>
      <x:c r="N476" s="12"/>
      <x:c r="O476" s="12"/>
      <x:c r="P476" s="12" t="str">
        <x:f>IF(OR(H476="",J476="",M476=""),"",ROUND(PERCENTRANK.INC($H$2:$H$941,H476)*35+J476*0.35+M476*0.30,0))</x:f>
      </x:c>
      <x:c r="Q476" s="12" t="str">
        <x:f>IF(P476="","",IF(P476&gt;=80,"ATTACK",IF(P476&gt;=65,"GROW",IF(P476&gt;=50,"PARTNER","WATCH"))))</x:f>
      </x:c>
      <x:c r="R476" s="12" t="str">
        <x:f>IF(Q476="","",IF(Q476="ATTACK","Grassroots + family acquisition",IF(Q476="GROW","Test local campaign",IF(Q476="PARTNER","Organisation-first partnership","Low priority / validate"))))</x:f>
      </x:c>
      <x:c r="S476" s="45" t="n">
        <x:v>10.759375230071395</x:v>
      </x:c>
      <x:c r="T476" t="str">
        <x:v>EXTENDED</x:v>
      </x:c>
      <x:c r="U476" s="32" t="n">
        <x:f>PERCENTRANK.INC($G$2:$G$941,G476)</x:f>
        <x:v>0.559</x:v>
      </x:c>
      <x:c r="V476" s="32" t="n">
        <x:f>PERCENTRANK.INC($H$2:$H$941,H476)</x:f>
        <x:v>0.555</x:v>
      </x:c>
      <x:c r="W476" t="n">
        <x:f>ROUND((U476*55+V476*45)*IF(S476&lt;=5,1,IF(S476&lt;=10,0.95,IF(S476&lt;=20,0.85,0.70))),0)</x:f>
        <x:v>47</x:v>
      </x:c>
      <x:c r="X476" t="n">
        <x:v>33</x:v>
      </x:c>
      <x:c r="Y476" t="str">
        <x:v>WATCH</x:v>
      </x:c>
      <x:c r="Z476" s="12" t="str">
        <x:v>Family + verified grassroots + straight-line geo only; transport not yet routed</x:v>
      </x:c>
      <x:c r="AA476" s="12"/>
      <x:c r="AB476" s="12"/>
      <x:c r="AC476" s="12"/>
      <x:c r="AD476" s="12"/>
      <x:c r="AE476" t="str">
        <x:v>Charlton Athletic Women</x:v>
      </x:c>
      <x:c r="AF476" s="45" t="n">
        <x:v>0.1528534509261166</x:v>
      </x:c>
      <x:c r="AG476" t="str">
        <x:v>Millwall Lionesses</x:v>
      </x:c>
      <x:c r="AH476" s="45" t="n">
        <x:v>5.836430427607438</x:v>
      </x:c>
      <x:c r="AI476" t="n">
        <x:v>96</x:v>
      </x:c>
      <x:c r="AJ476" t="str">
        <x:v>HIGH</x:v>
      </x:c>
    </x:row>
    <x:row r="477">
      <x:c r="A477" s="12" t="str">
        <x:v>E01001591</x:v>
      </x:c>
      <x:c r="B477" s="12" t="str">
        <x:v>Greenwich 012C</x:v>
      </x:c>
      <x:c r="C477" s="12" t="str">
        <x:v>Greenwich</x:v>
      </x:c>
      <x:c r="D477" s="44" t="n">
        <x:v>51.48322505216709</x:v>
      </x:c>
      <x:c r="E477" s="44" t="n">
        <x:v>0.03474316056881535</x:v>
      </x:c>
      <x:c r="F477" s="33" t="n">
        <x:v>808</x:v>
      </x:c>
      <x:c r="G477" s="33" t="n">
        <x:v>278</x:v>
      </x:c>
      <x:c r="H477" s="26" t="n">
        <x:v>0.34405940594059403</x:v>
      </x:c>
      <x:c r="I477" s="12" t="n">
        <x:v>0</x:v>
      </x:c>
      <x:c r="J477" s="12" t="n">
        <x:v>14</x:v>
      </x:c>
      <x:c r="K477" s="12"/>
      <x:c r="L477" s="12"/>
      <x:c r="M477" s="12" t="str">
        <x:f>IF(K477="", "", MAX(0,IF(K477&lt;=20,100,IF(K477&lt;=30,85,IF(K477&lt;=40,70,IF(K477&lt;=50,55,IF(K477&lt;=60,40,20)))))-MIN(L477*5,20)))</x:f>
      </x:c>
      <x:c r="N477" s="12"/>
      <x:c r="O477" s="12"/>
      <x:c r="P477" s="12" t="str">
        <x:f>IF(OR(H477="",J477="",M477=""),"",ROUND(PERCENTRANK.INC($H$2:$H$941,H477)*35+J477*0.35+M477*0.30,0))</x:f>
      </x:c>
      <x:c r="Q477" s="12" t="str">
        <x:f>IF(P477="","",IF(P477&gt;=80,"ATTACK",IF(P477&gt;=65,"GROW",IF(P477&gt;=50,"PARTNER","WATCH"))))</x:f>
      </x:c>
      <x:c r="R477" s="12" t="str">
        <x:f>IF(Q477="","",IF(Q477="ATTACK","Grassroots + family acquisition",IF(Q477="GROW","Test local campaign",IF(Q477="PARTNER","Organisation-first partnership","Low priority / validate"))))</x:f>
      </x:c>
      <x:c r="S477" s="45" t="n">
        <x:v>10.324481990474847</x:v>
      </x:c>
      <x:c r="T477" t="str">
        <x:v>EXTENDED</x:v>
      </x:c>
      <x:c r="U477" s="32" t="n">
        <x:f>PERCENTRANK.INC($G$2:$G$941,G477)</x:f>
        <x:v>0.893</x:v>
      </x:c>
      <x:c r="V477" s="32" t="n">
        <x:f>PERCENTRANK.INC($H$2:$H$941,H477)</x:f>
        <x:v>0.647</x:v>
      </x:c>
      <x:c r="W477" t="n">
        <x:f>ROUND((U477*55+V477*45)*IF(S477&lt;=5,1,IF(S477&lt;=10,0.95,IF(S477&lt;=20,0.85,0.70))),0)</x:f>
        <x:v>66</x:v>
      </x:c>
      <x:c r="X477" t="n">
        <x:v>43</x:v>
      </x:c>
      <x:c r="Y477" t="str">
        <x:v>WATCH</x:v>
      </x:c>
      <x:c r="Z477" s="12" t="str">
        <x:v>Family + verified grassroots + straight-line geo only; transport not yet routed</x:v>
      </x:c>
      <x:c r="AA477" s="12"/>
      <x:c r="AB477" s="12"/>
      <x:c r="AC477" s="12"/>
      <x:c r="AD477" s="12"/>
      <x:c r="AE477" t="str">
        <x:v>Charlton Athletic Women</x:v>
      </x:c>
      <x:c r="AF477" s="45" t="n">
        <x:v>0.3662319700726066</x:v>
      </x:c>
      <x:c r="AG477" t="str">
        <x:v>Millwall Lionesses</x:v>
      </x:c>
      <x:c r="AH477" s="45" t="n">
        <x:v>5.782361159710066</x:v>
      </x:c>
      <x:c r="AI477" t="n">
        <x:v>96</x:v>
      </x:c>
      <x:c r="AJ477" t="str">
        <x:v>HIGH</x:v>
      </x:c>
    </x:row>
    <x:row r="478">
      <x:c r="A478" s="12" t="str">
        <x:v>E01001595</x:v>
      </x:c>
      <x:c r="B478" s="12" t="str">
        <x:v>Greenwich 012D</x:v>
      </x:c>
      <x:c r="C478" s="12" t="str">
        <x:v>Greenwich</x:v>
      </x:c>
      <x:c r="D478" s="44" t="n">
        <x:v>51.477652612766185</x:v>
      </x:c>
      <x:c r="E478" s="44" t="n">
        <x:v>0.03200085377919084</x:v>
      </x:c>
      <x:c r="F478" s="33" t="n">
        <x:v>732</x:v>
      </x:c>
      <x:c r="G478" s="33" t="n">
        <x:v>344</x:v>
      </x:c>
      <x:c r="H478" s="26" t="n">
        <x:v>0.46994535519125685</x:v>
      </x:c>
      <x:c r="I478" s="12" t="n">
        <x:v>1</x:v>
      </x:c>
      <x:c r="J478" s="12" t="n">
        <x:v>30</x:v>
      </x:c>
      <x:c r="K478" s="12"/>
      <x:c r="L478" s="12"/>
      <x:c r="M478" s="12" t="str">
        <x:f>IF(K478="", "", MAX(0,IF(K478&lt;=20,100,IF(K478&lt;=30,85,IF(K478&lt;=40,70,IF(K478&lt;=50,55,IF(K478&lt;=60,40,20)))))-MIN(L478*5,20)))</x:f>
      </x:c>
      <x:c r="N478" s="12"/>
      <x:c r="O478" s="12"/>
      <x:c r="P478" s="12" t="str">
        <x:f>IF(OR(H478="",J478="",M478=""),"",ROUND(PERCENTRANK.INC($H$2:$H$941,H478)*35+J478*0.35+M478*0.30,0))</x:f>
      </x:c>
      <x:c r="Q478" s="12" t="str">
        <x:f>IF(P478="","",IF(P478&gt;=80,"ATTACK",IF(P478&gt;=65,"GROW",IF(P478&gt;=50,"PARTNER","WATCH"))))</x:f>
      </x:c>
      <x:c r="R478" s="12" t="str">
        <x:f>IF(Q478="","",IF(Q478="ATTACK","Grassroots + family acquisition",IF(Q478="GROW","Test local campaign",IF(Q478="PARTNER","Organisation-first partnership","Low priority / validate"))))</x:f>
      </x:c>
      <x:c r="S478" s="45" t="n">
        <x:v>9.687906111072586</x:v>
      </x:c>
      <x:c r="T478" t="str">
        <x:v>NEAR</x:v>
      </x:c>
      <x:c r="U478" s="32" t="n">
        <x:f>PERCENTRANK.INC($G$2:$G$941,G478)</x:f>
        <x:v>0.984</x:v>
      </x:c>
      <x:c r="V478" s="32" t="n">
        <x:f>PERCENTRANK.INC($H$2:$H$941,H478)</x:f>
        <x:v>0.984</x:v>
      </x:c>
      <x:c r="W478" t="n">
        <x:f>ROUND((U478*55+V478*45)*IF(S478&lt;=5,1,IF(S478&lt;=10,0.95,IF(S478&lt;=20,0.85,0.70))),0)</x:f>
        <x:v>93</x:v>
      </x:c>
      <x:c r="X478" t="n">
        <x:v>65</x:v>
      </x:c>
      <x:c r="Y478" t="str">
        <x:v>GROW</x:v>
      </x:c>
      <x:c r="Z478" s="12" t="str">
        <x:v>Family + verified grassroots + straight-line geo only; transport not yet routed</x:v>
      </x:c>
      <x:c r="AA478" s="12"/>
      <x:c r="AB478" s="12"/>
      <x:c r="AC478" s="12"/>
      <x:c r="AD478" s="12"/>
      <x:c r="AE478" t="str">
        <x:v>Charlton Athletic Women</x:v>
      </x:c>
      <x:c r="AF478" s="45" t="n">
        <x:v>1.014215198131772</x:v>
      </x:c>
      <x:c r="AG478" t="str">
        <x:v>Millwall Lionesses</x:v>
      </x:c>
      <x:c r="AH478" s="45" t="n">
        <x:v>5.9201944604570755</x:v>
      </x:c>
      <x:c r="AI478" t="n">
        <x:v>96</x:v>
      </x:c>
      <x:c r="AJ478" t="str">
        <x:v>HIGH</x:v>
      </x:c>
    </x:row>
    <x:row r="479">
      <x:c r="A479" s="12" t="str">
        <x:v>E01001590</x:v>
      </x:c>
      <x:c r="B479" s="12" t="str">
        <x:v>Greenwich 014A</x:v>
      </x:c>
      <x:c r="C479" s="12" t="str">
        <x:v>Greenwich</x:v>
      </x:c>
      <x:c r="D479" s="44" t="n">
        <x:v>51.484857839527244</x:v>
      </x:c>
      <x:c r="E479" s="44" t="n">
        <x:v>0.030258505873522117</x:v>
      </x:c>
      <x:c r="F479" s="33" t="n">
        <x:v>716</x:v>
      </x:c>
      <x:c r="G479" s="33" t="n">
        <x:v>192</x:v>
      </x:c>
      <x:c r="H479" s="26" t="n">
        <x:v>0.2681564245810056</x:v>
      </x:c>
      <x:c r="I479" s="12" t="n">
        <x:v>1</x:v>
      </x:c>
      <x:c r="J479" s="12" t="n">
        <x:v>22</x:v>
      </x:c>
      <x:c r="K479" s="12"/>
      <x:c r="L479" s="12"/>
      <x:c r="M479" s="12" t="str">
        <x:f>IF(K479="", "", MAX(0,IF(K479&lt;=20,100,IF(K479&lt;=30,85,IF(K479&lt;=40,70,IF(K479&lt;=50,55,IF(K479&lt;=60,40,20)))))-MIN(L479*5,20)))</x:f>
      </x:c>
      <x:c r="N479" s="12"/>
      <x:c r="O479" s="12"/>
      <x:c r="P479" s="12" t="str">
        <x:f>IF(OR(H479="",J479="",M479=""),"",ROUND(PERCENTRANK.INC($H$2:$H$941,H479)*35+J479*0.35+M479*0.30,0))</x:f>
      </x:c>
      <x:c r="Q479" s="12" t="str">
        <x:f>IF(P479="","",IF(P479&gt;=80,"ATTACK",IF(P479&gt;=65,"GROW",IF(P479&gt;=50,"PARTNER","WATCH"))))</x:f>
      </x:c>
      <x:c r="R479" s="12" t="str">
        <x:f>IF(Q479="","",IF(Q479="ATTACK","Grassroots + family acquisition",IF(Q479="GROW","Test local campaign",IF(Q479="PARTNER","Organisation-first partnership","Low priority / validate"))))</x:f>
      </x:c>
      <x:c r="S479" s="45" t="n">
        <x:v>10.474485364467997</x:v>
      </x:c>
      <x:c r="T479" t="str">
        <x:v>EXTENDED</x:v>
      </x:c>
      <x:c r="U479" s="32" t="n">
        <x:f>PERCENTRANK.INC($G$2:$G$941,G479)</x:f>
        <x:v>0.325</x:v>
      </x:c>
      <x:c r="V479" s="32" t="n">
        <x:f>PERCENTRANK.INC($H$2:$H$941,H479)</x:f>
        <x:v>0.253</x:v>
      </x:c>
      <x:c r="W479" t="n">
        <x:f>ROUND((U479*55+V479*45)*IF(S479&lt;=5,1,IF(S479&lt;=10,0.95,IF(S479&lt;=20,0.85,0.70))),0)</x:f>
        <x:v>25</x:v>
      </x:c>
      <x:c r="X479" t="n">
        <x:v>24</x:v>
      </x:c>
      <x:c r="Y479" t="str">
        <x:v>WATCH</x:v>
      </x:c>
      <x:c r="Z479" s="12" t="str">
        <x:v>Family + verified grassroots + straight-line geo only; transport not yet routed</x:v>
      </x:c>
      <x:c r="AA479" s="12"/>
      <x:c r="AB479" s="12"/>
      <x:c r="AC479" s="12"/>
      <x:c r="AD479" s="12"/>
      <x:c r="AE479" t="str">
        <x:v>Charlton Athletic Women</x:v>
      </x:c>
      <x:c r="AF479" s="45" t="n">
        <x:v>0.44251732642420505</x:v>
      </x:c>
      <x:c r="AG479" t="str">
        <x:v>Millwall Lionesses</x:v>
      </x:c>
      <x:c r="AH479" s="45" t="n">
        <x:v>5.423630942311417</x:v>
      </x:c>
      <x:c r="AI479" t="n">
        <x:v>96</x:v>
      </x:c>
      <x:c r="AJ479" t="str">
        <x:v>HIGH</x:v>
      </x:c>
    </x:row>
    <x:row r="480">
      <x:c r="A480" s="12" t="str">
        <x:v>E01001592</x:v>
      </x:c>
      <x:c r="B480" s="12" t="str">
        <x:v>Greenwich 014B</x:v>
      </x:c>
      <x:c r="C480" s="12" t="str">
        <x:v>Greenwich</x:v>
      </x:c>
      <x:c r="D480" s="44" t="n">
        <x:v>51.48253391435482</x:v>
      </x:c>
      <x:c r="E480" s="44" t="n">
        <x:v>0.02537197883963402</x:v>
      </x:c>
      <x:c r="F480" s="33" t="n">
        <x:v>738</x:v>
      </x:c>
      <x:c r="G480" s="33" t="n">
        <x:v>261</x:v>
      </x:c>
      <x:c r="H480" s="26" t="n">
        <x:v>0.35365853658536583</x:v>
      </x:c>
      <x:c r="I480" s="12" t="n">
        <x:v>1</x:v>
      </x:c>
      <x:c r="J480" s="12" t="n">
        <x:v>22</x:v>
      </x:c>
      <x:c r="K480" s="12"/>
      <x:c r="L480" s="12"/>
      <x:c r="M480" s="12" t="str">
        <x:f>IF(K480="", "", MAX(0,IF(K480&lt;=20,100,IF(K480&lt;=30,85,IF(K480&lt;=40,70,IF(K480&lt;=50,55,IF(K480&lt;=60,40,20)))))-MIN(L480*5,20)))</x:f>
      </x:c>
      <x:c r="N480" s="12"/>
      <x:c r="O480" s="12"/>
      <x:c r="P480" s="12" t="str">
        <x:f>IF(OR(H480="",J480="",M480=""),"",ROUND(PERCENTRANK.INC($H$2:$H$941,H480)*35+J480*0.35+M480*0.30,0))</x:f>
      </x:c>
      <x:c r="Q480" s="12" t="str">
        <x:f>IF(P480="","",IF(P480&gt;=80,"ATTACK",IF(P480&gt;=65,"GROW",IF(P480&gt;=50,"PARTNER","WATCH"))))</x:f>
      </x:c>
      <x:c r="R480" s="12" t="str">
        <x:f>IF(Q480="","",IF(Q480="ATTACK","Grassroots + family acquisition",IF(Q480="GROW","Test local campaign",IF(Q480="PARTNER","Organisation-first partnership","Low priority / validate"))))</x:f>
      </x:c>
      <x:c r="S480" s="45" t="n">
        <x:v>10.193744876395769</x:v>
      </x:c>
      <x:c r="T480" t="str">
        <x:v>EXTENDED</x:v>
      </x:c>
      <x:c r="U480" s="32" t="n">
        <x:f>PERCENTRANK.INC($G$2:$G$941,G480)</x:f>
        <x:v>0.832</x:v>
      </x:c>
      <x:c r="V480" s="32" t="n">
        <x:f>PERCENTRANK.INC($H$2:$H$941,H480)</x:f>
        <x:v>0.706</x:v>
      </x:c>
      <x:c r="W480" t="n">
        <x:f>ROUND((U480*55+V480*45)*IF(S480&lt;=5,1,IF(S480&lt;=10,0.95,IF(S480&lt;=20,0.85,0.70))),0)</x:f>
        <x:v>66</x:v>
      </x:c>
      <x:c r="X480" t="n">
        <x:v>46</x:v>
      </x:c>
      <x:c r="Y480" t="str">
        <x:v>WATCH</x:v>
      </x:c>
      <x:c r="Z480" s="12" t="str">
        <x:v>Family + verified grassroots + straight-line geo only; transport not yet routed</x:v>
      </x:c>
      <x:c r="AA480" s="12"/>
      <x:c r="AB480" s="12"/>
      <x:c r="AC480" s="12"/>
      <x:c r="AD480" s="12"/>
      <x:c r="AE480" t="str">
        <x:v>Charlton Athletic Women</x:v>
      </x:c>
      <x:c r="AF480" s="45" t="n">
        <x:v>0.8612729974212016</x:v>
      </x:c>
      <x:c r="AG480" t="str">
        <x:v>Millwall Lionesses</x:v>
      </x:c>
      <x:c r="AH480" s="45" t="n">
        <x:v>5.246068880734694</x:v>
      </x:c>
      <x:c r="AI480" t="n">
        <x:v>96</x:v>
      </x:c>
      <x:c r="AJ480" t="str">
        <x:v>HIGH</x:v>
      </x:c>
    </x:row>
    <x:row r="481">
      <x:c r="A481" s="12" t="str">
        <x:v>E01001593</x:v>
      </x:c>
      <x:c r="B481" s="12" t="str">
        <x:v>Greenwich 014C</x:v>
      </x:c>
      <x:c r="C481" s="12" t="str">
        <x:v>Greenwich</x:v>
      </x:c>
      <x:c r="D481" s="44" t="n">
        <x:v>51.47886066448147</x:v>
      </x:c>
      <x:c r="E481" s="44" t="n">
        <x:v>0.02499809443168158</x:v>
      </x:c>
      <x:c r="F481" s="33" t="n">
        <x:v>763</x:v>
      </x:c>
      <x:c r="G481" s="33" t="n">
        <x:v>243</x:v>
      </x:c>
      <x:c r="H481" s="26" t="n">
        <x:v>0.31847968545216254</x:v>
      </x:c>
      <x:c r="I481" s="12" t="n">
        <x:v>1</x:v>
      </x:c>
      <x:c r="J481" s="12" t="n">
        <x:v>22</x:v>
      </x:c>
      <x:c r="K481" s="12"/>
      <x:c r="L481" s="12"/>
      <x:c r="M481" s="12" t="str">
        <x:f>IF(K481="", "", MAX(0,IF(K481&lt;=20,100,IF(K481&lt;=30,85,IF(K481&lt;=40,70,IF(K481&lt;=50,55,IF(K481&lt;=60,40,20)))))-MIN(L481*5,20)))</x:f>
      </x:c>
      <x:c r="N481" s="12"/>
      <x:c r="O481" s="12"/>
      <x:c r="P481" s="12" t="str">
        <x:f>IF(OR(H481="",J481="",M481=""),"",ROUND(PERCENTRANK.INC($H$2:$H$941,H481)*35+J481*0.35+M481*0.30,0))</x:f>
      </x:c>
      <x:c r="Q481" s="12" t="str">
        <x:f>IF(P481="","",IF(P481&gt;=80,"ATTACK",IF(P481&gt;=65,"GROW",IF(P481&gt;=50,"PARTNER","WATCH"))))</x:f>
      </x:c>
      <x:c r="R481" s="12" t="str">
        <x:f>IF(Q481="","",IF(Q481="ATTACK","Grassroots + family acquisition",IF(Q481="GROW","Test local campaign",IF(Q481="PARTNER","Organisation-first partnership","Low priority / validate"))))</x:f>
      </x:c>
      <x:c r="S481" s="45" t="n">
        <x:v>9.784504170713483</x:v>
      </x:c>
      <x:c r="T481" t="str">
        <x:v>NEAR</x:v>
      </x:c>
      <x:c r="U481" s="32" t="n">
        <x:f>PERCENTRANK.INC($G$2:$G$941,G481)</x:f>
        <x:v>0.73</x:v>
      </x:c>
      <x:c r="V481" s="32" t="n">
        <x:f>PERCENTRANK.INC($H$2:$H$941,H481)</x:f>
        <x:v>0.503</x:v>
      </x:c>
      <x:c r="W481" t="n">
        <x:f>ROUND((U481*55+V481*45)*IF(S481&lt;=5,1,IF(S481&lt;=10,0.95,IF(S481&lt;=20,0.85,0.70))),0)</x:f>
        <x:v>60</x:v>
      </x:c>
      <x:c r="X481" t="n">
        <x:v>43</x:v>
      </x:c>
      <x:c r="Y481" t="str">
        <x:v>WATCH</x:v>
      </x:c>
      <x:c r="Z481" s="12" t="str">
        <x:v>Family + verified grassroots + straight-line geo only; transport not yet routed</x:v>
      </x:c>
      <x:c r="AA481" s="12"/>
      <x:c r="AB481" s="12"/>
      <x:c r="AC481" s="12"/>
      <x:c r="AD481" s="12"/>
      <x:c r="AE481" t="str">
        <x:v>Charlton Athletic Women</x:v>
      </x:c>
      <x:c r="AF481" s="45" t="n">
        <x:v>1.1398054304153256</x:v>
      </x:c>
      <x:c r="AG481" t="str">
        <x:v>Millwall Lionesses</x:v>
      </x:c>
      <x:c r="AH481" s="45" t="n">
        <x:v>5.440714860999884</x:v>
      </x:c>
      <x:c r="AI481" t="n">
        <x:v>96</x:v>
      </x:c>
      <x:c r="AJ481" t="str">
        <x:v>HIGH</x:v>
      </x:c>
    </x:row>
    <x:row r="482">
      <x:c r="A482" s="12" t="str">
        <x:v>E01001594</x:v>
      </x:c>
      <x:c r="B482" s="12" t="str">
        <x:v>Greenwich 014D</x:v>
      </x:c>
      <x:c r="C482" s="12" t="str">
        <x:v>Greenwich</x:v>
      </x:c>
      <x:c r="D482" s="44" t="n">
        <x:v>51.48064189614366</x:v>
      </x:c>
      <x:c r="E482" s="44" t="n">
        <x:v>0.03033270969064771</x:v>
      </x:c>
      <x:c r="F482" s="33" t="n">
        <x:v>834</x:v>
      </x:c>
      <x:c r="G482" s="33" t="n">
        <x:v>292</x:v>
      </x:c>
      <x:c r="H482" s="26" t="n">
        <x:v>0.3501199040767386</x:v>
      </x:c>
      <x:c r="I482" s="12" t="n">
        <x:v>1</x:v>
      </x:c>
      <x:c r="J482" s="12" t="n">
        <x:v>22</x:v>
      </x:c>
      <x:c r="K482" s="12"/>
      <x:c r="L482" s="12"/>
      <x:c r="M482" s="12" t="str">
        <x:f>IF(K482="", "", MAX(0,IF(K482&lt;=20,100,IF(K482&lt;=30,85,IF(K482&lt;=40,70,IF(K482&lt;=50,55,IF(K482&lt;=60,40,20)))))-MIN(L482*5,20)))</x:f>
      </x:c>
      <x:c r="N482" s="12"/>
      <x:c r="O482" s="12"/>
      <x:c r="P482" s="12" t="str">
        <x:f>IF(OR(H482="",J482="",M482=""),"",ROUND(PERCENTRANK.INC($H$2:$H$941,H482)*35+J482*0.35+M482*0.30,0))</x:f>
      </x:c>
      <x:c r="Q482" s="12" t="str">
        <x:f>IF(P482="","",IF(P482&gt;=80,"ATTACK",IF(P482&gt;=65,"GROW",IF(P482&gt;=50,"PARTNER","WATCH"))))</x:f>
      </x:c>
      <x:c r="R482" s="12" t="str">
        <x:f>IF(Q482="","",IF(Q482="ATTACK","Grassroots + family acquisition",IF(Q482="GROW","Test local campaign",IF(Q482="PARTNER","Organisation-first partnership","Low priority / validate"))))</x:f>
      </x:c>
      <x:c r="S482" s="45" t="n">
        <x:v>10.007839896157293</x:v>
      </x:c>
      <x:c r="T482" t="str">
        <x:v>EXTENDED</x:v>
      </x:c>
      <x:c r="U482" s="32" t="n">
        <x:f>PERCENTRANK.INC($G$2:$G$941,G482)</x:f>
        <x:v>0.931</x:v>
      </x:c>
      <x:c r="V482" s="32" t="n">
        <x:f>PERCENTRANK.INC($H$2:$H$941,H482)</x:f>
        <x:v>0.686</x:v>
      </x:c>
      <x:c r="W482" t="n">
        <x:f>ROUND((U482*55+V482*45)*IF(S482&lt;=5,1,IF(S482&lt;=10,0.95,IF(S482&lt;=20,0.85,0.70))),0)</x:f>
        <x:v>70</x:v>
      </x:c>
      <x:c r="X482" t="n">
        <x:v>48</x:v>
      </x:c>
      <x:c r="Y482" t="str">
        <x:v>WATCH</x:v>
      </x:c>
      <x:c r="Z482" s="12" t="str">
        <x:v>Family + verified grassroots + straight-line geo only; transport not yet routed</x:v>
      </x:c>
      <x:c r="AA482" s="12"/>
      <x:c r="AB482" s="12"/>
      <x:c r="AC482" s="12"/>
      <x:c r="AD482" s="12"/>
      <x:c r="AE482" t="str">
        <x:v>Charlton Athletic Women</x:v>
      </x:c>
      <x:c r="AF482" s="45" t="n">
        <x:v>0.7564486825790364</x:v>
      </x:c>
      <x:c r="AG482" t="str">
        <x:v>Millwall Lionesses</x:v>
      </x:c>
      <x:c r="AH482" s="45" t="n">
        <x:v>5.648782980665524</x:v>
      </x:c>
      <x:c r="AI482" t="n">
        <x:v>96</x:v>
      </x:c>
      <x:c r="AJ482" t="str">
        <x:v>HIGH</x:v>
      </x:c>
    </x:row>
    <x:row r="483">
      <x:c r="A483" s="12" t="str">
        <x:v>E01001698</x:v>
      </x:c>
      <x:c r="B483" s="12" t="str">
        <x:v>Greenwich 015A</x:v>
      </x:c>
      <x:c r="C483" s="12" t="str">
        <x:v>Greenwich</x:v>
      </x:c>
      <x:c r="D483" s="44" t="n">
        <x:v>51.48039617845999</x:v>
      </x:c>
      <x:c r="E483" s="44" t="n">
        <x:v>0.06552730274898226</x:v>
      </x:c>
      <x:c r="F483" s="33" t="n">
        <x:v>755</x:v>
      </x:c>
      <x:c r="G483" s="33" t="n">
        <x:v>276</x:v>
      </x:c>
      <x:c r="H483" s="26" t="n">
        <x:v>0.3655629139072848</x:v>
      </x:c>
      <x:c r="I483" s="12" t="n">
        <x:v>0</x:v>
      </x:c>
      <x:c r="J483" s="12" t="n">
        <x:v>15</x:v>
      </x:c>
      <x:c r="K483" s="12"/>
      <x:c r="L483" s="12"/>
      <x:c r="M483" s="12" t="str">
        <x:f>IF(K483="", "", MAX(0,IF(K483&lt;=20,100,IF(K483&lt;=30,85,IF(K483&lt;=40,70,IF(K483&lt;=50,55,IF(K483&lt;=60,40,20)))))-MIN(L483*5,20)))</x:f>
      </x:c>
      <x:c r="N483" s="12"/>
      <x:c r="O483" s="12"/>
      <x:c r="P483" s="12" t="str">
        <x:f>IF(OR(H483="",J483="",M483=""),"",ROUND(PERCENTRANK.INC($H$2:$H$941,H483)*35+J483*0.35+M483*0.30,0))</x:f>
      </x:c>
      <x:c r="Q483" s="12" t="str">
        <x:f>IF(P483="","",IF(P483&gt;=80,"ATTACK",IF(P483&gt;=65,"GROW",IF(P483&gt;=50,"PARTNER","WATCH"))))</x:f>
      </x:c>
      <x:c r="R483" s="12" t="str">
        <x:f>IF(Q483="","",IF(Q483="ATTACK","Grassroots + family acquisition",IF(Q483="GROW","Test local campaign",IF(Q483="PARTNER","Organisation-first partnership","Low priority / validate"))))</x:f>
      </x:c>
      <x:c r="S483" s="45" t="n">
        <x:v>10.480164581352</x:v>
      </x:c>
      <x:c r="T483" t="str">
        <x:v>EXTENDED</x:v>
      </x:c>
      <x:c r="U483" s="32" t="n">
        <x:f>PERCENTRANK.INC($G$2:$G$941,G483)</x:f>
        <x:v>0.883</x:v>
      </x:c>
      <x:c r="V483" s="32" t="n">
        <x:f>PERCENTRANK.INC($H$2:$H$941,H483)</x:f>
        <x:v>0.776</x:v>
      </x:c>
      <x:c r="W483" t="n">
        <x:f>ROUND((U483*55+V483*45)*IF(S483&lt;=5,1,IF(S483&lt;=10,0.95,IF(S483&lt;=20,0.85,0.70))),0)</x:f>
        <x:v>71</x:v>
      </x:c>
      <x:c r="X483" t="n">
        <x:v>46</x:v>
      </x:c>
      <x:c r="Y483" t="str">
        <x:v>WATCH</x:v>
      </x:c>
      <x:c r="Z483" s="12" t="str">
        <x:v>Family + verified grassroots + straight-line geo only; transport not yet routed</x:v>
      </x:c>
      <x:c r="AA483" s="12"/>
      <x:c r="AB483" s="12"/>
      <x:c r="AC483" s="12"/>
      <x:c r="AD483" s="12"/>
      <x:c r="AE483" t="str">
        <x:v>Charlton Athletic Women</x:v>
      </x:c>
      <x:c r="AF483" s="45" t="n">
        <x:v>2.1409982680385413</x:v>
      </x:c>
      <x:c r="AG483" t="str">
        <x:v>Millwall Lionesses</x:v>
      </x:c>
      <x:c r="AH483" s="45" t="n">
        <x:v>7.861532273432528</x:v>
      </x:c>
      <x:c r="AI483" t="n">
        <x:v>92</x:v>
      </x:c>
      <x:c r="AJ483" t="str">
        <x:v>HIGH</x:v>
      </x:c>
    </x:row>
    <x:row r="484">
      <x:c r="A484" s="12" t="str">
        <x:v>E01001699</x:v>
      </x:c>
      <x:c r="B484" s="12" t="str">
        <x:v>Greenwich 015B</x:v>
      </x:c>
      <x:c r="C484" s="12" t="str">
        <x:v>Greenwich</x:v>
      </x:c>
      <x:c r="D484" s="44" t="n">
        <x:v>51.484102926855016</x:v>
      </x:c>
      <x:c r="E484" s="44" t="n">
        <x:v>0.06323915923477677</x:v>
      </x:c>
      <x:c r="F484" s="33" t="n">
        <x:v>664</x:v>
      </x:c>
      <x:c r="G484" s="33" t="n">
        <x:v>185</x:v>
      </x:c>
      <x:c r="H484" s="26" t="n">
        <x:v>0.2786144578313253</x:v>
      </x:c>
      <x:c r="I484" s="12" t="n">
        <x:v>0</x:v>
      </x:c>
      <x:c r="J484" s="12" t="n">
        <x:v>15</x:v>
      </x:c>
      <x:c r="K484" s="12"/>
      <x:c r="L484" s="12"/>
      <x:c r="M484" s="12" t="str">
        <x:f>IF(K484="", "", MAX(0,IF(K484&lt;=20,100,IF(K484&lt;=30,85,IF(K484&lt;=40,70,IF(K484&lt;=50,55,IF(K484&lt;=60,40,20)))))-MIN(L484*5,20)))</x:f>
      </x:c>
      <x:c r="N484" s="12"/>
      <x:c r="O484" s="12"/>
      <x:c r="P484" s="12" t="str">
        <x:f>IF(OR(H484="",J484="",M484=""),"",ROUND(PERCENTRANK.INC($H$2:$H$941,H484)*35+J484*0.35+M484*0.30,0))</x:f>
      </x:c>
      <x:c r="Q484" s="12" t="str">
        <x:f>IF(P484="","",IF(P484&gt;=80,"ATTACK",IF(P484&gt;=65,"GROW",IF(P484&gt;=50,"PARTNER","WATCH"))))</x:f>
      </x:c>
      <x:c r="R484" s="12" t="str">
        <x:f>IF(Q484="","",IF(Q484="ATTACK","Grassroots + family acquisition",IF(Q484="GROW","Test local campaign",IF(Q484="PARTNER","Organisation-first partnership","Low priority / validate"))))</x:f>
      </x:c>
      <x:c r="S484" s="45" t="n">
        <x:v>10.824620846695067</x:v>
      </x:c>
      <x:c r="T484" t="str">
        <x:v>EXTENDED</x:v>
      </x:c>
      <x:c r="U484" s="32" t="n">
        <x:f>PERCENTRANK.INC($G$2:$G$941,G484)</x:f>
        <x:v>0.266</x:v>
      </x:c>
      <x:c r="V484" s="32" t="n">
        <x:f>PERCENTRANK.INC($H$2:$H$941,H484)</x:f>
        <x:v>0.285</x:v>
      </x:c>
      <x:c r="W484" t="n">
        <x:f>ROUND((U484*55+V484*45)*IF(S484&lt;=5,1,IF(S484&lt;=10,0.95,IF(S484&lt;=20,0.85,0.70))),0)</x:f>
        <x:v>23</x:v>
      </x:c>
      <x:c r="X484" t="n">
        <x:v>20</x:v>
      </x:c>
      <x:c r="Y484" t="str">
        <x:v>WATCH</x:v>
      </x:c>
      <x:c r="Z484" s="12" t="str">
        <x:v>Family + verified grassroots + straight-line geo only; transport not yet routed</x:v>
      </x:c>
      <x:c r="AA484" s="12"/>
      <x:c r="AB484" s="12"/>
      <x:c r="AC484" s="12"/>
      <x:c r="AD484" s="12"/>
      <x:c r="AE484" t="str">
        <x:v>Charlton Athletic Women</x:v>
      </x:c>
      <x:c r="AF484" s="45" t="n">
        <x:v>1.8930445644211098</x:v>
      </x:c>
      <x:c r="AG484" t="str">
        <x:v>Millwall Lionesses</x:v>
      </x:c>
      <x:c r="AH484" s="45" t="n">
        <x:v>7.570566807555051</x:v>
      </x:c>
      <x:c r="AI484" t="n">
        <x:v>92</x:v>
      </x:c>
      <x:c r="AJ484" t="str">
        <x:v>HIGH</x:v>
      </x:c>
    </x:row>
    <x:row r="485">
      <x:c r="A485" s="12" t="str">
        <x:v>E01001701</x:v>
      </x:c>
      <x:c r="B485" s="12" t="str">
        <x:v>Greenwich 015C</x:v>
      </x:c>
      <x:c r="C485" s="12" t="str">
        <x:v>Greenwich</x:v>
      </x:c>
      <x:c r="D485" s="44" t="n">
        <x:v>51.476374335214196</x:v>
      </x:c>
      <x:c r="E485" s="44" t="n">
        <x:v>0.060573857382323265</x:v>
      </x:c>
      <x:c r="F485" s="33" t="n">
        <x:v>777</x:v>
      </x:c>
      <x:c r="G485" s="33" t="n">
        <x:v>231</x:v>
      </x:c>
      <x:c r="H485" s="26" t="n">
        <x:v>0.2972972972972973</x:v>
      </x:c>
      <x:c r="I485" s="12" t="n">
        <x:v>0</x:v>
      </x:c>
      <x:c r="J485" s="12" t="n">
        <x:v>15</x:v>
      </x:c>
      <x:c r="K485" s="12"/>
      <x:c r="L485" s="12"/>
      <x:c r="M485" s="12" t="str">
        <x:f>IF(K485="", "", MAX(0,IF(K485&lt;=20,100,IF(K485&lt;=30,85,IF(K485&lt;=40,70,IF(K485&lt;=50,55,IF(K485&lt;=60,40,20)))))-MIN(L485*5,20)))</x:f>
      </x:c>
      <x:c r="N485" s="12"/>
      <x:c r="O485" s="12"/>
      <x:c r="P485" s="12" t="str">
        <x:f>IF(OR(H485="",J485="",M485=""),"",ROUND(PERCENTRANK.INC($H$2:$H$941,H485)*35+J485*0.35+M485*0.30,0))</x:f>
      </x:c>
      <x:c r="Q485" s="12" t="str">
        <x:f>IF(P485="","",IF(P485&gt;=80,"ATTACK",IF(P485&gt;=65,"GROW",IF(P485&gt;=50,"PARTNER","WATCH"))))</x:f>
      </x:c>
      <x:c r="R485" s="12" t="str">
        <x:f>IF(Q485="","",IF(Q485="ATTACK","Grassroots + family acquisition",IF(Q485="GROW","Test local campaign",IF(Q485="PARTNER","Organisation-first partnership","Low priority / validate"))))</x:f>
      </x:c>
      <x:c r="S485" s="45" t="n">
        <x:v>9.949060749184921</x:v>
      </x:c>
      <x:c r="T485" t="str">
        <x:v>NEAR</x:v>
      </x:c>
      <x:c r="U485" s="32" t="n">
        <x:f>PERCENTRANK.INC($G$2:$G$941,G485)</x:f>
        <x:v>0.638</x:v>
      </x:c>
      <x:c r="V485" s="32" t="n">
        <x:f>PERCENTRANK.INC($H$2:$H$941,H485)</x:f>
        <x:v>0.378</x:v>
      </x:c>
      <x:c r="W485" t="n">
        <x:f>ROUND((U485*55+V485*45)*IF(S485&lt;=5,1,IF(S485&lt;=10,0.95,IF(S485&lt;=20,0.85,0.70))),0)</x:f>
        <x:v>49</x:v>
      </x:c>
      <x:c r="X485" t="n">
        <x:v>34</x:v>
      </x:c>
      <x:c r="Y485" t="str">
        <x:v>WATCH</x:v>
      </x:c>
      <x:c r="Z485" s="12" t="str">
        <x:v>Family + verified grassroots + straight-line geo only; transport not yet routed</x:v>
      </x:c>
      <x:c r="AA485" s="12"/>
      <x:c r="AB485" s="12"/>
      <x:c r="AC485" s="12"/>
      <x:c r="AD485" s="12"/>
      <x:c r="AE485" t="str">
        <x:v>Charlton Athletic Women</x:v>
      </x:c>
      <x:c r="AF485" s="45" t="n">
        <x:v>2.025676343327721</x:v>
      </x:c>
      <x:c r="AG485" t="str">
        <x:v>Millwall Lionesses</x:v>
      </x:c>
      <x:c r="AH485" s="45" t="n">
        <x:v>7.72442562860939</x:v>
      </x:c>
      <x:c r="AI485" t="n">
        <x:v>92</x:v>
      </x:c>
      <x:c r="AJ485" t="str">
        <x:v>HIGH</x:v>
      </x:c>
    </x:row>
    <x:row r="486">
      <x:c r="A486" s="12" t="str">
        <x:v>E01001702</x:v>
      </x:c>
      <x:c r="B486" s="12" t="str">
        <x:v>Greenwich 015D</x:v>
      </x:c>
      <x:c r="C486" s="12" t="str">
        <x:v>Greenwich</x:v>
      </x:c>
      <x:c r="D486" s="44" t="n">
        <x:v>51.47959414646218</x:v>
      </x:c>
      <x:c r="E486" s="44" t="n">
        <x:v>0.06245780010227448</x:v>
      </x:c>
      <x:c r="F486" s="33" t="n">
        <x:v>438</x:v>
      </x:c>
      <x:c r="G486" s="33" t="n">
        <x:v>181</x:v>
      </x:c>
      <x:c r="H486" s="26" t="n">
        <x:v>0.4132420091324201</x:v>
      </x:c>
      <x:c r="I486" s="12" t="n">
        <x:v>0</x:v>
      </x:c>
      <x:c r="J486" s="12" t="n">
        <x:v>15</x:v>
      </x:c>
      <x:c r="K486" s="12"/>
      <x:c r="L486" s="12"/>
      <x:c r="M486" s="12" t="str">
        <x:f>IF(K486="", "", MAX(0,IF(K486&lt;=20,100,IF(K486&lt;=30,85,IF(K486&lt;=40,70,IF(K486&lt;=50,55,IF(K486&lt;=60,40,20)))))-MIN(L486*5,20)))</x:f>
      </x:c>
      <x:c r="N486" s="12"/>
      <x:c r="O486" s="12"/>
      <x:c r="P486" s="12" t="str">
        <x:f>IF(OR(H486="",J486="",M486=""),"",ROUND(PERCENTRANK.INC($H$2:$H$941,H486)*35+J486*0.35+M486*0.30,0))</x:f>
      </x:c>
      <x:c r="Q486" s="12" t="str">
        <x:f>IF(P486="","",IF(P486&gt;=80,"ATTACK",IF(P486&gt;=65,"GROW",IF(P486&gt;=50,"PARTNER","WATCH"))))</x:f>
      </x:c>
      <x:c r="R486" s="12" t="str">
        <x:f>IF(Q486="","",IF(Q486="ATTACK","Grassroots + family acquisition",IF(Q486="GROW","Test local campaign",IF(Q486="PARTNER","Organisation-first partnership","Low priority / validate"))))</x:f>
      </x:c>
      <x:c r="S486" s="45" t="n">
        <x:v>10.329733856403676</x:v>
      </x:c>
      <x:c r="T486" t="str">
        <x:v>EXTENDED</x:v>
      </x:c>
      <x:c r="U486" s="32" t="n">
        <x:f>PERCENTRANK.INC($G$2:$G$941,G486)</x:f>
        <x:v>0.23</x:v>
      </x:c>
      <x:c r="V486" s="32" t="n">
        <x:f>PERCENTRANK.INC($H$2:$H$941,H486)</x:f>
        <x:v>0.938</x:v>
      </x:c>
      <x:c r="W486" t="n">
        <x:f>ROUND((U486*55+V486*45)*IF(S486&lt;=5,1,IF(S486&lt;=10,0.95,IF(S486&lt;=20,0.85,0.70))),0)</x:f>
        <x:v>47</x:v>
      </x:c>
      <x:c r="X486" t="n">
        <x:v>33</x:v>
      </x:c>
      <x:c r="Y486" t="str">
        <x:v>WATCH</x:v>
      </x:c>
      <x:c r="Z486" s="12" t="str">
        <x:v>Family + verified grassroots + straight-line geo only; transport not yet routed</x:v>
      </x:c>
      <x:c r="AA486" s="12"/>
      <x:c r="AB486" s="12"/>
      <x:c r="AC486" s="12"/>
      <x:c r="AD486" s="12"/>
      <x:c r="AE486" t="str">
        <x:v>Charlton Athletic Women</x:v>
      </x:c>
      <x:c r="AF486" s="45" t="n">
        <x:v>1.9726571187282826</x:v>
      </x:c>
      <x:c r="AG486" t="str">
        <x:v>Millwall Lionesses</x:v>
      </x:c>
      <x:c r="AH486" s="45" t="n">
        <x:v>7.697869820095089</x:v>
      </x:c>
      <x:c r="AI486" t="n">
        <x:v>92</x:v>
      </x:c>
      <x:c r="AJ486" t="str">
        <x:v>HIGH</x:v>
      </x:c>
    </x:row>
    <x:row r="487">
      <x:c r="A487" s="12" t="str">
        <x:v>E01001581</x:v>
      </x:c>
      <x:c r="B487" s="12" t="str">
        <x:v>Greenwich 016A</x:v>
      </x:c>
      <x:c r="C487" s="12" t="str">
        <x:v>Greenwich</x:v>
      </x:c>
      <x:c r="D487" s="44" t="n">
        <x:v>51.478569868367344</x:v>
      </x:c>
      <x:c r="E487" s="44" t="n">
        <x:v>0.020335713746042157</x:v>
      </x:c>
      <x:c r="F487" s="33" t="n">
        <x:v>728</x:v>
      </x:c>
      <x:c r="G487" s="33" t="n">
        <x:v>164</x:v>
      </x:c>
      <x:c r="H487" s="26" t="n">
        <x:v>0.22527472527472528</x:v>
      </x:c>
      <x:c r="I487" s="12" t="n">
        <x:v>1</x:v>
      </x:c>
      <x:c r="J487" s="12" t="n">
        <x:v>22</x:v>
      </x:c>
      <x:c r="K487" s="12"/>
      <x:c r="L487" s="12"/>
      <x:c r="M487" s="12" t="str">
        <x:f>IF(K487="", "", MAX(0,IF(K487&lt;=20,100,IF(K487&lt;=30,85,IF(K487&lt;=40,70,IF(K487&lt;=50,55,IF(K487&lt;=60,40,20)))))-MIN(L487*5,20)))</x:f>
      </x:c>
      <x:c r="N487" s="12"/>
      <x:c r="O487" s="12"/>
      <x:c r="P487" s="12" t="str">
        <x:f>IF(OR(H487="",J487="",M487=""),"",ROUND(PERCENTRANK.INC($H$2:$H$941,H487)*35+J487*0.35+M487*0.30,0))</x:f>
      </x:c>
      <x:c r="Q487" s="12" t="str">
        <x:f>IF(P487="","",IF(P487&gt;=80,"ATTACK",IF(P487&gt;=65,"GROW",IF(P487&gt;=50,"PARTNER","WATCH"))))</x:f>
      </x:c>
      <x:c r="R487" s="12" t="str">
        <x:f>IF(Q487="","",IF(Q487="ATTACK","Grassroots + family acquisition",IF(Q487="GROW","Test local campaign",IF(Q487="PARTNER","Organisation-first partnership","Low priority / validate"))))</x:f>
      </x:c>
      <x:c r="S487" s="45" t="n">
        <x:v>9.740818324835923</x:v>
      </x:c>
      <x:c r="T487" t="str">
        <x:v>NEAR</x:v>
      </x:c>
      <x:c r="U487" s="32" t="n">
        <x:f>PERCENTRANK.INC($G$2:$G$941,G487)</x:f>
        <x:v>0.139</x:v>
      </x:c>
      <x:c r="V487" s="32" t="n">
        <x:f>PERCENTRANK.INC($H$2:$H$941,H487)</x:f>
        <x:v>0.118</x:v>
      </x:c>
      <x:c r="W487" t="n">
        <x:f>ROUND((U487*55+V487*45)*IF(S487&lt;=5,1,IF(S487&lt;=10,0.95,IF(S487&lt;=20,0.85,0.70))),0)</x:f>
        <x:v>12</x:v>
      </x:c>
      <x:c r="X487" t="n">
        <x:v>17</x:v>
      </x:c>
      <x:c r="Y487" t="str">
        <x:v>WATCH</x:v>
      </x:c>
      <x:c r="Z487" s="12" t="str">
        <x:v>Family + verified grassroots + straight-line geo only; transport not yet routed</x:v>
      </x:c>
      <x:c r="AA487" s="12"/>
      <x:c r="AB487" s="12"/>
      <x:c r="AC487" s="12"/>
      <x:c r="AD487" s="12"/>
      <x:c r="AE487" t="str">
        <x:v>Charlton Athletic Women</x:v>
      </x:c>
      <x:c r="AF487" s="45" t="n">
        <x:v>1.3990360338827272</x:v>
      </x:c>
      <x:c r="AG487" t="str">
        <x:v>Millwall Lionesses</x:v>
      </x:c>
      <x:c r="AH487" s="45" t="n">
        <x:v>5.195013877696447</x:v>
      </x:c>
      <x:c r="AI487" t="n">
        <x:v>96</x:v>
      </x:c>
      <x:c r="AJ487" t="str">
        <x:v>HIGH</x:v>
      </x:c>
    </x:row>
    <x:row r="488">
      <x:c r="A488" s="12" t="str">
        <x:v>E01001585</x:v>
      </x:c>
      <x:c r="B488" s="12" t="str">
        <x:v>Greenwich 016B</x:v>
      </x:c>
      <x:c r="C488" s="12" t="str">
        <x:v>Greenwich</x:v>
      </x:c>
      <x:c r="D488" s="44" t="n">
        <x:v>51.48254489319099</x:v>
      </x:c>
      <x:c r="E488" s="44" t="n">
        <x:v>0.0143450628126099</x:v>
      </x:c>
      <x:c r="F488" s="33" t="n">
        <x:v>601</x:v>
      </x:c>
      <x:c r="G488" s="33" t="n">
        <x:v>218</x:v>
      </x:c>
      <x:c r="H488" s="26" t="n">
        <x:v>0.3627287853577371</x:v>
      </x:c>
      <x:c r="I488" s="12" t="n">
        <x:v>1</x:v>
      </x:c>
      <x:c r="J488" s="12" t="n">
        <x:v>22</x:v>
      </x:c>
      <x:c r="K488" s="12"/>
      <x:c r="L488" s="12"/>
      <x:c r="M488" s="12" t="str">
        <x:f>IF(K488="", "", MAX(0,IF(K488&lt;=20,100,IF(K488&lt;=30,85,IF(K488&lt;=40,70,IF(K488&lt;=50,55,IF(K488&lt;=60,40,20)))))-MIN(L488*5,20)))</x:f>
      </x:c>
      <x:c r="N488" s="12"/>
      <x:c r="O488" s="12"/>
      <x:c r="P488" s="12" t="str">
        <x:f>IF(OR(H488="",J488="",M488=""),"",ROUND(PERCENTRANK.INC($H$2:$H$941,H488)*35+J488*0.35+M488*0.30,0))</x:f>
      </x:c>
      <x:c r="Q488" s="12" t="str">
        <x:f>IF(P488="","",IF(P488&gt;=80,"ATTACK",IF(P488&gt;=65,"GROW",IF(P488&gt;=50,"PARTNER","WATCH"))))</x:f>
      </x:c>
      <x:c r="R488" s="12" t="str">
        <x:f>IF(Q488="","",IF(Q488="ATTACK","Grassroots + family acquisition",IF(Q488="GROW","Test local campaign",IF(Q488="PARTNER","Organisation-first partnership","Low priority / validate"))))</x:f>
      </x:c>
      <x:c r="S488" s="45" t="n">
        <x:v>10.183792301498727</x:v>
      </x:c>
      <x:c r="T488" t="str">
        <x:v>EXTENDED</x:v>
      </x:c>
      <x:c r="U488" s="32" t="n">
        <x:f>PERCENTRANK.INC($G$2:$G$941,G488)</x:f>
        <x:v>0.538</x:v>
      </x:c>
      <x:c r="V488" s="32" t="n">
        <x:f>PERCENTRANK.INC($H$2:$H$941,H488)</x:f>
        <x:v>0.753</x:v>
      </x:c>
      <x:c r="W488" t="n">
        <x:f>ROUND((U488*55+V488*45)*IF(S488&lt;=5,1,IF(S488&lt;=10,0.95,IF(S488&lt;=20,0.85,0.70))),0)</x:f>
        <x:v>54</x:v>
      </x:c>
      <x:c r="X488" t="n">
        <x:v>40</x:v>
      </x:c>
      <x:c r="Y488" t="str">
        <x:v>WATCH</x:v>
      </x:c>
      <x:c r="Z488" s="12" t="str">
        <x:v>Family + verified grassroots + straight-line geo only; transport not yet routed</x:v>
      </x:c>
      <x:c r="AA488" s="12"/>
      <x:c r="AB488" s="12"/>
      <x:c r="AC488" s="12"/>
      <x:c r="AD488" s="12"/>
      <x:c r="AE488" t="str">
        <x:v>Charlton Athletic Women</x:v>
      </x:c>
      <x:c r="AF488" s="45" t="n">
        <x:v>1.5695372190026164</x:v>
      </x:c>
      <x:c r="AG488" t="str">
        <x:v>Millwall Lionesses</x:v>
      </x:c>
      <x:c r="AH488" s="45" t="n">
        <x:v>4.600512246116894</x:v>
      </x:c>
      <x:c r="AI488" t="n">
        <x:v>96</x:v>
      </x:c>
      <x:c r="AJ488" t="str">
        <x:v>HIGH</x:v>
      </x:c>
    </x:row>
    <x:row r="489">
      <x:c r="A489" s="12" t="str">
        <x:v>E01001586</x:v>
      </x:c>
      <x:c r="B489" s="12" t="str">
        <x:v>Greenwich 016C</x:v>
      </x:c>
      <x:c r="C489" s="12" t="str">
        <x:v>Greenwich</x:v>
      </x:c>
      <x:c r="D489" s="44" t="n">
        <x:v>51.47948365744087</x:v>
      </x:c>
      <x:c r="E489" s="44" t="n">
        <x:v>0.013784435230483033</x:v>
      </x:c>
      <x:c r="F489" s="33" t="n">
        <x:v>663</x:v>
      </x:c>
      <x:c r="G489" s="33" t="n">
        <x:v>160</x:v>
      </x:c>
      <x:c r="H489" s="26" t="n">
        <x:v>0.24132730015082957</x:v>
      </x:c>
      <x:c r="I489" s="12" t="n">
        <x:v>1</x:v>
      </x:c>
      <x:c r="J489" s="12" t="n">
        <x:v>22</x:v>
      </x:c>
      <x:c r="K489" s="12"/>
      <x:c r="L489" s="12"/>
      <x:c r="M489" s="12" t="str">
        <x:f>IF(K489="", "", MAX(0,IF(K489&lt;=20,100,IF(K489&lt;=30,85,IF(K489&lt;=40,70,IF(K489&lt;=50,55,IF(K489&lt;=60,40,20)))))-MIN(L489*5,20)))</x:f>
      </x:c>
      <x:c r="N489" s="12"/>
      <x:c r="O489" s="12"/>
      <x:c r="P489" s="12" t="str">
        <x:f>IF(OR(H489="",J489="",M489=""),"",ROUND(PERCENTRANK.INC($H$2:$H$941,H489)*35+J489*0.35+M489*0.30,0))</x:f>
      </x:c>
      <x:c r="Q489" s="12" t="str">
        <x:f>IF(P489="","",IF(P489&gt;=80,"ATTACK",IF(P489&gt;=65,"GROW",IF(P489&gt;=50,"PARTNER","WATCH"))))</x:f>
      </x:c>
      <x:c r="R489" s="12" t="str">
        <x:f>IF(Q489="","",IF(Q489="ATTACK","Grassroots + family acquisition",IF(Q489="GROW","Test local campaign",IF(Q489="PARTNER","Organisation-first partnership","Low priority / validate"))))</x:f>
      </x:c>
      <x:c r="S489" s="45" t="n">
        <x:v>9.84448805975261</x:v>
      </x:c>
      <x:c r="T489" t="str">
        <x:v>NEAR</x:v>
      </x:c>
      <x:c r="U489" s="32" t="n">
        <x:f>PERCENTRANK.INC($G$2:$G$941,G489)</x:f>
        <x:v>0.127</x:v>
      </x:c>
      <x:c r="V489" s="32" t="n">
        <x:f>PERCENTRANK.INC($H$2:$H$941,H489)</x:f>
        <x:v>0.159</x:v>
      </x:c>
      <x:c r="W489" t="n">
        <x:f>ROUND((U489*55+V489*45)*IF(S489&lt;=5,1,IF(S489&lt;=10,0.95,IF(S489&lt;=20,0.85,0.70))),0)</x:f>
        <x:v>13</x:v>
      </x:c>
      <x:c r="X489" t="n">
        <x:v>17</x:v>
      </x:c>
      <x:c r="Y489" t="str">
        <x:v>WATCH</x:v>
      </x:c>
      <x:c r="Z489" s="12" t="str">
        <x:v>Family + verified grassroots + straight-line geo only; transport not yet routed</x:v>
      </x:c>
      <x:c r="AA489" s="12"/>
      <x:c r="AB489" s="12"/>
      <x:c r="AC489" s="12"/>
      <x:c r="AD489" s="12"/>
      <x:c r="AE489" t="str">
        <x:v>Charlton Athletic Women</x:v>
      </x:c>
      <x:c r="AF489" s="45" t="n">
        <x:v>1.7291740097475987</x:v>
      </x:c>
      <x:c r="AG489" t="str">
        <x:v>Millwall Lionesses</x:v>
      </x:c>
      <x:c r="AH489" s="45" t="n">
        <x:v>4.772575371740315</x:v>
      </x:c>
      <x:c r="AI489" t="n">
        <x:v>96</x:v>
      </x:c>
      <x:c r="AJ489" t="str">
        <x:v>HIGH</x:v>
      </x:c>
    </x:row>
    <x:row r="490">
      <x:c r="A490" s="12" t="str">
        <x:v>E01001587</x:v>
      </x:c>
      <x:c r="B490" s="12" t="str">
        <x:v>Greenwich 016D</x:v>
      </x:c>
      <x:c r="C490" s="12" t="str">
        <x:v>Greenwich</x:v>
      </x:c>
      <x:c r="D490" s="44" t="n">
        <x:v>51.481033134063786</x:v>
      </x:c>
      <x:c r="E490" s="44" t="n">
        <x:v>0.007081388747733536</x:v>
      </x:c>
      <x:c r="F490" s="33" t="n">
        <x:v>951</x:v>
      </x:c>
      <x:c r="G490" s="33" t="n">
        <x:v>208</x:v>
      </x:c>
      <x:c r="H490" s="26" t="n">
        <x:v>0.21871713985278654</x:v>
      </x:c>
      <x:c r="I490" s="12" t="n">
        <x:v>2</x:v>
      </x:c>
      <x:c r="J490" s="12" t="n">
        <x:v>29</x:v>
      </x:c>
      <x:c r="K490" s="12"/>
      <x:c r="L490" s="12"/>
      <x:c r="M490" s="12" t="str">
        <x:f>IF(K490="", "", MAX(0,IF(K490&lt;=20,100,IF(K490&lt;=30,85,IF(K490&lt;=40,70,IF(K490&lt;=50,55,IF(K490&lt;=60,40,20)))))-MIN(L490*5,20)))</x:f>
      </x:c>
      <x:c r="N490" s="12"/>
      <x:c r="O490" s="12"/>
      <x:c r="P490" s="12" t="str">
        <x:f>IF(OR(H490="",J490="",M490=""),"",ROUND(PERCENTRANK.INC($H$2:$H$941,H490)*35+J490*0.35+M490*0.30,0))</x:f>
      </x:c>
      <x:c r="Q490" s="12" t="str">
        <x:f>IF(P490="","",IF(P490&gt;=80,"ATTACK",IF(P490&gt;=65,"GROW",IF(P490&gt;=50,"PARTNER","WATCH"))))</x:f>
      </x:c>
      <x:c r="R490" s="12" t="str">
        <x:f>IF(Q490="","",IF(Q490="ATTACK","Grassroots + family acquisition",IF(Q490="GROW","Test local campaign",IF(Q490="PARTNER","Organisation-first partnership","Low priority / validate"))))</x:f>
      </x:c>
      <x:c r="S490" s="45" t="n">
        <x:v>10.040088880142365</x:v>
      </x:c>
      <x:c r="T490" t="str">
        <x:v>EXTENDED</x:v>
      </x:c>
      <x:c r="U490" s="32" t="n">
        <x:f>PERCENTRANK.INC($G$2:$G$941,G490)</x:f>
        <x:v>0.448</x:v>
      </x:c>
      <x:c r="V490" s="32" t="n">
        <x:f>PERCENTRANK.INC($H$2:$H$941,H490)</x:f>
        <x:v>0.099</x:v>
      </x:c>
      <x:c r="W490" t="n">
        <x:f>ROUND((U490*55+V490*45)*IF(S490&lt;=5,1,IF(S490&lt;=10,0.95,IF(S490&lt;=20,0.85,0.70))),0)</x:f>
        <x:v>25</x:v>
      </x:c>
      <x:c r="X490" t="n">
        <x:v>27</x:v>
      </x:c>
      <x:c r="Y490" t="str">
        <x:v>WATCH</x:v>
      </x:c>
      <x:c r="Z490" s="12" t="str">
        <x:v>Family + verified grassroots + straight-line geo only; transport not yet routed</x:v>
      </x:c>
      <x:c r="AA490" s="12"/>
      <x:c r="AB490" s="12"/>
      <x:c r="AC490" s="12"/>
      <x:c r="AD490" s="12"/>
      <x:c r="AE490" t="str">
        <x:v>Charlton Athletic Women</x:v>
      </x:c>
      <x:c r="AF490" s="45" t="n">
        <x:v>2.0994658560156942</x:v>
      </x:c>
      <x:c r="AG490" t="str">
        <x:v>Millwall Lionesses</x:v>
      </x:c>
      <x:c r="AH490" s="45" t="n">
        <x:v>4.304640719990881</x:v>
      </x:c>
      <x:c r="AI490" t="n">
        <x:v>96</x:v>
      </x:c>
      <x:c r="AJ490" t="str">
        <x:v>HIGH</x:v>
      </x:c>
    </x:row>
    <x:row r="491">
      <x:c r="A491" s="12" t="str">
        <x:v>E01001678</x:v>
      </x:c>
      <x:c r="B491" s="12" t="str">
        <x:v>Greenwich 017A</x:v>
      </x:c>
      <x:c r="C491" s="12" t="str">
        <x:v>Greenwich</x:v>
      </x:c>
      <x:c r="D491" s="44" t="n">
        <x:v>51.47495063544927</x:v>
      </x:c>
      <x:c r="E491" s="44" t="n">
        <x:v>0.09038913859836958</x:v>
      </x:c>
      <x:c r="F491" s="33" t="n">
        <x:v>645</x:v>
      </x:c>
      <x:c r="G491" s="33" t="n">
        <x:v>248</x:v>
      </x:c>
      <x:c r="H491" s="26" t="n">
        <x:v>0.38449612403100775</x:v>
      </x:c>
      <x:c r="I491" s="12" t="n">
        <x:v>0</x:v>
      </x:c>
      <x:c r="J491" s="12" t="n">
        <x:v>8</x:v>
      </x:c>
      <x:c r="K491" s="12"/>
      <x:c r="L491" s="12"/>
      <x:c r="M491" s="12" t="str">
        <x:f>IF(K491="", "", MAX(0,IF(K491&lt;=20,100,IF(K491&lt;=30,85,IF(K491&lt;=40,70,IF(K491&lt;=50,55,IF(K491&lt;=60,40,20)))))-MIN(L491*5,20)))</x:f>
      </x:c>
      <x:c r="N491" s="12"/>
      <x:c r="O491" s="12"/>
      <x:c r="P491" s="12" t="str">
        <x:f>IF(OR(H491="",J491="",M491=""),"",ROUND(PERCENTRANK.INC($H$2:$H$941,H491)*35+J491*0.35+M491*0.30,0))</x:f>
      </x:c>
      <x:c r="Q491" s="12" t="str">
        <x:f>IF(P491="","",IF(P491&gt;=80,"ATTACK",IF(P491&gt;=65,"GROW",IF(P491&gt;=50,"PARTNER","WATCH"))))</x:f>
      </x:c>
      <x:c r="R491" s="12" t="str">
        <x:f>IF(Q491="","",IF(Q491="ATTACK","Grassroots + family acquisition",IF(Q491="GROW","Test local campaign",IF(Q491="PARTNER","Organisation-first partnership","Low priority / validate"))))</x:f>
      </x:c>
      <x:c r="S491" s="45" t="n">
        <x:v>10.609328065205295</x:v>
      </x:c>
      <x:c r="T491" t="str">
        <x:v>EXTENDED</x:v>
      </x:c>
      <x:c r="U491" s="32" t="n">
        <x:f>PERCENTRANK.INC($G$2:$G$941,G491)</x:f>
        <x:v>0.757</x:v>
      </x:c>
      <x:c r="V491" s="32" t="n">
        <x:f>PERCENTRANK.INC($H$2:$H$941,H491)</x:f>
        <x:v>0.859</x:v>
      </x:c>
      <x:c r="W491" t="n">
        <x:f>ROUND((U491*55+V491*45)*IF(S491&lt;=5,1,IF(S491&lt;=10,0.95,IF(S491&lt;=20,0.85,0.70))),0)</x:f>
        <x:v>68</x:v>
      </x:c>
      <x:c r="X491" t="n">
        <x:v>41</x:v>
      </x:c>
      <x:c r="Y491" t="str">
        <x:v>WATCH</x:v>
      </x:c>
      <x:c r="Z491" s="12" t="str">
        <x:v>Family + verified grassroots + straight-line geo only; transport not yet routed</x:v>
      </x:c>
      <x:c r="AA491" s="12"/>
      <x:c r="AB491" s="12"/>
      <x:c r="AC491" s="12"/>
      <x:c r="AD491" s="12"/>
      <x:c r="AE491" t="str">
        <x:v>Charlton Athletic Women</x:v>
      </x:c>
      <x:c r="AF491" s="45" t="n">
        <x:v>3.9659512385451148</x:v>
      </x:c>
      <x:c r="AG491" t="str">
        <x:v>Millwall Lionesses</x:v>
      </x:c>
      <x:c r="AH491" s="45" t="n">
        <x:v>9.685751312369378</x:v>
      </x:c>
      <x:c r="AI491" t="n">
        <x:v>81</x:v>
      </x:c>
      <x:c r="AJ491" t="str">
        <x:v>HIGH</x:v>
      </x:c>
    </x:row>
    <x:row r="492">
      <x:c r="A492" s="12" t="str">
        <x:v>E01001683</x:v>
      </x:c>
      <x:c r="B492" s="12" t="str">
        <x:v>Greenwich 017B</x:v>
      </x:c>
      <x:c r="C492" s="12" t="str">
        <x:v>Greenwich</x:v>
      </x:c>
      <x:c r="D492" s="44" t="n">
        <x:v>51.479171140056344</x:v>
      </x:c>
      <x:c r="E492" s="44" t="n">
        <x:v>0.08316097661022652</x:v>
      </x:c>
      <x:c r="F492" s="33" t="n">
        <x:v>599</x:v>
      </x:c>
      <x:c r="G492" s="33" t="n">
        <x:v>210</x:v>
      </x:c>
      <x:c r="H492" s="26" t="n">
        <x:v>0.35058430717863104</x:v>
      </x:c>
      <x:c r="I492" s="12" t="n">
        <x:v>0</x:v>
      </x:c>
      <x:c r="J492" s="12" t="n">
        <x:v>8</x:v>
      </x:c>
      <x:c r="K492" s="12"/>
      <x:c r="L492" s="12"/>
      <x:c r="M492" s="12" t="str">
        <x:f>IF(K492="", "", MAX(0,IF(K492&lt;=20,100,IF(K492&lt;=30,85,IF(K492&lt;=40,70,IF(K492&lt;=50,55,IF(K492&lt;=60,40,20)))))-MIN(L492*5,20)))</x:f>
      </x:c>
      <x:c r="N492" s="12"/>
      <x:c r="O492" s="12"/>
      <x:c r="P492" s="12" t="str">
        <x:f>IF(OR(H492="",J492="",M492=""),"",ROUND(PERCENTRANK.INC($H$2:$H$941,H492)*35+J492*0.35+M492*0.30,0))</x:f>
      </x:c>
      <x:c r="Q492" s="12" t="str">
        <x:f>IF(P492="","",IF(P492&gt;=80,"ATTACK",IF(P492&gt;=65,"GROW",IF(P492&gt;=50,"PARTNER","WATCH"))))</x:f>
      </x:c>
      <x:c r="R492" s="12" t="str">
        <x:f>IF(Q492="","",IF(Q492="ATTACK","Grassroots + family acquisition",IF(Q492="GROW","Test local campaign",IF(Q492="PARTNER","Organisation-first partnership","Low priority / validate"))))</x:f>
      </x:c>
      <x:c r="S492" s="45" t="n">
        <x:v>10.80470049814884</x:v>
      </x:c>
      <x:c r="T492" t="str">
        <x:v>EXTENDED</x:v>
      </x:c>
      <x:c r="U492" s="32" t="n">
        <x:f>PERCENTRANK.INC($G$2:$G$941,G492)</x:f>
        <x:v>0.471</x:v>
      </x:c>
      <x:c r="V492" s="32" t="n">
        <x:f>PERCENTRANK.INC($H$2:$H$941,H492)</x:f>
        <x:v>0.69</x:v>
      </x:c>
      <x:c r="W492" t="n">
        <x:f>ROUND((U492*55+V492*45)*IF(S492&lt;=5,1,IF(S492&lt;=10,0.95,IF(S492&lt;=20,0.85,0.70))),0)</x:f>
        <x:v>48</x:v>
      </x:c>
      <x:c r="X492" t="n">
        <x:v>30</x:v>
      </x:c>
      <x:c r="Y492" t="str">
        <x:v>WATCH</x:v>
      </x:c>
      <x:c r="Z492" s="12" t="str">
        <x:v>Family + verified grassroots + straight-line geo only; transport not yet routed</x:v>
      </x:c>
      <x:c r="AA492" s="12"/>
      <x:c r="AB492" s="12"/>
      <x:c r="AC492" s="12"/>
      <x:c r="AD492" s="12"/>
      <x:c r="AE492" t="str">
        <x:v>Charlton Athletic Women</x:v>
      </x:c>
      <x:c r="AF492" s="45" t="n">
        <x:v>3.3531260635020446</x:v>
      </x:c>
      <x:c r="AG492" t="str">
        <x:v>Millwall Lionesses</x:v>
      </x:c>
      <x:c r="AH492" s="45" t="n">
        <x:v>9.05371635138173</x:v>
      </x:c>
      <x:c r="AI492" t="n">
        <x:v>81</x:v>
      </x:c>
      <x:c r="AJ492" t="str">
        <x:v>HIGH</x:v>
      </x:c>
    </x:row>
    <x:row r="493">
      <x:c r="A493" s="12" t="str">
        <x:v>E01001684</x:v>
      </x:c>
      <x:c r="B493" s="12" t="str">
        <x:v>Greenwich 017C</x:v>
      </x:c>
      <x:c r="C493" s="12" t="str">
        <x:v>Greenwich</x:v>
      </x:c>
      <x:c r="D493" s="44" t="n">
        <x:v>51.47513126762199</x:v>
      </x:c>
      <x:c r="E493" s="44" t="n">
        <x:v>0.08447052332234399</x:v>
      </x:c>
      <x:c r="F493" s="33" t="n">
        <x:v>566</x:v>
      </x:c>
      <x:c r="G493" s="33" t="n">
        <x:v>185</x:v>
      </x:c>
      <x:c r="H493" s="26" t="n">
        <x:v>0.32685512367491165</x:v>
      </x:c>
      <x:c r="I493" s="12" t="n">
        <x:v>0</x:v>
      </x:c>
      <x:c r="J493" s="12" t="n">
        <x:v>8</x:v>
      </x:c>
      <x:c r="K493" s="12"/>
      <x:c r="L493" s="12"/>
      <x:c r="M493" s="12" t="str">
        <x:f>IF(K493="", "", MAX(0,IF(K493&lt;=20,100,IF(K493&lt;=30,85,IF(K493&lt;=40,70,IF(K493&lt;=50,55,IF(K493&lt;=60,40,20)))))-MIN(L493*5,20)))</x:f>
      </x:c>
      <x:c r="N493" s="12"/>
      <x:c r="O493" s="12"/>
      <x:c r="P493" s="12" t="str">
        <x:f>IF(OR(H493="",J493="",M493=""),"",ROUND(PERCENTRANK.INC($H$2:$H$941,H493)*35+J493*0.35+M493*0.30,0))</x:f>
      </x:c>
      <x:c r="Q493" s="12" t="str">
        <x:f>IF(P493="","",IF(P493&gt;=80,"ATTACK",IF(P493&gt;=65,"GROW",IF(P493&gt;=50,"PARTNER","WATCH"))))</x:f>
      </x:c>
      <x:c r="R493" s="12" t="str">
        <x:f>IF(Q493="","",IF(Q493="ATTACK","Grassroots + family acquisition",IF(Q493="GROW","Test local campaign",IF(Q493="PARTNER","Organisation-first partnership","Low priority / validate"))))</x:f>
      </x:c>
      <x:c r="S493" s="45" t="n">
        <x:v>10.438736858337087</x:v>
      </x:c>
      <x:c r="T493" t="str">
        <x:v>EXTENDED</x:v>
      </x:c>
      <x:c r="U493" s="32" t="n">
        <x:f>PERCENTRANK.INC($G$2:$G$941,G493)</x:f>
        <x:v>0.266</x:v>
      </x:c>
      <x:c r="V493" s="32" t="n">
        <x:f>PERCENTRANK.INC($H$2:$H$941,H493)</x:f>
        <x:v>0.55</x:v>
      </x:c>
      <x:c r="W493" t="n">
        <x:f>ROUND((U493*55+V493*45)*IF(S493&lt;=5,1,IF(S493&lt;=10,0.95,IF(S493&lt;=20,0.85,0.70))),0)</x:f>
        <x:v>33</x:v>
      </x:c>
      <x:c r="X493" t="n">
        <x:v>22</x:v>
      </x:c>
      <x:c r="Y493" t="str">
        <x:v>WATCH</x:v>
      </x:c>
      <x:c r="Z493" s="12" t="str">
        <x:v>Family + verified grassroots + straight-line geo only; transport not yet routed</x:v>
      </x:c>
      <x:c r="AA493" s="12"/>
      <x:c r="AB493" s="12"/>
      <x:c r="AC493" s="12"/>
      <x:c r="AD493" s="12"/>
      <x:c r="AE493" t="str">
        <x:v>Charlton Athletic Women</x:v>
      </x:c>
      <x:c r="AF493" s="45" t="n">
        <x:v>3.573098650565011</x:v>
      </x:c>
      <x:c r="AG493" t="str">
        <x:v>Millwall Lionesses</x:v>
      </x:c>
      <x:c r="AH493" s="45" t="n">
        <x:v>9.296851632435589</x:v>
      </x:c>
      <x:c r="AI493" t="n">
        <x:v>81</x:v>
      </x:c>
      <x:c r="AJ493" t="str">
        <x:v>HIGH</x:v>
      </x:c>
    </x:row>
    <x:row r="494">
      <x:c r="A494" s="12" t="str">
        <x:v>E01001685</x:v>
      </x:c>
      <x:c r="B494" s="12" t="str">
        <x:v>Greenwich 017D</x:v>
      </x:c>
      <x:c r="C494" s="12" t="str">
        <x:v>Greenwich</x:v>
      </x:c>
      <x:c r="D494" s="44" t="n">
        <x:v>51.47738294701032</x:v>
      </x:c>
      <x:c r="E494" s="44" t="n">
        <x:v>0.08930854665516447</x:v>
      </x:c>
      <x:c r="F494" s="33" t="n">
        <x:v>651</x:v>
      </x:c>
      <x:c r="G494" s="33" t="n">
        <x:v>183</x:v>
      </x:c>
      <x:c r="H494" s="26" t="n">
        <x:v>0.28110599078341014</x:v>
      </x:c>
      <x:c r="I494" s="12" t="n">
        <x:v>0</x:v>
      </x:c>
      <x:c r="J494" s="12" t="n">
        <x:v>8</x:v>
      </x:c>
      <x:c r="K494" s="12"/>
      <x:c r="L494" s="12"/>
      <x:c r="M494" s="12" t="str">
        <x:f>IF(K494="", "", MAX(0,IF(K494&lt;=20,100,IF(K494&lt;=30,85,IF(K494&lt;=40,70,IF(K494&lt;=50,55,IF(K494&lt;=60,40,20)))))-MIN(L494*5,20)))</x:f>
      </x:c>
      <x:c r="N494" s="12"/>
      <x:c r="O494" s="12"/>
      <x:c r="P494" s="12" t="str">
        <x:f>IF(OR(H494="",J494="",M494=""),"",ROUND(PERCENTRANK.INC($H$2:$H$941,H494)*35+J494*0.35+M494*0.30,0))</x:f>
      </x:c>
      <x:c r="Q494" s="12" t="str">
        <x:f>IF(P494="","",IF(P494&gt;=80,"ATTACK",IF(P494&gt;=65,"GROW",IF(P494&gt;=50,"PARTNER","WATCH"))))</x:f>
      </x:c>
      <x:c r="R494" s="12" t="str">
        <x:f>IF(Q494="","",IF(Q494="ATTACK","Grassroots + family acquisition",IF(Q494="GROW","Test local campaign",IF(Q494="PARTNER","Organisation-first partnership","Low priority / validate"))))</x:f>
      </x:c>
      <x:c r="S494" s="45" t="n">
        <x:v>10.813458194285058</x:v>
      </x:c>
      <x:c r="T494" t="str">
        <x:v>EXTENDED</x:v>
      </x:c>
      <x:c r="U494" s="32" t="n">
        <x:f>PERCENTRANK.INC($G$2:$G$941,G494)</x:f>
        <x:v>0.248</x:v>
      </x:c>
      <x:c r="V494" s="32" t="n">
        <x:f>PERCENTRANK.INC($H$2:$H$941,H494)</x:f>
        <x:v>0.302</x:v>
      </x:c>
      <x:c r="W494" t="n">
        <x:f>ROUND((U494*55+V494*45)*IF(S494&lt;=5,1,IF(S494&lt;=10,0.95,IF(S494&lt;=20,0.85,0.70))),0)</x:f>
        <x:v>23</x:v>
      </x:c>
      <x:c r="X494" t="n">
        <x:v>17</x:v>
      </x:c>
      <x:c r="Y494" t="str">
        <x:v>WATCH</x:v>
      </x:c>
      <x:c r="Z494" s="12" t="str">
        <x:v>Family + verified grassroots + straight-line geo only; transport not yet routed</x:v>
      </x:c>
      <x:c r="AA494" s="12"/>
      <x:c r="AB494" s="12"/>
      <x:c r="AC494" s="12"/>
      <x:c r="AD494" s="12"/>
      <x:c r="AE494" t="str">
        <x:v>Charlton Athletic Women</x:v>
      </x:c>
      <x:c r="AF494" s="45" t="n">
        <x:v>3.815232950792553</x:v>
      </x:c>
      <x:c r="AG494" t="str">
        <x:v>Millwall Lionesses</x:v>
      </x:c>
      <x:c r="AH494" s="45" t="n">
        <x:v>9.52144970089657</x:v>
      </x:c>
      <x:c r="AI494" t="n">
        <x:v>81</x:v>
      </x:c>
      <x:c r="AJ494" t="str">
        <x:v>HIGH</x:v>
      </x:c>
    </x:row>
    <x:row r="495">
      <x:c r="A495" s="12" t="str">
        <x:v>E01001646</x:v>
      </x:c>
      <x:c r="B495" s="12" t="str">
        <x:v>Greenwich 019A</x:v>
      </x:c>
      <x:c r="C495" s="12" t="str">
        <x:v>Greenwich</x:v>
      </x:c>
      <x:c r="D495" s="44" t="n">
        <x:v>51.472485409810524</x:v>
      </x:c>
      <x:c r="E495" s="44" t="n">
        <x:v>0.046855678583940366</x:v>
      </x:c>
      <x:c r="F495" s="33" t="n">
        <x:v>1134</x:v>
      </x:c>
      <x:c r="G495" s="33" t="n">
        <x:v>415</x:v>
      </x:c>
      <x:c r="H495" s="26" t="n">
        <x:v>0.36596119929453264</x:v>
      </x:c>
      <x:c r="I495" s="12" t="n">
        <x:v>1</x:v>
      </x:c>
      <x:c r="J495" s="12" t="n">
        <x:v>22</x:v>
      </x:c>
      <x:c r="K495" s="12"/>
      <x:c r="L495" s="12"/>
      <x:c r="M495" s="12" t="str">
        <x:f>IF(K495="", "", MAX(0,IF(K495&lt;=20,100,IF(K495&lt;=30,85,IF(K495&lt;=40,70,IF(K495&lt;=50,55,IF(K495&lt;=60,40,20)))))-MIN(L495*5,20)))</x:f>
      </x:c>
      <x:c r="N495" s="12"/>
      <x:c r="O495" s="12"/>
      <x:c r="P495" s="12" t="str">
        <x:f>IF(OR(H495="",J495="",M495=""),"",ROUND(PERCENTRANK.INC($H$2:$H$941,H495)*35+J495*0.35+M495*0.30,0))</x:f>
      </x:c>
      <x:c r="Q495" s="12" t="str">
        <x:f>IF(P495="","",IF(P495&gt;=80,"ATTACK",IF(P495&gt;=65,"GROW",IF(P495&gt;=50,"PARTNER","WATCH"))))</x:f>
      </x:c>
      <x:c r="R495" s="12" t="str">
        <x:f>IF(Q495="","",IF(Q495="ATTACK","Grassroots + family acquisition",IF(Q495="GROW","Test local campaign",IF(Q495="PARTNER","Organisation-first partnership","Low priority / validate"))))</x:f>
      </x:c>
      <x:c r="S495" s="45" t="n">
        <x:v>9.285059894004718</x:v>
      </x:c>
      <x:c r="T495" t="str">
        <x:v>NEAR</x:v>
      </x:c>
      <x:c r="U495" s="32" t="n">
        <x:f>PERCENTRANK.INC($G$2:$G$941,G495)</x:f>
        <x:v>0.995</x:v>
      </x:c>
      <x:c r="V495" s="32" t="n">
        <x:f>PERCENTRANK.INC($H$2:$H$941,H495)</x:f>
        <x:v>0.777</x:v>
      </x:c>
      <x:c r="W495" t="n">
        <x:f>ROUND((U495*55+V495*45)*IF(S495&lt;=5,1,IF(S495&lt;=10,0.95,IF(S495&lt;=20,0.85,0.70))),0)</x:f>
        <x:v>85</x:v>
      </x:c>
      <x:c r="X495" t="n">
        <x:v>57</x:v>
      </x:c>
      <x:c r="Y495" t="str">
        <x:v>PARTNER</x:v>
      </x:c>
      <x:c r="Z495" s="12" t="str">
        <x:v>Family + verified grassroots + straight-line geo only; transport not yet routed</x:v>
      </x:c>
      <x:c r="AA495" s="12"/>
      <x:c r="AB495" s="12"/>
      <x:c r="AC495" s="12"/>
      <x:c r="AD495" s="12"/>
      <x:c r="AE495" t="str">
        <x:v>Charlton Athletic Women</x:v>
      </x:c>
      <x:c r="AF495" s="45" t="n">
        <x:v>1.7156888206205878</x:v>
      </x:c>
      <x:c r="AG495" t="str">
        <x:v>Millwall Lionesses</x:v>
      </x:c>
      <x:c r="AH495" s="45" t="n">
        <x:v>7.0970271157098335</x:v>
      </x:c>
      <x:c r="AI495" t="n">
        <x:v>92</x:v>
      </x:c>
      <x:c r="AJ495" t="str">
        <x:v>HIGH</x:v>
      </x:c>
    </x:row>
    <x:row r="496">
      <x:c r="A496" s="12" t="str">
        <x:v>E01001650</x:v>
      </x:c>
      <x:c r="B496" s="12" t="str">
        <x:v>Greenwich 019B</x:v>
      </x:c>
      <x:c r="C496" s="12" t="str">
        <x:v>Greenwich</x:v>
      </x:c>
      <x:c r="D496" s="44" t="n">
        <x:v>51.477031111400656</x:v>
      </x:c>
      <x:c r="E496" s="44" t="n">
        <x:v>0.037952990401448804</x:v>
      </x:c>
      <x:c r="F496" s="33" t="n">
        <x:v>611</x:v>
      </x:c>
      <x:c r="G496" s="33" t="n">
        <x:v>249</x:v>
      </x:c>
      <x:c r="H496" s="26" t="n">
        <x:v>0.4075286415711948</x:v>
      </x:c>
      <x:c r="I496" s="12" t="n">
        <x:v>1</x:v>
      </x:c>
      <x:c r="J496" s="12" t="n">
        <x:v>22</x:v>
      </x:c>
      <x:c r="K496" s="12"/>
      <x:c r="L496" s="12"/>
      <x:c r="M496" s="12" t="str">
        <x:f>IF(K496="", "", MAX(0,IF(K496&lt;=20,100,IF(K496&lt;=30,85,IF(K496&lt;=40,70,IF(K496&lt;=50,55,IF(K496&lt;=60,40,20)))))-MIN(L496*5,20)))</x:f>
      </x:c>
      <x:c r="N496" s="12"/>
      <x:c r="O496" s="12"/>
      <x:c r="P496" s="12" t="str">
        <x:f>IF(OR(H496="",J496="",M496=""),"",ROUND(PERCENTRANK.INC($H$2:$H$941,H496)*35+J496*0.35+M496*0.30,0))</x:f>
      </x:c>
      <x:c r="Q496" s="12" t="str">
        <x:f>IF(P496="","",IF(P496&gt;=80,"ATTACK",IF(P496&gt;=65,"GROW",IF(P496&gt;=50,"PARTNER","WATCH"))))</x:f>
      </x:c>
      <x:c r="R496" s="12" t="str">
        <x:f>IF(Q496="","",IF(Q496="ATTACK","Grassroots + family acquisition",IF(Q496="GROW","Test local campaign",IF(Q496="PARTNER","Organisation-first partnership","Low priority / validate"))))</x:f>
      </x:c>
      <x:c r="S496" s="45" t="n">
        <x:v>9.670369911799837</x:v>
      </x:c>
      <x:c r="T496" t="str">
        <x:v>NEAR</x:v>
      </x:c>
      <x:c r="U496" s="32" t="n">
        <x:f>PERCENTRANK.INC($G$2:$G$941,G496)</x:f>
        <x:v>0.766</x:v>
      </x:c>
      <x:c r="V496" s="32" t="n">
        <x:f>PERCENTRANK.INC($H$2:$H$941,H496)</x:f>
        <x:v>0.93</x:v>
      </x:c>
      <x:c r="W496" t="n">
        <x:f>ROUND((U496*55+V496*45)*IF(S496&lt;=5,1,IF(S496&lt;=10,0.95,IF(S496&lt;=20,0.85,0.70))),0)</x:f>
        <x:v>80</x:v>
      </x:c>
      <x:c r="X496" t="n">
        <x:v>54</x:v>
      </x:c>
      <x:c r="Y496" t="str">
        <x:v>PARTNER</x:v>
      </x:c>
      <x:c r="Z496" s="12" t="str">
        <x:v>Family + verified grassroots + straight-line geo only; transport not yet routed</x:v>
      </x:c>
      <x:c r="AA496" s="12"/>
      <x:c r="AB496" s="12"/>
      <x:c r="AC496" s="12"/>
      <x:c r="AD496" s="12"/>
      <x:c r="AE496" t="str">
        <x:v>Charlton Athletic Women</x:v>
      </x:c>
      <x:c r="AF496" s="45" t="n">
        <x:v>1.0492293712420717</x:v>
      </x:c>
      <x:c r="AG496" t="str">
        <x:v>Millwall Lionesses</x:v>
      </x:c>
      <x:c r="AH496" s="45" t="n">
        <x:v>6.3073526208366895</x:v>
      </x:c>
      <x:c r="AI496" t="n">
        <x:v>92</x:v>
      </x:c>
      <x:c r="AJ496" t="str">
        <x:v>HIGH</x:v>
      </x:c>
    </x:row>
    <x:row r="497">
      <x:c r="A497" s="12" t="str">
        <x:v>E01001651</x:v>
      </x:c>
      <x:c r="B497" s="12" t="str">
        <x:v>Greenwich 019C</x:v>
      </x:c>
      <x:c r="C497" s="12" t="str">
        <x:v>Greenwich</x:v>
      </x:c>
      <x:c r="D497" s="44" t="n">
        <x:v>51.47511967470238</x:v>
      </x:c>
      <x:c r="E497" s="44" t="n">
        <x:v>0.041907996317906704</x:v>
      </x:c>
      <x:c r="F497" s="33" t="n">
        <x:v>746</x:v>
      </x:c>
      <x:c r="G497" s="33" t="n">
        <x:v>267</x:v>
      </x:c>
      <x:c r="H497" s="26" t="n">
        <x:v>0.3579088471849866</x:v>
      </x:c>
      <x:c r="I497" s="12" t="n">
        <x:v>1</x:v>
      </x:c>
      <x:c r="J497" s="12" t="n">
        <x:v>22</x:v>
      </x:c>
      <x:c r="K497" s="12"/>
      <x:c r="L497" s="12"/>
      <x:c r="M497" s="12" t="str">
        <x:f>IF(K497="", "", MAX(0,IF(K497&lt;=20,100,IF(K497&lt;=30,85,IF(K497&lt;=40,70,IF(K497&lt;=50,55,IF(K497&lt;=60,40,20)))))-MIN(L497*5,20)))</x:f>
      </x:c>
      <x:c r="N497" s="12"/>
      <x:c r="O497" s="12"/>
      <x:c r="P497" s="12" t="str">
        <x:f>IF(OR(H497="",J497="",M497=""),"",ROUND(PERCENTRANK.INC($H$2:$H$941,H497)*35+J497*0.35+M497*0.30,0))</x:f>
      </x:c>
      <x:c r="Q497" s="12" t="str">
        <x:f>IF(P497="","",IF(P497&gt;=80,"ATTACK",IF(P497&gt;=65,"GROW",IF(P497&gt;=50,"PARTNER","WATCH"))))</x:f>
      </x:c>
      <x:c r="R497" s="12" t="str">
        <x:f>IF(Q497="","",IF(Q497="ATTACK","Grassroots + family acquisition",IF(Q497="GROW","Test local campaign",IF(Q497="PARTNER","Organisation-first partnership","Low priority / validate"))))</x:f>
      </x:c>
      <x:c r="S497" s="45" t="n">
        <x:v>9.504669404246</x:v>
      </x:c>
      <x:c r="T497" t="str">
        <x:v>NEAR</x:v>
      </x:c>
      <x:c r="U497" s="32" t="n">
        <x:f>PERCENTRANK.INC($G$2:$G$941,G497)</x:f>
        <x:v>0.858</x:v>
      </x:c>
      <x:c r="V497" s="32" t="n">
        <x:f>PERCENTRANK.INC($H$2:$H$941,H497)</x:f>
        <x:v>0.726</x:v>
      </x:c>
      <x:c r="W497" t="n">
        <x:f>ROUND((U497*55+V497*45)*IF(S497&lt;=5,1,IF(S497&lt;=10,0.95,IF(S497&lt;=20,0.85,0.70))),0)</x:f>
        <x:v>76</x:v>
      </x:c>
      <x:c r="X497" t="n">
        <x:v>52</x:v>
      </x:c>
      <x:c r="Y497" t="str">
        <x:v>PARTNER</x:v>
      </x:c>
      <x:c r="Z497" s="12" t="str">
        <x:v>Family + verified grassroots + straight-line geo only; transport not yet routed</x:v>
      </x:c>
      <x:c r="AA497" s="12"/>
      <x:c r="AB497" s="12"/>
      <x:c r="AC497" s="12"/>
      <x:c r="AD497" s="12"/>
      <x:c r="AE497" t="str">
        <x:v>Charlton Athletic Women</x:v>
      </x:c>
      <x:c r="AF497" s="45" t="n">
        <x:v>1.3161701668903256</x:v>
      </x:c>
      <x:c r="AG497" t="str">
        <x:v>Millwall Lionesses</x:v>
      </x:c>
      <x:c r="AH497" s="45" t="n">
        <x:v>6.651687876701482</x:v>
      </x:c>
      <x:c r="AI497" t="n">
        <x:v>92</x:v>
      </x:c>
      <x:c r="AJ497" t="str">
        <x:v>HIGH</x:v>
      </x:c>
    </x:row>
    <x:row r="498">
      <x:c r="A498" s="12" t="str">
        <x:v>E01001652</x:v>
      </x:c>
      <x:c r="B498" s="12" t="str">
        <x:v>Greenwich 019D</x:v>
      </x:c>
      <x:c r="C498" s="12" t="str">
        <x:v>Greenwich</x:v>
      </x:c>
      <x:c r="D498" s="44" t="n">
        <x:v>51.47455225576278</x:v>
      </x:c>
      <x:c r="E498" s="44" t="n">
        <x:v>0.031188575797825774</x:v>
      </x:c>
      <x:c r="F498" s="33" t="n">
        <x:v>707</x:v>
      </x:c>
      <x:c r="G498" s="33" t="n">
        <x:v>184</x:v>
      </x:c>
      <x:c r="H498" s="26" t="n">
        <x:v>0.26025459688826025</x:v>
      </x:c>
      <x:c r="I498" s="12" t="n">
        <x:v>1</x:v>
      </x:c>
      <x:c r="J498" s="12" t="n">
        <x:v>30</x:v>
      </x:c>
      <x:c r="K498" s="12"/>
      <x:c r="L498" s="12"/>
      <x:c r="M498" s="12" t="str">
        <x:f>IF(K498="", "", MAX(0,IF(K498&lt;=20,100,IF(K498&lt;=30,85,IF(K498&lt;=40,70,IF(K498&lt;=50,55,IF(K498&lt;=60,40,20)))))-MIN(L498*5,20)))</x:f>
      </x:c>
      <x:c r="N498" s="12"/>
      <x:c r="O498" s="12"/>
      <x:c r="P498" s="12" t="str">
        <x:f>IF(OR(H498="",J498="",M498=""),"",ROUND(PERCENTRANK.INC($H$2:$H$941,H498)*35+J498*0.35+M498*0.30,0))</x:f>
      </x:c>
      <x:c r="Q498" s="12" t="str">
        <x:f>IF(P498="","",IF(P498&gt;=80,"ATTACK",IF(P498&gt;=65,"GROW",IF(P498&gt;=50,"PARTNER","WATCH"))))</x:f>
      </x:c>
      <x:c r="R498" s="12" t="str">
        <x:f>IF(Q498="","",IF(Q498="ATTACK","Grassroots + family acquisition",IF(Q498="GROW","Test local campaign",IF(Q498="PARTNER","Organisation-first partnership","Low priority / validate"))))</x:f>
      </x:c>
      <x:c r="S498" s="45" t="n">
        <x:v>9.339237267253072</x:v>
      </x:c>
      <x:c r="T498" t="str">
        <x:v>NEAR</x:v>
      </x:c>
      <x:c r="U498" s="32" t="n">
        <x:f>PERCENTRANK.INC($G$2:$G$941,G498)</x:f>
        <x:v>0.256</x:v>
      </x:c>
      <x:c r="V498" s="32" t="n">
        <x:f>PERCENTRANK.INC($H$2:$H$941,H498)</x:f>
        <x:v>0.219</x:v>
      </x:c>
      <x:c r="W498" t="n">
        <x:f>ROUND((U498*55+V498*45)*IF(S498&lt;=5,1,IF(S498&lt;=10,0.95,IF(S498&lt;=20,0.85,0.70))),0)</x:f>
        <x:v>23</x:v>
      </x:c>
      <x:c r="X498" t="n">
        <x:v>26</x:v>
      </x:c>
      <x:c r="Y498" t="str">
        <x:v>WATCH</x:v>
      </x:c>
      <x:c r="Z498" s="12" t="str">
        <x:v>Family + verified grassroots + straight-line geo only; transport not yet routed</x:v>
      </x:c>
      <x:c r="AA498" s="12"/>
      <x:c r="AB498" s="12"/>
      <x:c r="AC498" s="12"/>
      <x:c r="AD498" s="12"/>
      <x:c r="AE498" t="str">
        <x:v>Charlton Athletic Women</x:v>
      </x:c>
      <x:c r="AF498" s="45" t="n">
        <x:v>1.361476552651513</x:v>
      </x:c>
      <x:c r="AG498" t="str">
        <x:v>Millwall Lionesses</x:v>
      </x:c>
      <x:c r="AH498" s="45" t="n">
        <x:v>6.065937992767701</x:v>
      </x:c>
      <x:c r="AI498" t="n">
        <x:v>92</x:v>
      </x:c>
      <x:c r="AJ498" t="str">
        <x:v>HIGH</x:v>
      </x:c>
    </x:row>
    <x:row r="499">
      <x:c r="A499" s="12" t="str">
        <x:v>E01001679</x:v>
      </x:c>
      <x:c r="B499" s="12" t="str">
        <x:v>Greenwich 020A</x:v>
      </x:c>
      <x:c r="C499" s="12" t="str">
        <x:v>Greenwich</x:v>
      </x:c>
      <x:c r="D499" s="44" t="n">
        <x:v>51.473149582314484</x:v>
      </x:c>
      <x:c r="E499" s="44" t="n">
        <x:v>0.06432809924706487</x:v>
      </x:c>
      <x:c r="F499" s="33" t="n">
        <x:v>554</x:v>
      </x:c>
      <x:c r="G499" s="33" t="n">
        <x:v>183</x:v>
      </x:c>
      <x:c r="H499" s="26" t="n">
        <x:v>0.3303249097472924</x:v>
      </x:c>
      <x:c r="I499" s="12" t="n">
        <x:v>0</x:v>
      </x:c>
      <x:c r="J499" s="12" t="n">
        <x:v>15</x:v>
      </x:c>
      <x:c r="K499" s="12"/>
      <x:c r="L499" s="12"/>
      <x:c r="M499" s="12" t="str">
        <x:f>IF(K499="", "", MAX(0,IF(K499&lt;=20,100,IF(K499&lt;=30,85,IF(K499&lt;=40,70,IF(K499&lt;=50,55,IF(K499&lt;=60,40,20)))))-MIN(L499*5,20)))</x:f>
      </x:c>
      <x:c r="N499" s="12"/>
      <x:c r="O499" s="12"/>
      <x:c r="P499" s="12" t="str">
        <x:f>IF(OR(H499="",J499="",M499=""),"",ROUND(PERCENTRANK.INC($H$2:$H$941,H499)*35+J499*0.35+M499*0.30,0))</x:f>
      </x:c>
      <x:c r="Q499" s="12" t="str">
        <x:f>IF(P499="","",IF(P499&gt;=80,"ATTACK",IF(P499&gt;=65,"GROW",IF(P499&gt;=50,"PARTNER","WATCH"))))</x:f>
      </x:c>
      <x:c r="R499" s="12" t="str">
        <x:f>IF(Q499="","",IF(Q499="ATTACK","Grassroots + family acquisition",IF(Q499="GROW","Test local campaign",IF(Q499="PARTNER","Organisation-first partnership","Low priority / validate"))))</x:f>
      </x:c>
      <x:c r="S499" s="45" t="n">
        <x:v>9.691134414915282</x:v>
      </x:c>
      <x:c r="T499" t="str">
        <x:v>NEAR</x:v>
      </x:c>
      <x:c r="U499" s="32" t="n">
        <x:f>PERCENTRANK.INC($G$2:$G$941,G499)</x:f>
        <x:v>0.248</x:v>
      </x:c>
      <x:c r="V499" s="32" t="n">
        <x:f>PERCENTRANK.INC($H$2:$H$941,H499)</x:f>
        <x:v>0.566</x:v>
      </x:c>
      <x:c r="W499" t="n">
        <x:f>ROUND((U499*55+V499*45)*IF(S499&lt;=5,1,IF(S499&lt;=10,0.95,IF(S499&lt;=20,0.85,0.70))),0)</x:f>
        <x:v>37</x:v>
      </x:c>
      <x:c r="X499" t="n">
        <x:v>27</x:v>
      </x:c>
      <x:c r="Y499" t="str">
        <x:v>WATCH</x:v>
      </x:c>
      <x:c r="Z499" s="12" t="str">
        <x:v>Family + verified grassroots + straight-line geo only; transport not yet routed</x:v>
      </x:c>
      <x:c r="AA499" s="12"/>
      <x:c r="AB499" s="12"/>
      <x:c r="AC499" s="12"/>
      <x:c r="AD499" s="12"/>
      <x:c r="AE499" t="str">
        <x:v>Charlton Athletic Women</x:v>
      </x:c>
      <x:c r="AF499" s="45" t="n">
        <x:v>2.445136967576378</x:v>
      </x:c>
      <x:c r="AG499" t="str">
        <x:v>Millwall Lionesses</x:v>
      </x:c>
      <x:c r="AH499" s="45" t="n">
        <x:v>8.115999367724868</x:v>
      </x:c>
      <x:c r="AI499" t="n">
        <x:v>92</x:v>
      </x:c>
      <x:c r="AJ499" t="str">
        <x:v>HIGH</x:v>
      </x:c>
    </x:row>
    <x:row r="500">
      <x:c r="A500" s="12" t="str">
        <x:v>E01001680</x:v>
      </x:c>
      <x:c r="B500" s="12" t="str">
        <x:v>Greenwich 020B</x:v>
      </x:c>
      <x:c r="C500" s="12" t="str">
        <x:v>Greenwich</x:v>
      </x:c>
      <x:c r="D500" s="44" t="n">
        <x:v>51.47371026979458</x:v>
      </x:c>
      <x:c r="E500" s="44" t="n">
        <x:v>0.07155912000590402</x:v>
      </x:c>
      <x:c r="F500" s="33" t="n">
        <x:v>616</x:v>
      </x:c>
      <x:c r="G500" s="33" t="n">
        <x:v>184</x:v>
      </x:c>
      <x:c r="H500" s="26" t="n">
        <x:v>0.2987012987012987</x:v>
      </x:c>
      <x:c r="I500" s="12" t="n">
        <x:v>0</x:v>
      </x:c>
      <x:c r="J500" s="12" t="n">
        <x:v>15</x:v>
      </x:c>
      <x:c r="K500" s="12"/>
      <x:c r="L500" s="12"/>
      <x:c r="M500" s="12" t="str">
        <x:f>IF(K500="", "", MAX(0,IF(K500&lt;=20,100,IF(K500&lt;=30,85,IF(K500&lt;=40,70,IF(K500&lt;=50,55,IF(K500&lt;=60,40,20)))))-MIN(L500*5,20)))</x:f>
      </x:c>
      <x:c r="N500" s="12"/>
      <x:c r="O500" s="12"/>
      <x:c r="P500" s="12" t="str">
        <x:f>IF(OR(H500="",J500="",M500=""),"",ROUND(PERCENTRANK.INC($H$2:$H$941,H500)*35+J500*0.35+M500*0.30,0))</x:f>
      </x:c>
      <x:c r="Q500" s="12" t="str">
        <x:f>IF(P500="","",IF(P500&gt;=80,"ATTACK",IF(P500&gt;=65,"GROW",IF(P500&gt;=50,"PARTNER","WATCH"))))</x:f>
      </x:c>
      <x:c r="R500" s="12" t="str">
        <x:f>IF(Q500="","",IF(Q500="ATTACK","Grassroots + family acquisition",IF(Q500="GROW","Test local campaign",IF(Q500="PARTNER","Organisation-first partnership","Low priority / validate"))))</x:f>
      </x:c>
      <x:c r="S500" s="45" t="n">
        <x:v>9.927352694114772</x:v>
      </x:c>
      <x:c r="T500" t="str">
        <x:v>NEAR</x:v>
      </x:c>
      <x:c r="U500" s="32" t="n">
        <x:f>PERCENTRANK.INC($G$2:$G$941,G500)</x:f>
        <x:v>0.256</x:v>
      </x:c>
      <x:c r="V500" s="32" t="n">
        <x:f>PERCENTRANK.INC($H$2:$H$941,H500)</x:f>
        <x:v>0.386</x:v>
      </x:c>
      <x:c r="W500" t="n">
        <x:f>ROUND((U500*55+V500*45)*IF(S500&lt;=5,1,IF(S500&lt;=10,0.95,IF(S500&lt;=20,0.85,0.70))),0)</x:f>
        <x:v>30</x:v>
      </x:c>
      <x:c r="X500" t="n">
        <x:v>23</x:v>
      </x:c>
      <x:c r="Y500" t="str">
        <x:v>WATCH</x:v>
      </x:c>
      <x:c r="Z500" s="12" t="str">
        <x:v>Family + verified grassroots + straight-line geo only; transport not yet routed</x:v>
      </x:c>
      <x:c r="AA500" s="12"/>
      <x:c r="AB500" s="12"/>
      <x:c r="AC500" s="12"/>
      <x:c r="AD500" s="12"/>
      <x:c r="AE500" t="str">
        <x:v>Charlton Athletic Women</x:v>
      </x:c>
      <x:c r="AF500" s="45" t="n">
        <x:v>2.8291117527210865</x:v>
      </x:c>
      <x:c r="AG500" t="str">
        <x:v>Millwall Lionesses</x:v>
      </x:c>
      <x:c r="AH500" s="45" t="n">
        <x:v>8.538938237890745</x:v>
      </x:c>
      <x:c r="AI500" t="n">
        <x:v>92</x:v>
      </x:c>
      <x:c r="AJ500" t="str">
        <x:v>HIGH</x:v>
      </x:c>
    </x:row>
    <x:row r="501">
      <x:c r="A501" s="12" t="str">
        <x:v>E01001681</x:v>
      </x:c>
      <x:c r="B501" s="12" t="str">
        <x:v>Greenwich 020C</x:v>
      </x:c>
      <x:c r="C501" s="12" t="str">
        <x:v>Greenwich</x:v>
      </x:c>
      <x:c r="D501" s="44" t="n">
        <x:v>51.47783869527176</x:v>
      </x:c>
      <x:c r="E501" s="44" t="n">
        <x:v>0.07334281757505341</x:v>
      </x:c>
      <x:c r="F501" s="33" t="n">
        <x:v>526</x:v>
      </x:c>
      <x:c r="G501" s="33" t="n">
        <x:v>210</x:v>
      </x:c>
      <x:c r="H501" s="26" t="n">
        <x:v>0.39923954372623577</x:v>
      </x:c>
      <x:c r="I501" s="12" t="n">
        <x:v>0</x:v>
      </x:c>
      <x:c r="J501" s="12" t="n">
        <x:v>15</x:v>
      </x:c>
      <x:c r="K501" s="12"/>
      <x:c r="L501" s="12"/>
      <x:c r="M501" s="12" t="str">
        <x:f>IF(K501="", "", MAX(0,IF(K501&lt;=20,100,IF(K501&lt;=30,85,IF(K501&lt;=40,70,IF(K501&lt;=50,55,IF(K501&lt;=60,40,20)))))-MIN(L501*5,20)))</x:f>
      </x:c>
      <x:c r="N501" s="12"/>
      <x:c r="O501" s="12"/>
      <x:c r="P501" s="12" t="str">
        <x:f>IF(OR(H501="",J501="",M501=""),"",ROUND(PERCENTRANK.INC($H$2:$H$941,H501)*35+J501*0.35+M501*0.30,0))</x:f>
      </x:c>
      <x:c r="Q501" s="12" t="str">
        <x:f>IF(P501="","",IF(P501&gt;=80,"ATTACK",IF(P501&gt;=65,"GROW",IF(P501&gt;=50,"PARTNER","WATCH"))))</x:f>
      </x:c>
      <x:c r="R501" s="12" t="str">
        <x:f>IF(Q501="","",IF(Q501="ATTACK","Grassroots + family acquisition",IF(Q501="GROW","Test local campaign",IF(Q501="PARTNER","Organisation-first partnership","Low priority / validate"))))</x:f>
      </x:c>
      <x:c r="S501" s="45" t="n">
        <x:v>10.39931564158829</x:v>
      </x:c>
      <x:c r="T501" t="str">
        <x:v>EXTENDED</x:v>
      </x:c>
      <x:c r="U501" s="32" t="n">
        <x:f>PERCENTRANK.INC($G$2:$G$941,G501)</x:f>
        <x:v>0.471</x:v>
      </x:c>
      <x:c r="V501" s="32" t="n">
        <x:f>PERCENTRANK.INC($H$2:$H$941,H501)</x:f>
        <x:v>0.902</x:v>
      </x:c>
      <x:c r="W501" t="n">
        <x:f>ROUND((U501*55+V501*45)*IF(S501&lt;=5,1,IF(S501&lt;=10,0.95,IF(S501&lt;=20,0.85,0.70))),0)</x:f>
        <x:v>57</x:v>
      </x:c>
      <x:c r="X501" t="n">
        <x:v>38</x:v>
      </x:c>
      <x:c r="Y501" t="str">
        <x:v>WATCH</x:v>
      </x:c>
      <x:c r="Z501" s="12" t="str">
        <x:v>Family + verified grassroots + straight-line geo only; transport not yet routed</x:v>
      </x:c>
      <x:c r="AA501" s="12"/>
      <x:c r="AB501" s="12"/>
      <x:c r="AC501" s="12"/>
      <x:c r="AD501" s="12"/>
      <x:c r="AE501" t="str">
        <x:v>Charlton Athletic Women</x:v>
      </x:c>
      <x:c r="AF501" s="45" t="n">
        <x:v>2.7458237358288162</x:v>
      </x:c>
      <x:c r="AG501" t="str">
        <x:v>Millwall Lionesses</x:v>
      </x:c>
      <x:c r="AH501" s="45" t="n">
        <x:v>8.469506755373008</x:v>
      </x:c>
      <x:c r="AI501" t="n">
        <x:v>92</x:v>
      </x:c>
      <x:c r="AJ501" t="str">
        <x:v>HIGH</x:v>
      </x:c>
    </x:row>
    <x:row r="502">
      <x:c r="A502" s="12" t="str">
        <x:v>E01001682</x:v>
      </x:c>
      <x:c r="B502" s="12" t="str">
        <x:v>Greenwich 020D</x:v>
      </x:c>
      <x:c r="C502" s="12" t="str">
        <x:v>Greenwich</x:v>
      </x:c>
      <x:c r="D502" s="44" t="n">
        <x:v>51.47057426298834</x:v>
      </x:c>
      <x:c r="E502" s="44" t="n">
        <x:v>0.06537764847814337</x:v>
      </x:c>
      <x:c r="F502" s="33" t="n">
        <x:v>550</x:v>
      </x:c>
      <x:c r="G502" s="33" t="n">
        <x:v>164</x:v>
      </x:c>
      <x:c r="H502" s="26" t="n">
        <x:v>0.29818181818181816</x:v>
      </x:c>
      <x:c r="I502" s="12" t="n">
        <x:v>0</x:v>
      </x:c>
      <x:c r="J502" s="12" t="n">
        <x:v>15</x:v>
      </x:c>
      <x:c r="K502" s="12"/>
      <x:c r="L502" s="12"/>
      <x:c r="M502" s="12" t="str">
        <x:f>IF(K502="", "", MAX(0,IF(K502&lt;=20,100,IF(K502&lt;=30,85,IF(K502&lt;=40,70,IF(K502&lt;=50,55,IF(K502&lt;=60,40,20)))))-MIN(L502*5,20)))</x:f>
      </x:c>
      <x:c r="N502" s="12"/>
      <x:c r="O502" s="12"/>
      <x:c r="P502" s="12" t="str">
        <x:f>IF(OR(H502="",J502="",M502=""),"",ROUND(PERCENTRANK.INC($H$2:$H$941,H502)*35+J502*0.35+M502*0.30,0))</x:f>
      </x:c>
      <x:c r="Q502" s="12" t="str">
        <x:f>IF(P502="","",IF(P502&gt;=80,"ATTACK",IF(P502&gt;=65,"GROW",IF(P502&gt;=50,"PARTNER","WATCH"))))</x:f>
      </x:c>
      <x:c r="R502" s="12" t="str">
        <x:f>IF(Q502="","",IF(Q502="ATTACK","Grassroots + family acquisition",IF(Q502="GROW","Test local campaign",IF(Q502="PARTNER","Organisation-first partnership","Low priority / validate"))))</x:f>
      </x:c>
      <x:c r="S502" s="45" t="n">
        <x:v>9.446884008787473</x:v>
      </x:c>
      <x:c r="T502" t="str">
        <x:v>NEAR</x:v>
      </x:c>
      <x:c r="U502" s="32" t="n">
        <x:f>PERCENTRANK.INC($G$2:$G$941,G502)</x:f>
        <x:v>0.139</x:v>
      </x:c>
      <x:c r="V502" s="32" t="n">
        <x:f>PERCENTRANK.INC($H$2:$H$941,H502)</x:f>
        <x:v>0.381</x:v>
      </x:c>
      <x:c r="W502" t="n">
        <x:f>ROUND((U502*55+V502*45)*IF(S502&lt;=5,1,IF(S502&lt;=10,0.95,IF(S502&lt;=20,0.85,0.70))),0)</x:f>
        <x:v>24</x:v>
      </x:c>
      <x:c r="X502" t="n">
        <x:v>20</x:v>
      </x:c>
      <x:c r="Y502" t="str">
        <x:v>WATCH</x:v>
      </x:c>
      <x:c r="Z502" s="12" t="str">
        <x:v>Family + verified grassroots + straight-line geo only; transport not yet routed</x:v>
      </x:c>
      <x:c r="AA502" s="12"/>
      <x:c r="AB502" s="12"/>
      <x:c r="AC502" s="12"/>
      <x:c r="AD502" s="12"/>
      <x:c r="AE502" t="str">
        <x:v>Charlton Athletic Women</x:v>
      </x:c>
      <x:c r="AF502" s="45" t="n">
        <x:v>2.6821105667298633</x:v>
      </x:c>
      <x:c r="AG502" t="str">
        <x:v>Millwall Lionesses</x:v>
      </x:c>
      <x:c r="AH502" s="45" t="n">
        <x:v>8.313482632788272</x:v>
      </x:c>
      <x:c r="AI502" t="n">
        <x:v>92</x:v>
      </x:c>
      <x:c r="AJ502" t="str">
        <x:v>HIGH</x:v>
      </x:c>
    </x:row>
    <x:row r="503">
      <x:c r="A503" s="12" t="str">
        <x:v>E01001686</x:v>
      </x:c>
      <x:c r="B503" s="12" t="str">
        <x:v>Greenwich 020E</x:v>
      </x:c>
      <x:c r="C503" s="12" t="str">
        <x:v>Greenwich</x:v>
      </x:c>
      <x:c r="D503" s="44" t="n">
        <x:v>51.47634703945651</x:v>
      </x:c>
      <x:c r="E503" s="44" t="n">
        <x:v>0.06754150316286471</x:v>
      </x:c>
      <x:c r="F503" s="33" t="n">
        <x:v>754</x:v>
      </x:c>
      <x:c r="G503" s="33" t="n">
        <x:v>235</x:v>
      </x:c>
      <x:c r="H503" s="26" t="n">
        <x:v>0.3116710875331565</x:v>
      </x:c>
      <x:c r="I503" s="12" t="n">
        <x:v>0</x:v>
      </x:c>
      <x:c r="J503" s="12" t="n">
        <x:v>15</x:v>
      </x:c>
      <x:c r="K503" s="12"/>
      <x:c r="L503" s="12"/>
      <x:c r="M503" s="12" t="str">
        <x:f>IF(K503="", "", MAX(0,IF(K503&lt;=20,100,IF(K503&lt;=30,85,IF(K503&lt;=40,70,IF(K503&lt;=50,55,IF(K503&lt;=60,40,20)))))-MIN(L503*5,20)))</x:f>
      </x:c>
      <x:c r="N503" s="12"/>
      <x:c r="O503" s="12"/>
      <x:c r="P503" s="12" t="str">
        <x:f>IF(OR(H503="",J503="",M503=""),"",ROUND(PERCENTRANK.INC($H$2:$H$941,H503)*35+J503*0.35+M503*0.30,0))</x:f>
      </x:c>
      <x:c r="Q503" s="12" t="str">
        <x:f>IF(P503="","",IF(P503&gt;=80,"ATTACK",IF(P503&gt;=65,"GROW",IF(P503&gt;=50,"PARTNER","WATCH"))))</x:f>
      </x:c>
      <x:c r="R503" s="12" t="str">
        <x:f>IF(Q503="","",IF(Q503="ATTACK","Grassroots + family acquisition",IF(Q503="GROW","Test local campaign",IF(Q503="PARTNER","Organisation-first partnership","Low priority / validate"))))</x:f>
      </x:c>
      <x:c r="S503" s="45" t="n">
        <x:v>10.100983330992415</x:v>
      </x:c>
      <x:c r="T503" t="str">
        <x:v>EXTENDED</x:v>
      </x:c>
      <x:c r="U503" s="32" t="n">
        <x:f>PERCENTRANK.INC($G$2:$G$941,G503)</x:f>
        <x:v>0.667</x:v>
      </x:c>
      <x:c r="V503" s="32" t="n">
        <x:f>PERCENTRANK.INC($H$2:$H$941,H503)</x:f>
        <x:v>0.46</x:v>
      </x:c>
      <x:c r="W503" t="n">
        <x:f>ROUND((U503*55+V503*45)*IF(S503&lt;=5,1,IF(S503&lt;=10,0.95,IF(S503&lt;=20,0.85,0.70))),0)</x:f>
        <x:v>49</x:v>
      </x:c>
      <x:c r="X503" t="n">
        <x:v>34</x:v>
      </x:c>
      <x:c r="Y503" t="str">
        <x:v>WATCH</x:v>
      </x:c>
      <x:c r="Z503" s="12" t="str">
        <x:v>Family + verified grassroots + straight-line geo only; transport not yet routed</x:v>
      </x:c>
      <x:c r="AA503" s="12"/>
      <x:c r="AB503" s="12"/>
      <x:c r="AC503" s="12"/>
      <x:c r="AD503" s="12"/>
      <x:c r="AE503" t="str">
        <x:v>Charlton Athletic Women</x:v>
      </x:c>
      <x:c r="AF503" s="45" t="n">
        <x:v>2.4443983055667178</x:v>
      </x:c>
      <x:c r="AG503" t="str">
        <x:v>Millwall Lionesses</x:v>
      </x:c>
      <x:c r="AH503" s="45" t="n">
        <x:v>8.16408379475508</x:v>
      </x:c>
      <x:c r="AI503" t="n">
        <x:v>92</x:v>
      </x:c>
      <x:c r="AJ503" t="str">
        <x:v>HIGH</x:v>
      </x:c>
    </x:row>
    <x:row r="504">
      <x:c r="A504" s="12" t="str">
        <x:v>E01001580</x:v>
      </x:c>
      <x:c r="B504" s="12" t="str">
        <x:v>Greenwich 021A</x:v>
      </x:c>
      <x:c r="C504" s="12" t="str">
        <x:v>Greenwich</x:v>
      </x:c>
      <x:c r="D504" s="44" t="n">
        <x:v>51.47582523939345</x:v>
      </x:c>
      <x:c r="E504" s="44" t="n">
        <x:v>0.015914328594819917</x:v>
      </x:c>
      <x:c r="F504" s="33" t="n">
        <x:v>790</x:v>
      </x:c>
      <x:c r="G504" s="33" t="n">
        <x:v>176</x:v>
      </x:c>
      <x:c r="H504" s="26" t="n">
        <x:v>0.22278481012658227</x:v>
      </x:c>
      <x:c r="I504" s="12" t="n">
        <x:v>1</x:v>
      </x:c>
      <x:c r="J504" s="12" t="n">
        <x:v>22</x:v>
      </x:c>
      <x:c r="K504" s="12"/>
      <x:c r="L504" s="12"/>
      <x:c r="M504" s="12" t="str">
        <x:f>IF(K504="", "", MAX(0,IF(K504&lt;=20,100,IF(K504&lt;=30,85,IF(K504&lt;=40,70,IF(K504&lt;=50,55,IF(K504&lt;=60,40,20)))))-MIN(L504*5,20)))</x:f>
      </x:c>
      <x:c r="N504" s="12"/>
      <x:c r="O504" s="12"/>
      <x:c r="P504" s="12" t="str">
        <x:f>IF(OR(H504="",J504="",M504=""),"",ROUND(PERCENTRANK.INC($H$2:$H$941,H504)*35+J504*0.35+M504*0.30,0))</x:f>
      </x:c>
      <x:c r="Q504" s="12" t="str">
        <x:f>IF(P504="","",IF(P504&gt;=80,"ATTACK",IF(P504&gt;=65,"GROW",IF(P504&gt;=50,"PARTNER","WATCH"))))</x:f>
      </x:c>
      <x:c r="R504" s="12" t="str">
        <x:f>IF(Q504="","",IF(Q504="ATTACK","Grassroots + family acquisition",IF(Q504="GROW","Test local campaign",IF(Q504="PARTNER","Organisation-first partnership","Low priority / validate"))))</x:f>
      </x:c>
      <x:c r="S504" s="45" t="n">
        <x:v>9.434749623042343</x:v>
      </x:c>
      <x:c r="T504" t="str">
        <x:v>NEAR</x:v>
      </x:c>
      <x:c r="U504" s="32" t="n">
        <x:f>PERCENTRANK.INC($G$2:$G$941,G504)</x:f>
        <x:v>0.197</x:v>
      </x:c>
      <x:c r="V504" s="32" t="n">
        <x:f>PERCENTRANK.INC($H$2:$H$941,H504)</x:f>
        <x:v>0.109</x:v>
      </x:c>
      <x:c r="W504" t="n">
        <x:f>ROUND((U504*55+V504*45)*IF(S504&lt;=5,1,IF(S504&lt;=10,0.95,IF(S504&lt;=20,0.85,0.70))),0)</x:f>
        <x:v>15</x:v>
      </x:c>
      <x:c r="X504" t="n">
        <x:v>18</x:v>
      </x:c>
      <x:c r="Y504" t="str">
        <x:v>WATCH</x:v>
      </x:c>
      <x:c r="Z504" s="12" t="str">
        <x:v>Family + verified grassroots + straight-line geo only; transport not yet routed</x:v>
      </x:c>
      <x:c r="AA504" s="12"/>
      <x:c r="AB504" s="12"/>
      <x:c r="AC504" s="12"/>
      <x:c r="AD504" s="12"/>
      <x:c r="AE504" t="str">
        <x:v>Charlton Athletic Women</x:v>
      </x:c>
      <x:c r="AF504" s="45" t="n">
        <x:v>1.8292910235282116</x:v>
      </x:c>
      <x:c r="AG504" t="str">
        <x:v>Millwall Lionesses</x:v>
      </x:c>
      <x:c r="AH504" s="45" t="n">
        <x:v>5.146055143074059</x:v>
      </x:c>
      <x:c r="AI504" t="n">
        <x:v>96</x:v>
      </x:c>
      <x:c r="AJ504" t="str">
        <x:v>HIGH</x:v>
      </x:c>
    </x:row>
    <x:row r="505">
      <x:c r="A505" s="12" t="str">
        <x:v>E01001582</x:v>
      </x:c>
      <x:c r="B505" s="12" t="str">
        <x:v>Greenwich 021B</x:v>
      </x:c>
      <x:c r="C505" s="12" t="str">
        <x:v>Greenwich</x:v>
      </x:c>
      <x:c r="D505" s="44" t="n">
        <x:v>51.46925976383231</x:v>
      </x:c>
      <x:c r="E505" s="44" t="n">
        <x:v>0.025272694480676657</x:v>
      </x:c>
      <x:c r="F505" s="33" t="n">
        <x:v>661</x:v>
      </x:c>
      <x:c r="G505" s="33" t="n">
        <x:v>212</x:v>
      </x:c>
      <x:c r="H505" s="26" t="n">
        <x:v>0.3207261724659607</x:v>
      </x:c>
      <x:c r="I505" s="12" t="n">
        <x:v>1</x:v>
      </x:c>
      <x:c r="J505" s="12" t="n">
        <x:v>30</x:v>
      </x:c>
      <x:c r="K505" s="12"/>
      <x:c r="L505" s="12"/>
      <x:c r="M505" s="12" t="str">
        <x:f>IF(K505="", "", MAX(0,IF(K505&lt;=20,100,IF(K505&lt;=30,85,IF(K505&lt;=40,70,IF(K505&lt;=50,55,IF(K505&lt;=60,40,20)))))-MIN(L505*5,20)))</x:f>
      </x:c>
      <x:c r="N505" s="12"/>
      <x:c r="O505" s="12"/>
      <x:c r="P505" s="12" t="str">
        <x:f>IF(OR(H505="",J505="",M505=""),"",ROUND(PERCENTRANK.INC($H$2:$H$941,H505)*35+J505*0.35+M505*0.30,0))</x:f>
      </x:c>
      <x:c r="Q505" s="12" t="str">
        <x:f>IF(P505="","",IF(P505&gt;=80,"ATTACK",IF(P505&gt;=65,"GROW",IF(P505&gt;=50,"PARTNER","WATCH"))))</x:f>
      </x:c>
      <x:c r="R505" s="12" t="str">
        <x:f>IF(Q505="","",IF(Q505="ATTACK","Grassroots + family acquisition",IF(Q505="GROW","Test local campaign",IF(Q505="PARTNER","Organisation-first partnership","Low priority / validate"))))</x:f>
      </x:c>
      <x:c r="S505" s="45" t="n">
        <x:v>8.719656562571705</x:v>
      </x:c>
      <x:c r="T505" t="str">
        <x:v>NEAR</x:v>
      </x:c>
      <x:c r="U505" s="32" t="n">
        <x:f>PERCENTRANK.INC($G$2:$G$941,G505)</x:f>
        <x:v>0.492</x:v>
      </x:c>
      <x:c r="V505" s="32" t="n">
        <x:f>PERCENTRANK.INC($H$2:$H$941,H505)</x:f>
        <x:v>0.517</x:v>
      </x:c>
      <x:c r="W505" t="n">
        <x:f>ROUND((U505*55+V505*45)*IF(S505&lt;=5,1,IF(S505&lt;=10,0.95,IF(S505&lt;=20,0.85,0.70))),0)</x:f>
        <x:v>48</x:v>
      </x:c>
      <x:c r="X505" t="n">
        <x:v>40</x:v>
      </x:c>
      <x:c r="Y505" t="str">
        <x:v>WATCH</x:v>
      </x:c>
      <x:c r="Z505" s="12" t="str">
        <x:v>Family + verified grassroots + straight-line geo only; transport not yet routed</x:v>
      </x:c>
      <x:c r="AA505" s="12"/>
      <x:c r="AB505" s="12"/>
      <x:c r="AC505" s="12"/>
      <x:c r="AD505" s="12"/>
      <x:c r="AE505" t="str">
        <x:v>Charlton Athletic Women</x:v>
      </x:c>
      <x:c r="AF505" s="45" t="n">
        <x:v>2.0493786154038887</x:v>
      </x:c>
      <x:c r="AG505" t="str">
        <x:v>Millwall Lionesses</x:v>
      </x:c>
      <x:c r="AH505" s="45" t="n">
        <x:v>6.115456006744404</x:v>
      </x:c>
      <x:c r="AI505" t="n">
        <x:v>92</x:v>
      </x:c>
      <x:c r="AJ505" t="str">
        <x:v>HIGH</x:v>
      </x:c>
    </x:row>
    <x:row r="506">
      <x:c r="A506" s="12" t="str">
        <x:v>E01001583</x:v>
      </x:c>
      <x:c r="B506" s="12" t="str">
        <x:v>Greenwich 021C</x:v>
      </x:c>
      <x:c r="C506" s="12" t="str">
        <x:v>Greenwich</x:v>
      </x:c>
      <x:c r="D506" s="44" t="n">
        <x:v>51.47310002067635</x:v>
      </x:c>
      <x:c r="E506" s="44" t="n">
        <x:v>0.021379191249661398</x:v>
      </x:c>
      <x:c r="F506" s="33" t="n">
        <x:v>766</x:v>
      </x:c>
      <x:c r="G506" s="33" t="n">
        <x:v>161</x:v>
      </x:c>
      <x:c r="H506" s="26" t="n">
        <x:v>0.21018276762402088</x:v>
      </x:c>
      <x:c r="I506" s="12" t="n">
        <x:v>1</x:v>
      </x:c>
      <x:c r="J506" s="12" t="n">
        <x:v>30</x:v>
      </x:c>
      <x:c r="K506" s="12"/>
      <x:c r="L506" s="12"/>
      <x:c r="M506" s="12" t="str">
        <x:f>IF(K506="", "", MAX(0,IF(K506&lt;=20,100,IF(K506&lt;=30,85,IF(K506&lt;=40,70,IF(K506&lt;=50,55,IF(K506&lt;=60,40,20)))))-MIN(L506*5,20)))</x:f>
      </x:c>
      <x:c r="N506" s="12"/>
      <x:c r="O506" s="12"/>
      <x:c r="P506" s="12" t="str">
        <x:f>IF(OR(H506="",J506="",M506=""),"",ROUND(PERCENTRANK.INC($H$2:$H$941,H506)*35+J506*0.35+M506*0.30,0))</x:f>
      </x:c>
      <x:c r="Q506" s="12" t="str">
        <x:f>IF(P506="","",IF(P506&gt;=80,"ATTACK",IF(P506&gt;=65,"GROW",IF(P506&gt;=50,"PARTNER","WATCH"))))</x:f>
      </x:c>
      <x:c r="R506" s="12" t="str">
        <x:f>IF(Q506="","",IF(Q506="ATTACK","Grassroots + family acquisition",IF(Q506="GROW","Test local campaign",IF(Q506="PARTNER","Organisation-first partnership","Low priority / validate"))))</x:f>
      </x:c>
      <x:c r="S506" s="45" t="n">
        <x:v>9.134439735083658</x:v>
      </x:c>
      <x:c r="T506" t="str">
        <x:v>NEAR</x:v>
      </x:c>
      <x:c r="U506" s="32" t="n">
        <x:f>PERCENTRANK.INC($G$2:$G$941,G506)</x:f>
        <x:v>0.129</x:v>
      </x:c>
      <x:c r="V506" s="32" t="n">
        <x:f>PERCENTRANK.INC($H$2:$H$941,H506)</x:f>
        <x:v>0.084</x:v>
      </x:c>
      <x:c r="W506" t="n">
        <x:f>ROUND((U506*55+V506*45)*IF(S506&lt;=5,1,IF(S506&lt;=10,0.95,IF(S506&lt;=20,0.85,0.70))),0)</x:f>
        <x:v>10</x:v>
      </x:c>
      <x:c r="X506" t="n">
        <x:v>19</x:v>
      </x:c>
      <x:c r="Y506" t="str">
        <x:v>WATCH</x:v>
      </x:c>
      <x:c r="Z506" s="12" t="str">
        <x:v>Family + verified grassroots + straight-line geo only; transport not yet routed</x:v>
      </x:c>
      <x:c r="AA506" s="12"/>
      <x:c r="AB506" s="12"/>
      <x:c r="AC506" s="12"/>
      <x:c r="AD506" s="12"/>
      <x:c r="AE506" t="str">
        <x:v>Charlton Athletic Women</x:v>
      </x:c>
      <x:c r="AF506" s="45" t="n">
        <x:v>1.7981775603908128</x:v>
      </x:c>
      <x:c r="AG506" t="str">
        <x:v>Millwall Lionesses</x:v>
      </x:c>
      <x:c r="AH506" s="45" t="n">
        <x:v>5.630554075848193</x:v>
      </x:c>
      <x:c r="AI506" t="n">
        <x:v>96</x:v>
      </x:c>
      <x:c r="AJ506" t="str">
        <x:v>HIGH</x:v>
      </x:c>
    </x:row>
    <x:row r="507">
      <x:c r="A507" s="12" t="str">
        <x:v>E01001584</x:v>
      </x:c>
      <x:c r="B507" s="12" t="str">
        <x:v>Greenwich 021D</x:v>
      </x:c>
      <x:c r="C507" s="12" t="str">
        <x:v>Greenwich</x:v>
      </x:c>
      <x:c r="D507" s="44" t="n">
        <x:v>51.46717853505252</x:v>
      </x:c>
      <x:c r="E507" s="44" t="n">
        <x:v>0.015471582261527969</x:v>
      </x:c>
      <x:c r="F507" s="33" t="n">
        <x:v>663</x:v>
      </x:c>
      <x:c r="G507" s="33" t="n">
        <x:v>174</x:v>
      </x:c>
      <x:c r="H507" s="26" t="n">
        <x:v>0.26244343891402716</x:v>
      </x:c>
      <x:c r="I507" s="12" t="n">
        <x:v>1</x:v>
      </x:c>
      <x:c r="J507" s="12" t="n">
        <x:v>37</x:v>
      </x:c>
      <x:c r="K507" s="12"/>
      <x:c r="L507" s="12"/>
      <x:c r="M507" s="12" t="str">
        <x:f>IF(K507="", "", MAX(0,IF(K507&lt;=20,100,IF(K507&lt;=30,85,IF(K507&lt;=40,70,IF(K507&lt;=50,55,IF(K507&lt;=60,40,20)))))-MIN(L507*5,20)))</x:f>
      </x:c>
      <x:c r="N507" s="12"/>
      <x:c r="O507" s="12"/>
      <x:c r="P507" s="12" t="str">
        <x:f>IF(OR(H507="",J507="",M507=""),"",ROUND(PERCENTRANK.INC($H$2:$H$941,H507)*35+J507*0.35+M507*0.30,0))</x:f>
      </x:c>
      <x:c r="Q507" s="12" t="str">
        <x:f>IF(P507="","",IF(P507&gt;=80,"ATTACK",IF(P507&gt;=65,"GROW",IF(P507&gt;=50,"PARTNER","WATCH"))))</x:f>
      </x:c>
      <x:c r="R507" s="12" t="str">
        <x:f>IF(Q507="","",IF(Q507="ATTACK","Grassroots + family acquisition",IF(Q507="GROW","Test local campaign",IF(Q507="PARTNER","Organisation-first partnership","Low priority / validate"))))</x:f>
      </x:c>
      <x:c r="S507" s="45" t="n">
        <x:v>8.47387854382621</x:v>
      </x:c>
      <x:c r="T507" t="str">
        <x:v>NEAR</x:v>
      </x:c>
      <x:c r="U507" s="32" t="n">
        <x:f>PERCENTRANK.INC($G$2:$G$941,G507)</x:f>
        <x:v>0.188</x:v>
      </x:c>
      <x:c r="V507" s="32" t="n">
        <x:f>PERCENTRANK.INC($H$2:$H$941,H507)</x:f>
        <x:v>0.232</x:v>
      </x:c>
      <x:c r="W507" t="n">
        <x:f>ROUND((U507*55+V507*45)*IF(S507&lt;=5,1,IF(S507&lt;=10,0.95,IF(S507&lt;=20,0.85,0.70))),0)</x:f>
        <x:v>20</x:v>
      </x:c>
      <x:c r="X507" t="n">
        <x:v>28</x:v>
      </x:c>
      <x:c r="Y507" t="str">
        <x:v>WATCH</x:v>
      </x:c>
      <x:c r="Z507" s="12" t="str">
        <x:v>Family + verified grassroots + straight-line geo only; transport not yet routed</x:v>
      </x:c>
      <x:c r="AA507" s="12"/>
      <x:c r="AB507" s="12"/>
      <x:c r="AC507" s="12"/>
      <x:c r="AD507" s="12"/>
      <x:c r="AE507" t="str">
        <x:v>Charlton Athletic Women</x:v>
      </x:c>
      <x:c r="AF507" s="45" t="n">
        <x:v>2.5727614684282147</x:v>
      </x:c>
      <x:c r="AG507" t="str">
        <x:v>Millwall Lionesses</x:v>
      </x:c>
      <x:c r="AH507" s="45" t="n">
        <x:v>5.801554570168522</x:v>
      </x:c>
      <x:c r="AI507" t="n">
        <x:v>96</x:v>
      </x:c>
      <x:c r="AJ507" t="str">
        <x:v>HIGH</x:v>
      </x:c>
    </x:row>
    <x:row r="508">
      <x:c r="A508" s="12" t="str">
        <x:v>E01001645</x:v>
      </x:c>
      <x:c r="B508" s="12" t="str">
        <x:v>Greenwich 022A</x:v>
      </x:c>
      <x:c r="C508" s="12" t="str">
        <x:v>Greenwich</x:v>
      </x:c>
      <x:c r="D508" s="44" t="n">
        <x:v>51.469957633164896</x:v>
      </x:c>
      <x:c r="E508" s="44" t="n">
        <x:v>0.03675989787714034</x:v>
      </x:c>
      <x:c r="F508" s="33" t="n">
        <x:v>707</x:v>
      </x:c>
      <x:c r="G508" s="33" t="n">
        <x:v>234</x:v>
      </x:c>
      <x:c r="H508" s="26" t="n">
        <x:v>0.33097595473833097</x:v>
      </x:c>
      <x:c r="I508" s="12" t="n">
        <x:v>1</x:v>
      </x:c>
      <x:c r="J508" s="12" t="n">
        <x:v>22</x:v>
      </x:c>
      <x:c r="K508" s="12"/>
      <x:c r="L508" s="12"/>
      <x:c r="M508" s="12" t="str">
        <x:f>IF(K508="", "", MAX(0,IF(K508&lt;=20,100,IF(K508&lt;=30,85,IF(K508&lt;=40,70,IF(K508&lt;=50,55,IF(K508&lt;=60,40,20)))))-MIN(L508*5,20)))</x:f>
      </x:c>
      <x:c r="N508" s="12"/>
      <x:c r="O508" s="12"/>
      <x:c r="P508" s="12" t="str">
        <x:f>IF(OR(H508="",J508="",M508=""),"",ROUND(PERCENTRANK.INC($H$2:$H$941,H508)*35+J508*0.35+M508*0.30,0))</x:f>
      </x:c>
      <x:c r="Q508" s="12" t="str">
        <x:f>IF(P508="","",IF(P508&gt;=80,"ATTACK",IF(P508&gt;=65,"GROW",IF(P508&gt;=50,"PARTNER","WATCH"))))</x:f>
      </x:c>
      <x:c r="R508" s="12" t="str">
        <x:f>IF(Q508="","",IF(Q508="ATTACK","Grassroots + family acquisition",IF(Q508="GROW","Test local campaign",IF(Q508="PARTNER","Organisation-first partnership","Low priority / validate"))))</x:f>
      </x:c>
      <x:c r="S508" s="45" t="n">
        <x:v>8.880231471765432</x:v>
      </x:c>
      <x:c r="T508" t="str">
        <x:v>NEAR</x:v>
      </x:c>
      <x:c r="U508" s="32" t="n">
        <x:f>PERCENTRANK.INC($G$2:$G$941,G508)</x:f>
        <x:v>0.658</x:v>
      </x:c>
      <x:c r="V508" s="32" t="n">
        <x:f>PERCENTRANK.INC($H$2:$H$941,H508)</x:f>
        <x:v>0.572</x:v>
      </x:c>
      <x:c r="W508" t="n">
        <x:f>ROUND((U508*55+V508*45)*IF(S508&lt;=5,1,IF(S508&lt;=10,0.95,IF(S508&lt;=20,0.85,0.70))),0)</x:f>
        <x:v>59</x:v>
      </x:c>
      <x:c r="X508" t="n">
        <x:v>43</x:v>
      </x:c>
      <x:c r="Y508" t="str">
        <x:v>WATCH</x:v>
      </x:c>
      <x:c r="Z508" s="12" t="str">
        <x:v>Family + verified grassroots + straight-line geo only; transport not yet routed</x:v>
      </x:c>
      <x:c r="AA508" s="12"/>
      <x:c r="AB508" s="12"/>
      <x:c r="AC508" s="12"/>
      <x:c r="AD508" s="12"/>
      <x:c r="AE508" t="str">
        <x:v>Charlton Athletic Women</x:v>
      </x:c>
      <x:c r="AF508" s="45" t="n">
        <x:v>1.8287981225839385</x:v>
      </x:c>
      <x:c r="AG508" t="str">
        <x:v>Millwall Lionesses</x:v>
      </x:c>
      <x:c r="AH508" s="45" t="n">
        <x:v>6.679342546185899</x:v>
      </x:c>
      <x:c r="AI508" t="n">
        <x:v>92</x:v>
      </x:c>
      <x:c r="AJ508" t="str">
        <x:v>HIGH</x:v>
      </x:c>
    </x:row>
    <x:row r="509">
      <x:c r="A509" s="12" t="str">
        <x:v>E01001647</x:v>
      </x:c>
      <x:c r="B509" s="12" t="str">
        <x:v>Greenwich 022B</x:v>
      </x:c>
      <x:c r="C509" s="12" t="str">
        <x:v>Greenwich</x:v>
      </x:c>
      <x:c r="D509" s="44" t="n">
        <x:v>51.469673652485625</x:v>
      </x:c>
      <x:c r="E509" s="44" t="n">
        <x:v>0.03086983618395078</x:v>
      </x:c>
      <x:c r="F509" s="33" t="n">
        <x:v>565</x:v>
      </x:c>
      <x:c r="G509" s="33" t="n">
        <x:v>185</x:v>
      </x:c>
      <x:c r="H509" s="26" t="n">
        <x:v>0.3274336283185841</x:v>
      </x:c>
      <x:c r="I509" s="12" t="n">
        <x:v>1</x:v>
      </x:c>
      <x:c r="J509" s="12" t="n">
        <x:v>30</x:v>
      </x:c>
      <x:c r="K509" s="12"/>
      <x:c r="L509" s="12"/>
      <x:c r="M509" s="12" t="str">
        <x:f>IF(K509="", "", MAX(0,IF(K509&lt;=20,100,IF(K509&lt;=30,85,IF(K509&lt;=40,70,IF(K509&lt;=50,55,IF(K509&lt;=60,40,20)))))-MIN(L509*5,20)))</x:f>
      </x:c>
      <x:c r="N509" s="12"/>
      <x:c r="O509" s="12"/>
      <x:c r="P509" s="12" t="str">
        <x:f>IF(OR(H509="",J509="",M509=""),"",ROUND(PERCENTRANK.INC($H$2:$H$941,H509)*35+J509*0.35+M509*0.30,0))</x:f>
      </x:c>
      <x:c r="Q509" s="12" t="str">
        <x:f>IF(P509="","",IF(P509&gt;=80,"ATTACK",IF(P509&gt;=65,"GROW",IF(P509&gt;=50,"PARTNER","WATCH"))))</x:f>
      </x:c>
      <x:c r="R509" s="12" t="str">
        <x:f>IF(Q509="","",IF(Q509="ATTACK","Grassroots + family acquisition",IF(Q509="GROW","Test local campaign",IF(Q509="PARTNER","Organisation-first partnership","Low priority / validate"))))</x:f>
      </x:c>
      <x:c r="S509" s="45" t="n">
        <x:v>8.797336057533103</x:v>
      </x:c>
      <x:c r="T509" t="str">
        <x:v>NEAR</x:v>
      </x:c>
      <x:c r="U509" s="32" t="n">
        <x:f>PERCENTRANK.INC($G$2:$G$941,G509)</x:f>
        <x:v>0.266</x:v>
      </x:c>
      <x:c r="V509" s="32" t="n">
        <x:f>PERCENTRANK.INC($H$2:$H$941,H509)</x:f>
        <x:v>0.552</x:v>
      </x:c>
      <x:c r="W509" t="n">
        <x:f>ROUND((U509*55+V509*45)*IF(S509&lt;=5,1,IF(S509&lt;=10,0.95,IF(S509&lt;=20,0.85,0.70))),0)</x:f>
        <x:v>37</x:v>
      </x:c>
      <x:c r="X509" t="n">
        <x:v>34</x:v>
      </x:c>
      <x:c r="Y509" t="str">
        <x:v>WATCH</x:v>
      </x:c>
      <x:c r="Z509" s="12" t="str">
        <x:v>Family + verified grassroots + straight-line geo only; transport not yet routed</x:v>
      </x:c>
      <x:c r="AA509" s="12"/>
      <x:c r="AB509" s="12"/>
      <x:c r="AC509" s="12"/>
      <x:c r="AD509" s="12"/>
      <x:c r="AE509" t="str">
        <x:v>Charlton Athletic Women</x:v>
      </x:c>
      <x:c r="AF509" s="45" t="n">
        <x:v>1.8954940629702839</x:v>
      </x:c>
      <x:c r="AG509" t="str">
        <x:v>Millwall Lionesses</x:v>
      </x:c>
      <x:c r="AH509" s="45" t="n">
        <x:v>6.3787114648223655</x:v>
      </x:c>
      <x:c r="AI509" t="n">
        <x:v>92</x:v>
      </x:c>
      <x:c r="AJ509" t="str">
        <x:v>HIGH</x:v>
      </x:c>
    </x:row>
    <x:row r="510">
      <x:c r="A510" s="12" t="str">
        <x:v>E01001648</x:v>
      </x:c>
      <x:c r="B510" s="12" t="str">
        <x:v>Greenwich 022C</x:v>
      </x:c>
      <x:c r="C510" s="12" t="str">
        <x:v>Greenwich</x:v>
      </x:c>
      <x:c r="D510" s="44" t="n">
        <x:v>51.468575922140836</x:v>
      </x:c>
      <x:c r="E510" s="44" t="n">
        <x:v>0.04702842993142399</x:v>
      </x:c>
      <x:c r="F510" s="33" t="n">
        <x:v>695</x:v>
      </x:c>
      <x:c r="G510" s="33" t="n">
        <x:v>215</x:v>
      </x:c>
      <x:c r="H510" s="26" t="n">
        <x:v>0.30935251798561153</x:v>
      </x:c>
      <x:c r="I510" s="12" t="n">
        <x:v>1</x:v>
      </x:c>
      <x:c r="J510" s="12" t="n">
        <x:v>22</x:v>
      </x:c>
      <x:c r="K510" s="12"/>
      <x:c r="L510" s="12"/>
      <x:c r="M510" s="12" t="str">
        <x:f>IF(K510="", "", MAX(0,IF(K510&lt;=20,100,IF(K510&lt;=30,85,IF(K510&lt;=40,70,IF(K510&lt;=50,55,IF(K510&lt;=60,40,20)))))-MIN(L510*5,20)))</x:f>
      </x:c>
      <x:c r="N510" s="12"/>
      <x:c r="O510" s="12"/>
      <x:c r="P510" s="12" t="str">
        <x:f>IF(OR(H510="",J510="",M510=""),"",ROUND(PERCENTRANK.INC($H$2:$H$941,H510)*35+J510*0.35+M510*0.30,0))</x:f>
      </x:c>
      <x:c r="Q510" s="12" t="str">
        <x:f>IF(P510="","",IF(P510&gt;=80,"ATTACK",IF(P510&gt;=65,"GROW",IF(P510&gt;=50,"PARTNER","WATCH"))))</x:f>
      </x:c>
      <x:c r="R510" s="12" t="str">
        <x:f>IF(Q510="","",IF(Q510="ATTACK","Grassroots + family acquisition",IF(Q510="GROW","Test local campaign",IF(Q510="PARTNER","Organisation-first partnership","Low priority / validate"))))</x:f>
      </x:c>
      <x:c r="S510" s="45" t="n">
        <x:v>8.86402473039325</x:v>
      </x:c>
      <x:c r="T510" t="str">
        <x:v>NEAR</x:v>
      </x:c>
      <x:c r="U510" s="32" t="n">
        <x:f>PERCENTRANK.INC($G$2:$G$941,G510)</x:f>
        <x:v>0.515</x:v>
      </x:c>
      <x:c r="V510" s="32" t="n">
        <x:f>PERCENTRANK.INC($H$2:$H$941,H510)</x:f>
        <x:v>0.441</x:v>
      </x:c>
      <x:c r="W510" t="n">
        <x:f>ROUND((U510*55+V510*45)*IF(S510&lt;=5,1,IF(S510&lt;=10,0.95,IF(S510&lt;=20,0.85,0.70))),0)</x:f>
        <x:v>46</x:v>
      </x:c>
      <x:c r="X510" t="n">
        <x:v>35</x:v>
      </x:c>
      <x:c r="Y510" t="str">
        <x:v>WATCH</x:v>
      </x:c>
      <x:c r="Z510" s="12" t="str">
        <x:v>Family + verified grassroots + straight-line geo only; transport not yet routed</x:v>
      </x:c>
      <x:c r="AA510" s="12"/>
      <x:c r="AB510" s="12"/>
      <x:c r="AC510" s="12"/>
      <x:c r="AD510" s="12"/>
      <x:c r="AE510" t="str">
        <x:v>Charlton Athletic Women</x:v>
      </x:c>
      <x:c r="AF510" s="45" t="n">
        <x:v>2.1203091142506905</x:v>
      </x:c>
      <x:c r="AG510" t="str">
        <x:v>Millwall Lionesses</x:v>
      </x:c>
      <x:c r="AH510" s="45" t="n">
        <x:v>7.345733673912418</x:v>
      </x:c>
      <x:c r="AI510" t="n">
        <x:v>92</x:v>
      </x:c>
      <x:c r="AJ510" t="str">
        <x:v>HIGH</x:v>
      </x:c>
    </x:row>
    <x:row r="511">
      <x:c r="A511" s="12" t="str">
        <x:v>E01001649</x:v>
      </x:c>
      <x:c r="B511" s="12" t="str">
        <x:v>Greenwich 022D</x:v>
      </x:c>
      <x:c r="C511" s="12" t="str">
        <x:v>Greenwich</x:v>
      </x:c>
      <x:c r="D511" s="44" t="n">
        <x:v>51.46483949016808</x:v>
      </x:c>
      <x:c r="E511" s="44" t="n">
        <x:v>0.040634374618569225</x:v>
      </x:c>
      <x:c r="F511" s="33" t="n">
        <x:v>573</x:v>
      </x:c>
      <x:c r="G511" s="33" t="n">
        <x:v>208</x:v>
      </x:c>
      <x:c r="H511" s="26" t="n">
        <x:v>0.36300174520069806</x:v>
      </x:c>
      <x:c r="I511" s="12" t="n">
        <x:v>1</x:v>
      </x:c>
      <x:c r="J511" s="12" t="n">
        <x:v>30</x:v>
      </x:c>
      <x:c r="K511" s="12"/>
      <x:c r="L511" s="12"/>
      <x:c r="M511" s="12" t="str">
        <x:f>IF(K511="", "", MAX(0,IF(K511&lt;=20,100,IF(K511&lt;=30,85,IF(K511&lt;=40,70,IF(K511&lt;=50,55,IF(K511&lt;=60,40,20)))))-MIN(L511*5,20)))</x:f>
      </x:c>
      <x:c r="N511" s="12"/>
      <x:c r="O511" s="12"/>
      <x:c r="P511" s="12" t="str">
        <x:f>IF(OR(H511="",J511="",M511=""),"",ROUND(PERCENTRANK.INC($H$2:$H$941,H511)*35+J511*0.35+M511*0.30,0))</x:f>
      </x:c>
      <x:c r="Q511" s="12" t="str">
        <x:f>IF(P511="","",IF(P511&gt;=80,"ATTACK",IF(P511&gt;=65,"GROW",IF(P511&gt;=50,"PARTNER","WATCH"))))</x:f>
      </x:c>
      <x:c r="R511" s="12" t="str">
        <x:f>IF(Q511="","",IF(Q511="ATTACK","Grassroots + family acquisition",IF(Q511="GROW","Test local campaign",IF(Q511="PARTNER","Organisation-first partnership","Low priority / validate"))))</x:f>
      </x:c>
      <x:c r="S511" s="45" t="n">
        <x:v>8.364747203218306</x:v>
      </x:c>
      <x:c r="T511" t="str">
        <x:v>NEAR</x:v>
      </x:c>
      <x:c r="U511" s="32" t="n">
        <x:f>PERCENTRANK.INC($G$2:$G$941,G511)</x:f>
        <x:v>0.448</x:v>
      </x:c>
      <x:c r="V511" s="32" t="n">
        <x:f>PERCENTRANK.INC($H$2:$H$941,H511)</x:f>
        <x:v>0.759</x:v>
      </x:c>
      <x:c r="W511" t="n">
        <x:f>ROUND((U511*55+V511*45)*IF(S511&lt;=5,1,IF(S511&lt;=10,0.95,IF(S511&lt;=20,0.85,0.70))),0)</x:f>
        <x:v>56</x:v>
      </x:c>
      <x:c r="X511" t="n">
        <x:v>45</x:v>
      </x:c>
      <x:c r="Y511" t="str">
        <x:v>WATCH</x:v>
      </x:c>
      <x:c r="Z511" s="12" t="str">
        <x:v>Family + verified grassroots + straight-line geo only; transport not yet routed</x:v>
      </x:c>
      <x:c r="AA511" s="12"/>
      <x:c r="AB511" s="12"/>
      <x:c r="AC511" s="12"/>
      <x:c r="AD511" s="12"/>
      <x:c r="AE511" t="str">
        <x:v>Charlton Athletic Women</x:v>
      </x:c>
      <x:c r="AF511" s="45" t="n">
        <x:v>2.4174559498667545</x:v>
      </x:c>
      <x:c r="AG511" t="str">
        <x:v>Millwall Lionesses</x:v>
      </x:c>
      <x:c r="AH511" s="45" t="n">
        <x:v>7.24255639319501</x:v>
      </x:c>
      <x:c r="AI511" t="n">
        <x:v>92</x:v>
      </x:c>
      <x:c r="AJ511" t="str">
        <x:v>HIGH</x:v>
      </x:c>
    </x:row>
    <x:row r="512">
      <x:c r="A512" s="12" t="str">
        <x:v>E01001605</x:v>
      </x:c>
      <x:c r="B512" s="12" t="str">
        <x:v>Greenwich 023A</x:v>
      </x:c>
      <x:c r="C512" s="12" t="str">
        <x:v>Greenwich</x:v>
      </x:c>
      <x:c r="D512" s="44" t="n">
        <x:v>51.46185381134771</x:v>
      </x:c>
      <x:c r="E512" s="44" t="n">
        <x:v>0.06500195502453782</x:v>
      </x:c>
      <x:c r="F512" s="33" t="n">
        <x:v>566</x:v>
      </x:c>
      <x:c r="G512" s="33" t="n">
        <x:v>186</x:v>
      </x:c>
      <x:c r="H512" s="26" t="n">
        <x:v>0.3286219081272085</x:v>
      </x:c>
      <x:c r="I512" s="12" t="n">
        <x:v>1</x:v>
      </x:c>
      <x:c r="J512" s="12" t="n">
        <x:v>31</x:v>
      </x:c>
      <x:c r="K512" s="12"/>
      <x:c r="L512" s="12"/>
      <x:c r="M512" s="12" t="str">
        <x:f>IF(K512="", "", MAX(0,IF(K512&lt;=20,100,IF(K512&lt;=30,85,IF(K512&lt;=40,70,IF(K512&lt;=50,55,IF(K512&lt;=60,40,20)))))-MIN(L512*5,20)))</x:f>
      </x:c>
      <x:c r="N512" s="12"/>
      <x:c r="O512" s="12"/>
      <x:c r="P512" s="12" t="str">
        <x:f>IF(OR(H512="",J512="",M512=""),"",ROUND(PERCENTRANK.INC($H$2:$H$941,H512)*35+J512*0.35+M512*0.30,0))</x:f>
      </x:c>
      <x:c r="Q512" s="12" t="str">
        <x:f>IF(P512="","",IF(P512&gt;=80,"ATTACK",IF(P512&gt;=65,"GROW",IF(P512&gt;=50,"PARTNER","WATCH"))))</x:f>
      </x:c>
      <x:c r="R512" s="12" t="str">
        <x:f>IF(Q512="","",IF(Q512="ATTACK","Grassroots + family acquisition",IF(Q512="GROW","Test local campaign",IF(Q512="PARTNER","Organisation-first partnership","Low priority / validate"))))</x:f>
      </x:c>
      <x:c r="S512" s="45" t="n">
        <x:v>8.535291665898454</x:v>
      </x:c>
      <x:c r="T512" t="str">
        <x:v>NEAR</x:v>
      </x:c>
      <x:c r="U512" s="32" t="n">
        <x:f>PERCENTRANK.INC($G$2:$G$941,G512)</x:f>
        <x:v>0.277</x:v>
      </x:c>
      <x:c r="V512" s="32" t="n">
        <x:f>PERCENTRANK.INC($H$2:$H$941,H512)</x:f>
        <x:v>0.558</x:v>
      </x:c>
      <x:c r="W512" t="n">
        <x:f>ROUND((U512*55+V512*45)*IF(S512&lt;=5,1,IF(S512&lt;=10,0.95,IF(S512&lt;=20,0.85,0.70))),0)</x:f>
        <x:v>38</x:v>
      </x:c>
      <x:c r="X512" t="n">
        <x:v>35</x:v>
      </x:c>
      <x:c r="Y512" t="str">
        <x:v>WATCH</x:v>
      </x:c>
      <x:c r="Z512" s="12" t="str">
        <x:v>Family + verified grassroots + straight-line geo only; transport not yet routed</x:v>
      </x:c>
      <x:c r="AA512" s="12"/>
      <x:c r="AB512" s="12"/>
      <x:c r="AC512" s="12"/>
      <x:c r="AD512" s="12"/>
      <x:c r="AE512" t="str">
        <x:v>Charlton Athletic Women</x:v>
      </x:c>
      <x:c r="AF512" s="45" t="n">
        <x:v>3.3827266963268205</x:v>
      </x:c>
      <x:c r="AG512" t="str">
        <x:v>Millwall Lionesses</x:v>
      </x:c>
      <x:c r="AH512" s="45" t="n">
        <x:v>8.795374078016486</x:v>
      </x:c>
      <x:c r="AI512" t="n">
        <x:v>81</x:v>
      </x:c>
      <x:c r="AJ512" t="str">
        <x:v>HIGH</x:v>
      </x:c>
    </x:row>
    <x:row r="513">
      <x:c r="A513" s="12" t="str">
        <x:v>E01001606</x:v>
      </x:c>
      <x:c r="B513" s="12" t="str">
        <x:v>Greenwich 023B</x:v>
      </x:c>
      <x:c r="C513" s="12" t="str">
        <x:v>Greenwich</x:v>
      </x:c>
      <x:c r="D513" s="44" t="n">
        <x:v>51.45995872904331</x:v>
      </x:c>
      <x:c r="E513" s="44" t="n">
        <x:v>0.06077400239618555</x:v>
      </x:c>
      <x:c r="F513" s="33" t="n">
        <x:v>608</x:v>
      </x:c>
      <x:c r="G513" s="33" t="n">
        <x:v>227</x:v>
      </x:c>
      <x:c r="H513" s="26" t="n">
        <x:v>0.37335526315789475</x:v>
      </x:c>
      <x:c r="I513" s="12" t="n">
        <x:v>1</x:v>
      </x:c>
      <x:c r="J513" s="12" t="n">
        <x:v>31</x:v>
      </x:c>
      <x:c r="K513" s="12"/>
      <x:c r="L513" s="12"/>
      <x:c r="M513" s="12" t="str">
        <x:f>IF(K513="", "", MAX(0,IF(K513&lt;=20,100,IF(K513&lt;=30,85,IF(K513&lt;=40,70,IF(K513&lt;=50,55,IF(K513&lt;=60,40,20)))))-MIN(L513*5,20)))</x:f>
      </x:c>
      <x:c r="N513" s="12"/>
      <x:c r="O513" s="12"/>
      <x:c r="P513" s="12" t="str">
        <x:f>IF(OR(H513="",J513="",M513=""),"",ROUND(PERCENTRANK.INC($H$2:$H$941,H513)*35+J513*0.35+M513*0.30,0))</x:f>
      </x:c>
      <x:c r="Q513" s="12" t="str">
        <x:f>IF(P513="","",IF(P513&gt;=80,"ATTACK",IF(P513&gt;=65,"GROW",IF(P513&gt;=50,"PARTNER","WATCH"))))</x:f>
      </x:c>
      <x:c r="R513" s="12" t="str">
        <x:f>IF(Q513="","",IF(Q513="ATTACK","Grassroots + family acquisition",IF(Q513="GROW","Test local campaign",IF(Q513="PARTNER","Organisation-first partnership","Low priority / validate"))))</x:f>
      </x:c>
      <x:c r="S513" s="45" t="n">
        <x:v>8.23033748825462</x:v>
      </x:c>
      <x:c r="T513" t="str">
        <x:v>NEAR</x:v>
      </x:c>
      <x:c r="U513" s="32" t="n">
        <x:f>PERCENTRANK.INC($G$2:$G$941,G513)</x:f>
        <x:v>0.605</x:v>
      </x:c>
      <x:c r="V513" s="32" t="n">
        <x:f>PERCENTRANK.INC($H$2:$H$941,H513)</x:f>
        <x:v>0.809</x:v>
      </x:c>
      <x:c r="W513" t="n">
        <x:f>ROUND((U513*55+V513*45)*IF(S513&lt;=5,1,IF(S513&lt;=10,0.95,IF(S513&lt;=20,0.85,0.70))),0)</x:f>
        <x:v>66</x:v>
      </x:c>
      <x:c r="X513" t="n">
        <x:v>51</x:v>
      </x:c>
      <x:c r="Y513" t="str">
        <x:v>PARTNER</x:v>
      </x:c>
      <x:c r="Z513" s="12" t="str">
        <x:v>Family + verified grassroots + straight-line geo only; transport not yet routed</x:v>
      </x:c>
      <x:c r="AA513" s="12"/>
      <x:c r="AB513" s="12"/>
      <x:c r="AC513" s="12"/>
      <x:c r="AD513" s="12"/>
      <x:c r="AE513" t="str">
        <x:v>Charlton Athletic Women</x:v>
      </x:c>
      <x:c r="AF513" s="45" t="n">
        <x:v>3.398987415540705</x:v>
      </x:c>
      <x:c r="AG513" t="str">
        <x:v>Millwall Lionesses</x:v>
      </x:c>
      <x:c r="AH513" s="45" t="n">
        <x:v>8.67760730056597</x:v>
      </x:c>
      <x:c r="AI513" t="n">
        <x:v>81</x:v>
      </x:c>
      <x:c r="AJ513" t="str">
        <x:v>HIGH</x:v>
      </x:c>
    </x:row>
    <x:row r="514">
      <x:c r="A514" s="12" t="str">
        <x:v>E01001610</x:v>
      </x:c>
      <x:c r="B514" s="12" t="str">
        <x:v>Greenwich 023C</x:v>
      </x:c>
      <x:c r="C514" s="12" t="str">
        <x:v>Greenwich</x:v>
      </x:c>
      <x:c r="D514" s="44" t="n">
        <x:v>51.46510610023677</x:v>
      </x:c>
      <x:c r="E514" s="44" t="n">
        <x:v>0.055893985982414775</x:v>
      </x:c>
      <x:c r="F514" s="33" t="n">
        <x:v>702</x:v>
      </x:c>
      <x:c r="G514" s="33" t="n">
        <x:v>246</x:v>
      </x:c>
      <x:c r="H514" s="26" t="n">
        <x:v>0.3504273504273504</x:v>
      </x:c>
      <x:c r="I514" s="12" t="n">
        <x:v>1</x:v>
      </x:c>
      <x:c r="J514" s="12" t="n">
        <x:v>31</x:v>
      </x:c>
      <x:c r="K514" s="12"/>
      <x:c r="L514" s="12"/>
      <x:c r="M514" s="12" t="str">
        <x:f>IF(K514="", "", MAX(0,IF(K514&lt;=20,100,IF(K514&lt;=30,85,IF(K514&lt;=40,70,IF(K514&lt;=50,55,IF(K514&lt;=60,40,20)))))-MIN(L514*5,20)))</x:f>
      </x:c>
      <x:c r="N514" s="12"/>
      <x:c r="O514" s="12"/>
      <x:c r="P514" s="12" t="str">
        <x:f>IF(OR(H514="",J514="",M514=""),"",ROUND(PERCENTRANK.INC($H$2:$H$941,H514)*35+J514*0.35+M514*0.30,0))</x:f>
      </x:c>
      <x:c r="Q514" s="12" t="str">
        <x:f>IF(P514="","",IF(P514&gt;=80,"ATTACK",IF(P514&gt;=65,"GROW",IF(P514&gt;=50,"PARTNER","WATCH"))))</x:f>
      </x:c>
      <x:c r="R514" s="12" t="str">
        <x:f>IF(Q514="","",IF(Q514="ATTACK","Grassroots + family acquisition",IF(Q514="GROW","Test local campaign",IF(Q514="PARTNER","Organisation-first partnership","Low priority / validate"))))</x:f>
      </x:c>
      <x:c r="S514" s="45" t="n">
        <x:v>8.656725963003261</x:v>
      </x:c>
      <x:c r="T514" t="str">
        <x:v>NEAR</x:v>
      </x:c>
      <x:c r="U514" s="32" t="n">
        <x:f>PERCENTRANK.INC($G$2:$G$941,G514)</x:f>
        <x:v>0.749</x:v>
      </x:c>
      <x:c r="V514" s="32" t="n">
        <x:f>PERCENTRANK.INC($H$2:$H$941,H514)</x:f>
        <x:v>0.689</x:v>
      </x:c>
      <x:c r="W514" t="n">
        <x:f>ROUND((U514*55+V514*45)*IF(S514&lt;=5,1,IF(S514&lt;=10,0.95,IF(S514&lt;=20,0.85,0.70))),0)</x:f>
        <x:v>69</x:v>
      </x:c>
      <x:c r="X514" t="n">
        <x:v>52</x:v>
      </x:c>
      <x:c r="Y514" t="str">
        <x:v>PARTNER</x:v>
      </x:c>
      <x:c r="Z514" s="12" t="str">
        <x:v>Family + verified grassroots + straight-line geo only; transport not yet routed</x:v>
      </x:c>
      <x:c r="AA514" s="12"/>
      <x:c r="AB514" s="12"/>
      <x:c r="AC514" s="12"/>
      <x:c r="AD514" s="12"/>
      <x:c r="AE514" t="str">
        <x:v>Charlton Athletic Women</x:v>
      </x:c>
      <x:c r="AF514" s="45" t="n">
        <x:v>2.7342633600151993</x:v>
      </x:c>
      <x:c r="AG514" t="str">
        <x:v>Millwall Lionesses</x:v>
      </x:c>
      <x:c r="AH514" s="45" t="n">
        <x:v>8.070334954180689</x:v>
      </x:c>
      <x:c r="AI514" t="n">
        <x:v>92</x:v>
      </x:c>
      <x:c r="AJ514" t="str">
        <x:v>HIGH</x:v>
      </x:c>
    </x:row>
    <x:row r="515">
      <x:c r="A515" s="12" t="str">
        <x:v>E01001611</x:v>
      </x:c>
      <x:c r="B515" s="12" t="str">
        <x:v>Greenwich 023D</x:v>
      </x:c>
      <x:c r="C515" s="12" t="str">
        <x:v>Greenwich</x:v>
      </x:c>
      <x:c r="D515" s="44" t="n">
        <x:v>51.46367824135287</x:v>
      </x:c>
      <x:c r="E515" s="44" t="n">
        <x:v>0.05257145666410764</x:v>
      </x:c>
      <x:c r="F515" s="33" t="n">
        <x:v>712</x:v>
      </x:c>
      <x:c r="G515" s="33" t="n">
        <x:v>243</x:v>
      </x:c>
      <x:c r="H515" s="26" t="n">
        <x:v>0.34129213483146065</x:v>
      </x:c>
      <x:c r="I515" s="12" t="n">
        <x:v>2</x:v>
      </x:c>
      <x:c r="J515" s="12" t="n">
        <x:v>38</x:v>
      </x:c>
      <x:c r="K515" s="12"/>
      <x:c r="L515" s="12"/>
      <x:c r="M515" s="12" t="str">
        <x:f>IF(K515="", "", MAX(0,IF(K515&lt;=20,100,IF(K515&lt;=30,85,IF(K515&lt;=40,70,IF(K515&lt;=50,55,IF(K515&lt;=60,40,20)))))-MIN(L515*5,20)))</x:f>
      </x:c>
      <x:c r="N515" s="12"/>
      <x:c r="O515" s="12"/>
      <x:c r="P515" s="12" t="str">
        <x:f>IF(OR(H515="",J515="",M515=""),"",ROUND(PERCENTRANK.INC($H$2:$H$941,H515)*35+J515*0.35+M515*0.30,0))</x:f>
      </x:c>
      <x:c r="Q515" s="12" t="str">
        <x:f>IF(P515="","",IF(P515&gt;=80,"ATTACK",IF(P515&gt;=65,"GROW",IF(P515&gt;=50,"PARTNER","WATCH"))))</x:f>
      </x:c>
      <x:c r="R515" s="12" t="str">
        <x:f>IF(Q515="","",IF(Q515="ATTACK","Grassroots + family acquisition",IF(Q515="GROW","Test local campaign",IF(Q515="PARTNER","Organisation-first partnership","Low priority / validate"))))</x:f>
      </x:c>
      <x:c r="S515" s="45" t="n">
        <x:v>8.436857657366378</x:v>
      </x:c>
      <x:c r="T515" t="str">
        <x:v>NEAR</x:v>
      </x:c>
      <x:c r="U515" s="32" t="n">
        <x:f>PERCENTRANK.INC($G$2:$G$941,G515)</x:f>
        <x:v>0.73</x:v>
      </x:c>
      <x:c r="V515" s="32" t="n">
        <x:f>PERCENTRANK.INC($H$2:$H$941,H515)</x:f>
        <x:v>0.623</x:v>
      </x:c>
      <x:c r="W515" t="n">
        <x:f>ROUND((U515*55+V515*45)*IF(S515&lt;=5,1,IF(S515&lt;=10,0.95,IF(S515&lt;=20,0.85,0.70))),0)</x:f>
        <x:v>65</x:v>
      </x:c>
      <x:c r="X515" t="n">
        <x:v>53</x:v>
      </x:c>
      <x:c r="Y515" t="str">
        <x:v>PARTNER</x:v>
      </x:c>
      <x:c r="Z515" s="12" t="str">
        <x:v>Family + verified grassroots + straight-line geo only; transport not yet routed</x:v>
      </x:c>
      <x:c r="AA515" s="12"/>
      <x:c r="AB515" s="12"/>
      <x:c r="AC515" s="12"/>
      <x:c r="AD515" s="12"/>
      <x:c r="AE515" t="str">
        <x:v>Charlton Athletic Women</x:v>
      </x:c>
      <x:c r="AF515" s="45" t="n">
        <x:v>2.770731242441729</x:v>
      </x:c>
      <x:c r="AG515" t="str">
        <x:v>Millwall Lionesses</x:v>
      </x:c>
      <x:c r="AH515" s="45" t="n">
        <x:v>7.974781511996255</x:v>
      </x:c>
      <x:c r="AI515" t="n">
        <x:v>92</x:v>
      </x:c>
      <x:c r="AJ515" t="str">
        <x:v>HIGH</x:v>
      </x:c>
    </x:row>
    <x:row r="516">
      <x:c r="A516" s="12" t="str">
        <x:v>E01001620</x:v>
      </x:c>
      <x:c r="B516" s="12" t="str">
        <x:v>Greenwich 025A</x:v>
      </x:c>
      <x:c r="C516" s="12" t="str">
        <x:v>Greenwich</x:v>
      </x:c>
      <x:c r="D516" s="44" t="n">
        <x:v>51.454324257758664</x:v>
      </x:c>
      <x:c r="E516" s="44" t="n">
        <x:v>0.04129142969902874</x:v>
      </x:c>
      <x:c r="F516" s="33" t="n">
        <x:v>501</x:v>
      </x:c>
      <x:c r="G516" s="33" t="n">
        <x:v>201</x:v>
      </x:c>
      <x:c r="H516" s="26" t="n">
        <x:v>0.40119760479041916</x:v>
      </x:c>
      <x:c r="I516" s="12" t="n">
        <x:v>2</x:v>
      </x:c>
      <x:c r="J516" s="12" t="n">
        <x:v>46</x:v>
      </x:c>
      <x:c r="K516" s="12"/>
      <x:c r="L516" s="12"/>
      <x:c r="M516" s="12" t="str">
        <x:f>IF(K516="", "", MAX(0,IF(K516&lt;=20,100,IF(K516&lt;=30,85,IF(K516&lt;=40,70,IF(K516&lt;=50,55,IF(K516&lt;=60,40,20)))))-MIN(L516*5,20)))</x:f>
      </x:c>
      <x:c r="N516" s="12"/>
      <x:c r="O516" s="12"/>
      <x:c r="P516" s="12" t="str">
        <x:f>IF(OR(H516="",J516="",M516=""),"",ROUND(PERCENTRANK.INC($H$2:$H$941,H516)*35+J516*0.35+M516*0.30,0))</x:f>
      </x:c>
      <x:c r="Q516" s="12" t="str">
        <x:f>IF(P516="","",IF(P516&gt;=80,"ATTACK",IF(P516&gt;=65,"GROW",IF(P516&gt;=50,"PARTNER","WATCH"))))</x:f>
      </x:c>
      <x:c r="R516" s="12" t="str">
        <x:f>IF(Q516="","",IF(Q516="ATTACK","Grassroots + family acquisition",IF(Q516="GROW","Test local campaign",IF(Q516="PARTNER","Organisation-first partnership","Low priority / validate"))))</x:f>
      </x:c>
      <x:c r="S516" s="45" t="n">
        <x:v>7.2304303879809835</x:v>
      </x:c>
      <x:c r="T516" t="str">
        <x:v>NEAR</x:v>
      </x:c>
      <x:c r="U516" s="32" t="n">
        <x:f>PERCENTRANK.INC($G$2:$G$941,G516)</x:f>
        <x:v>0.396</x:v>
      </x:c>
      <x:c r="V516" s="32" t="n">
        <x:f>PERCENTRANK.INC($H$2:$H$941,H516)</x:f>
        <x:v>0.909</x:v>
      </x:c>
      <x:c r="W516" t="n">
        <x:f>ROUND((U516*55+V516*45)*IF(S516&lt;=5,1,IF(S516&lt;=10,0.95,IF(S516&lt;=20,0.85,0.70))),0)</x:f>
        <x:v>60</x:v>
      </x:c>
      <x:c r="X516" t="n">
        <x:v>54</x:v>
      </x:c>
      <x:c r="Y516" t="str">
        <x:v>PARTNER</x:v>
      </x:c>
      <x:c r="Z516" s="12" t="str">
        <x:v>Family + verified grassroots + straight-line geo only; transport not yet routed</x:v>
      </x:c>
      <x:c r="AA516" s="12"/>
      <x:c r="AB516" s="12"/>
      <x:c r="AC516" s="12"/>
      <x:c r="AD516" s="12"/>
      <x:c r="AE516" t="str">
        <x:v>Charlton Athletic Women</x:v>
      </x:c>
      <x:c r="AF516" s="45" t="n">
        <x:v>3.584399759884476</x:v>
      </x:c>
      <x:c r="AG516" t="str">
        <x:v>Millwall Lionesses</x:v>
      </x:c>
      <x:c r="AH516" s="45" t="n">
        <x:v>8.067532177623399</x:v>
      </x:c>
      <x:c r="AI516" t="n">
        <x:v>81</x:v>
      </x:c>
      <x:c r="AJ516" t="str">
        <x:v>HIGH</x:v>
      </x:c>
    </x:row>
    <x:row r="517">
      <x:c r="A517" s="12" t="str">
        <x:v>E01001621</x:v>
      </x:c>
      <x:c r="B517" s="12" t="str">
        <x:v>Greenwich 025B</x:v>
      </x:c>
      <x:c r="C517" s="12" t="str">
        <x:v>Greenwich</x:v>
      </x:c>
      <x:c r="D517" s="44" t="n">
        <x:v>51.45367902975059</x:v>
      </x:c>
      <x:c r="E517" s="44" t="n">
        <x:v>0.047350941633349734</x:v>
      </x:c>
      <x:c r="F517" s="33" t="n">
        <x:v>669</x:v>
      </x:c>
      <x:c r="G517" s="33" t="n">
        <x:v>208</x:v>
      </x:c>
      <x:c r="H517" s="26" t="n">
        <x:v>0.3109118086696562</x:v>
      </x:c>
      <x:c r="I517" s="12" t="n">
        <x:v>2</x:v>
      </x:c>
      <x:c r="J517" s="12" t="n">
        <x:v>46</x:v>
      </x:c>
      <x:c r="K517" s="12"/>
      <x:c r="L517" s="12"/>
      <x:c r="M517" s="12" t="str">
        <x:f>IF(K517="", "", MAX(0,IF(K517&lt;=20,100,IF(K517&lt;=30,85,IF(K517&lt;=40,70,IF(K517&lt;=50,55,IF(K517&lt;=60,40,20)))))-MIN(L517*5,20)))</x:f>
      </x:c>
      <x:c r="N517" s="12"/>
      <x:c r="O517" s="12"/>
      <x:c r="P517" s="12" t="str">
        <x:f>IF(OR(H517="",J517="",M517=""),"",ROUND(PERCENTRANK.INC($H$2:$H$941,H517)*35+J517*0.35+M517*0.30,0))</x:f>
      </x:c>
      <x:c r="Q517" s="12" t="str">
        <x:f>IF(P517="","",IF(P517&gt;=80,"ATTACK",IF(P517&gt;=65,"GROW",IF(P517&gt;=50,"PARTNER","WATCH"))))</x:f>
      </x:c>
      <x:c r="R517" s="12" t="str">
        <x:f>IF(Q517="","",IF(Q517="ATTACK","Grassroots + family acquisition",IF(Q517="GROW","Test local campaign",IF(Q517="PARTNER","Organisation-first partnership","Low priority / validate"))))</x:f>
      </x:c>
      <x:c r="S517" s="45" t="n">
        <x:v>7.268026133285735</x:v>
      </x:c>
      <x:c r="T517" t="str">
        <x:v>NEAR</x:v>
      </x:c>
      <x:c r="U517" s="32" t="n">
        <x:f>PERCENTRANK.INC($G$2:$G$941,G517)</x:f>
        <x:v>0.448</x:v>
      </x:c>
      <x:c r="V517" s="32" t="n">
        <x:f>PERCENTRANK.INC($H$2:$H$941,H517)</x:f>
        <x:v>0.455</x:v>
      </x:c>
      <x:c r="W517" t="n">
        <x:f>ROUND((U517*55+V517*45)*IF(S517&lt;=5,1,IF(S517&lt;=10,0.95,IF(S517&lt;=20,0.85,0.70))),0)</x:f>
        <x:v>43</x:v>
      </x:c>
      <x:c r="X517" t="n">
        <x:v>45</x:v>
      </x:c>
      <x:c r="Y517" t="str">
        <x:v>WATCH</x:v>
      </x:c>
      <x:c r="Z517" s="12" t="str">
        <x:v>Family + verified grassroots + straight-line geo only; transport not yet routed</x:v>
      </x:c>
      <x:c r="AA517" s="12"/>
      <x:c r="AB517" s="12"/>
      <x:c r="AC517" s="12"/>
      <x:c r="AD517" s="12"/>
      <x:c r="AE517" t="str">
        <x:v>Charlton Athletic Women</x:v>
      </x:c>
      <x:c r="AF517" s="45" t="n">
        <x:v>3.7202109464670525</x:v>
      </x:c>
      <x:c r="AG517" t="str">
        <x:v>Millwall Lionesses</x:v>
      </x:c>
      <x:c r="AH517" s="45" t="n">
        <x:v>8.416128492406253</x:v>
      </x:c>
      <x:c r="AI517" t="n">
        <x:v>81</x:v>
      </x:c>
      <x:c r="AJ517" t="str">
        <x:v>HIGH</x:v>
      </x:c>
    </x:row>
    <x:row r="518">
      <x:c r="A518" s="12" t="str">
        <x:v>E01001623</x:v>
      </x:c>
      <x:c r="B518" s="12" t="str">
        <x:v>Greenwich 025C</x:v>
      </x:c>
      <x:c r="C518" s="12" t="str">
        <x:v>Greenwich</x:v>
      </x:c>
      <x:c r="D518" s="44" t="n">
        <x:v>51.462200740835435</x:v>
      </x:c>
      <x:c r="E518" s="44" t="n">
        <x:v>0.03464897165633116</x:v>
      </x:c>
      <x:c r="F518" s="33" t="n">
        <x:v>670</x:v>
      </x:c>
      <x:c r="G518" s="33" t="n">
        <x:v>239</x:v>
      </x:c>
      <x:c r="H518" s="26" t="n">
        <x:v>0.3567164179104478</x:v>
      </x:c>
      <x:c r="I518" s="12" t="n">
        <x:v>1</x:v>
      </x:c>
      <x:c r="J518" s="12" t="n">
        <x:v>30</x:v>
      </x:c>
      <x:c r="K518" s="12"/>
      <x:c r="L518" s="12"/>
      <x:c r="M518" s="12" t="str">
        <x:f>IF(K518="", "", MAX(0,IF(K518&lt;=20,100,IF(K518&lt;=30,85,IF(K518&lt;=40,70,IF(K518&lt;=50,55,IF(K518&lt;=60,40,20)))))-MIN(L518*5,20)))</x:f>
      </x:c>
      <x:c r="N518" s="12"/>
      <x:c r="O518" s="12"/>
      <x:c r="P518" s="12" t="str">
        <x:f>IF(OR(H518="",J518="",M518=""),"",ROUND(PERCENTRANK.INC($H$2:$H$941,H518)*35+J518*0.35+M518*0.30,0))</x:f>
      </x:c>
      <x:c r="Q518" s="12" t="str">
        <x:f>IF(P518="","",IF(P518&gt;=80,"ATTACK",IF(P518&gt;=65,"GROW",IF(P518&gt;=50,"PARTNER","WATCH"))))</x:f>
      </x:c>
      <x:c r="R518" s="12" t="str">
        <x:f>IF(Q518="","",IF(Q518="ATTACK","Grassroots + family acquisition",IF(Q518="GROW","Test local campaign",IF(Q518="PARTNER","Organisation-first partnership","Low priority / validate"))))</x:f>
      </x:c>
      <x:c r="S518" s="45" t="n">
        <x:v>8.005562609973087</x:v>
      </x:c>
      <x:c r="T518" t="str">
        <x:v>NEAR</x:v>
      </x:c>
      <x:c r="U518" s="32" t="n">
        <x:f>PERCENTRANK.INC($G$2:$G$941,G518)</x:f>
        <x:v>0.699</x:v>
      </x:c>
      <x:c r="V518" s="32" t="n">
        <x:f>PERCENTRANK.INC($H$2:$H$941,H518)</x:f>
        <x:v>0.723</x:v>
      </x:c>
      <x:c r="W518" t="n">
        <x:f>ROUND((U518*55+V518*45)*IF(S518&lt;=5,1,IF(S518&lt;=10,0.95,IF(S518&lt;=20,0.85,0.70))),0)</x:f>
        <x:v>67</x:v>
      </x:c>
      <x:c r="X518" t="n">
        <x:v>51</x:v>
      </x:c>
      <x:c r="Y518" t="str">
        <x:v>PARTNER</x:v>
      </x:c>
      <x:c r="Z518" s="12" t="str">
        <x:v>Family + verified grassroots + straight-line geo only; transport not yet routed</x:v>
      </x:c>
      <x:c r="AA518" s="12"/>
      <x:c r="AB518" s="12"/>
      <x:c r="AC518" s="12"/>
      <x:c r="AD518" s="12"/>
      <x:c r="AE518" t="str">
        <x:v>Charlton Athletic Women</x:v>
      </x:c>
      <x:c r="AF518" s="45" t="n">
        <x:v>2.692846075631074</x:v>
      </x:c>
      <x:c r="AG518" t="str">
        <x:v>Millwall Lionesses</x:v>
      </x:c>
      <x:c r="AH518" s="45" t="n">
        <x:v>7.125287618992961</x:v>
      </x:c>
      <x:c r="AI518" t="n">
        <x:v>92</x:v>
      </x:c>
      <x:c r="AJ518" t="str">
        <x:v>HIGH</x:v>
      </x:c>
    </x:row>
    <x:row r="519">
      <x:c r="A519" s="12" t="str">
        <x:v>E01001624</x:v>
      </x:c>
      <x:c r="B519" s="12" t="str">
        <x:v>Greenwich 025D</x:v>
      </x:c>
      <x:c r="C519" s="12" t="str">
        <x:v>Greenwich</x:v>
      </x:c>
      <x:c r="D519" s="44" t="n">
        <x:v>51.462611045498726</x:v>
      </x:c>
      <x:c r="E519" s="44" t="n">
        <x:v>0.04544988788403835</x:v>
      </x:c>
      <x:c r="F519" s="33" t="n">
        <x:v>624</x:v>
      </x:c>
      <x:c r="G519" s="33" t="n">
        <x:v>202</x:v>
      </x:c>
      <x:c r="H519" s="26" t="n">
        <x:v>0.32371794871794873</x:v>
      </x:c>
      <x:c r="I519" s="12" t="n">
        <x:v>2</x:v>
      </x:c>
      <x:c r="J519" s="12" t="n">
        <x:v>38</x:v>
      </x:c>
      <x:c r="K519" s="12"/>
      <x:c r="L519" s="12"/>
      <x:c r="M519" s="12" t="str">
        <x:f>IF(K519="", "", MAX(0,IF(K519&lt;=20,100,IF(K519&lt;=30,85,IF(K519&lt;=40,70,IF(K519&lt;=50,55,IF(K519&lt;=60,40,20)))))-MIN(L519*5,20)))</x:f>
      </x:c>
      <x:c r="N519" s="12"/>
      <x:c r="O519" s="12"/>
      <x:c r="P519" s="12" t="str">
        <x:f>IF(OR(H519="",J519="",M519=""),"",ROUND(PERCENTRANK.INC($H$2:$H$941,H519)*35+J519*0.35+M519*0.30,0))</x:f>
      </x:c>
      <x:c r="Q519" s="12" t="str">
        <x:f>IF(P519="","",IF(P519&gt;=80,"ATTACK",IF(P519&gt;=65,"GROW",IF(P519&gt;=50,"PARTNER","WATCH"))))</x:f>
      </x:c>
      <x:c r="R519" s="12" t="str">
        <x:f>IF(Q519="","",IF(Q519="ATTACK","Grassroots + family acquisition",IF(Q519="GROW","Test local campaign",IF(Q519="PARTNER","Organisation-first partnership","Low priority / validate"))))</x:f>
      </x:c>
      <x:c r="S519" s="45" t="n">
        <x:v>8.19349477079647</x:v>
      </x:c>
      <x:c r="T519" t="str">
        <x:v>NEAR</x:v>
      </x:c>
      <x:c r="U519" s="32" t="n">
        <x:f>PERCENTRANK.INC($G$2:$G$941,G519)</x:f>
        <x:v>0.41</x:v>
      </x:c>
      <x:c r="V519" s="32" t="n">
        <x:f>PERCENTRANK.INC($H$2:$H$941,H519)</x:f>
        <x:v>0.534</x:v>
      </x:c>
      <x:c r="W519" t="n">
        <x:f>ROUND((U519*55+V519*45)*IF(S519&lt;=5,1,IF(S519&lt;=10,0.95,IF(S519&lt;=20,0.85,0.70))),0)</x:f>
        <x:v>44</x:v>
      </x:c>
      <x:c r="X519" t="n">
        <x:v>42</x:v>
      </x:c>
      <x:c r="Y519" t="str">
        <x:v>WATCH</x:v>
      </x:c>
      <x:c r="Z519" s="12" t="str">
        <x:v>Family + verified grassroots + straight-line geo only; transport not yet routed</x:v>
      </x:c>
      <x:c r="AA519" s="12"/>
      <x:c r="AB519" s="12"/>
      <x:c r="AC519" s="12"/>
      <x:c r="AD519" s="12"/>
      <x:c r="AE519" t="str">
        <x:v>Charlton Athletic Women</x:v>
      </x:c>
      <x:c r="AF519" s="45" t="n">
        <x:v>2.7225043918120106</x:v>
      </x:c>
      <x:c r="AG519" t="str">
        <x:v>Millwall Lionesses</x:v>
      </x:c>
      <x:c r="AH519" s="45" t="n">
        <x:v>7.657643746295441</x:v>
      </x:c>
      <x:c r="AI519" t="n">
        <x:v>92</x:v>
      </x:c>
      <x:c r="AJ519" t="str">
        <x:v>HIGH</x:v>
      </x:c>
    </x:row>
    <x:row r="520">
      <x:c r="A520" s="12" t="str">
        <x:v>E01001625</x:v>
      </x:c>
      <x:c r="B520" s="12" t="str">
        <x:v>Greenwich 025E</x:v>
      </x:c>
      <x:c r="C520" s="12" t="str">
        <x:v>Greenwich</x:v>
      </x:c>
      <x:c r="D520" s="44" t="n">
        <x:v>51.459867816426105</x:v>
      </x:c>
      <x:c r="E520" s="44" t="n">
        <x:v>0.04195527468551923</x:v>
      </x:c>
      <x:c r="F520" s="33" t="n">
        <x:v>617</x:v>
      </x:c>
      <x:c r="G520" s="33" t="n">
        <x:v>237</x:v>
      </x:c>
      <x:c r="H520" s="26" t="n">
        <x:v>0.3841166936790924</x:v>
      </x:c>
      <x:c r="I520" s="12" t="n">
        <x:v>2</x:v>
      </x:c>
      <x:c r="J520" s="12" t="n">
        <x:v>46</x:v>
      </x:c>
      <x:c r="K520" s="12"/>
      <x:c r="L520" s="12"/>
      <x:c r="M520" s="12" t="str">
        <x:f>IF(K520="", "", MAX(0,IF(K520&lt;=20,100,IF(K520&lt;=30,85,IF(K520&lt;=40,70,IF(K520&lt;=50,55,IF(K520&lt;=60,40,20)))))-MIN(L520*5,20)))</x:f>
      </x:c>
      <x:c r="N520" s="12"/>
      <x:c r="O520" s="12"/>
      <x:c r="P520" s="12" t="str">
        <x:f>IF(OR(H520="",J520="",M520=""),"",ROUND(PERCENTRANK.INC($H$2:$H$941,H520)*35+J520*0.35+M520*0.30,0))</x:f>
      </x:c>
      <x:c r="Q520" s="12" t="str">
        <x:f>IF(P520="","",IF(P520&gt;=80,"ATTACK",IF(P520&gt;=65,"GROW",IF(P520&gt;=50,"PARTNER","WATCH"))))</x:f>
      </x:c>
      <x:c r="R520" s="12" t="str">
        <x:f>IF(Q520="","",IF(Q520="ATTACK","Grassroots + family acquisition",IF(Q520="GROW","Test local campaign",IF(Q520="PARTNER","Organisation-first partnership","Low priority / validate"))))</x:f>
      </x:c>
      <x:c r="S520" s="45" t="n">
        <x:v>7.84183587079044</x:v>
      </x:c>
      <x:c r="T520" t="str">
        <x:v>NEAR</x:v>
      </x:c>
      <x:c r="U520" s="32" t="n">
        <x:f>PERCENTRANK.INC($G$2:$G$941,G520)</x:f>
        <x:v>0.689</x:v>
      </x:c>
      <x:c r="V520" s="32" t="n">
        <x:f>PERCENTRANK.INC($H$2:$H$941,H520)</x:f>
        <x:v>0.855</x:v>
      </x:c>
      <x:c r="W520" t="n">
        <x:f>ROUND((U520*55+V520*45)*IF(S520&lt;=5,1,IF(S520&lt;=10,0.95,IF(S520&lt;=20,0.85,0.70))),0)</x:f>
        <x:v>73</x:v>
      </x:c>
      <x:c r="X520" t="n">
        <x:v>61</x:v>
      </x:c>
      <x:c r="Y520" t="str">
        <x:v>PARTNER</x:v>
      </x:c>
      <x:c r="Z520" s="12" t="str">
        <x:v>Family + verified grassroots + straight-line geo only; transport not yet routed</x:v>
      </x:c>
      <x:c r="AA520" s="12"/>
      <x:c r="AB520" s="12"/>
      <x:c r="AC520" s="12"/>
      <x:c r="AD520" s="12"/>
      <x:c r="AE520" t="str">
        <x:v>Charlton Athletic Women</x:v>
      </x:c>
      <x:c r="AF520" s="45" t="n">
        <x:v>2.9775214897952202</x:v>
      </x:c>
      <x:c r="AG520" t="str">
        <x:v>Millwall Lionesses</x:v>
      </x:c>
      <x:c r="AH520" s="45" t="n">
        <x:v>7.673090463929692</x:v>
      </x:c>
      <x:c r="AI520" t="n">
        <x:v>92</x:v>
      </x:c>
      <x:c r="AJ520" t="str">
        <x:v>HIGH</x:v>
      </x:c>
    </x:row>
    <x:row r="521">
      <x:c r="A521" s="12" t="str">
        <x:v>E01001604</x:v>
      </x:c>
      <x:c r="B521" s="12" t="str">
        <x:v>Greenwich 027A</x:v>
      </x:c>
      <x:c r="C521" s="12" t="str">
        <x:v>Greenwich</x:v>
      </x:c>
      <x:c r="D521" s="44" t="n">
        <x:v>51.457194158942954</x:v>
      </x:c>
      <x:c r="E521" s="44" t="n">
        <x:v>0.05322658303241412</x:v>
      </x:c>
      <x:c r="F521" s="33" t="n">
        <x:v>599</x:v>
      </x:c>
      <x:c r="G521" s="33" t="n">
        <x:v>206</x:v>
      </x:c>
      <x:c r="H521" s="26" t="n">
        <x:v>0.34390651085141904</x:v>
      </x:c>
      <x:c r="I521" s="12" t="n">
        <x:v>2</x:v>
      </x:c>
      <x:c r="J521" s="12" t="n">
        <x:v>46</x:v>
      </x:c>
      <x:c r="K521" s="12"/>
      <x:c r="L521" s="12"/>
      <x:c r="M521" s="12" t="str">
        <x:f>IF(K521="", "", MAX(0,IF(K521&lt;=20,100,IF(K521&lt;=30,85,IF(K521&lt;=40,70,IF(K521&lt;=50,55,IF(K521&lt;=60,40,20)))))-MIN(L521*5,20)))</x:f>
      </x:c>
      <x:c r="N521" s="12"/>
      <x:c r="O521" s="12"/>
      <x:c r="P521" s="12" t="str">
        <x:f>IF(OR(H521="",J521="",M521=""),"",ROUND(PERCENTRANK.INC($H$2:$H$941,H521)*35+J521*0.35+M521*0.30,0))</x:f>
      </x:c>
      <x:c r="Q521" s="12" t="str">
        <x:f>IF(P521="","",IF(P521&gt;=80,"ATTACK",IF(P521&gt;=65,"GROW",IF(P521&gt;=50,"PARTNER","WATCH"))))</x:f>
      </x:c>
      <x:c r="R521" s="12" t="str">
        <x:f>IF(Q521="","",IF(Q521="ATTACK","Grassroots + family acquisition",IF(Q521="GROW","Test local campaign",IF(Q521="PARTNER","Organisation-first partnership","Low priority / validate"))))</x:f>
      </x:c>
      <x:c r="S521" s="45" t="n">
        <x:v>7.763175004185276</x:v>
      </x:c>
      <x:c r="T521" t="str">
        <x:v>NEAR</x:v>
      </x:c>
      <x:c r="U521" s="32" t="n">
        <x:f>PERCENTRANK.INC($G$2:$G$941,G521)</x:f>
        <x:v>0.437</x:v>
      </x:c>
      <x:c r="V521" s="32" t="n">
        <x:f>PERCENTRANK.INC($H$2:$H$941,H521)</x:f>
        <x:v>0.644</x:v>
      </x:c>
      <x:c r="W521" t="n">
        <x:f>ROUND((U521*55+V521*45)*IF(S521&lt;=5,1,IF(S521&lt;=10,0.95,IF(S521&lt;=20,0.85,0.70))),0)</x:f>
        <x:v>50</x:v>
      </x:c>
      <x:c r="X521" t="n">
        <x:v>49</x:v>
      </x:c>
      <x:c r="Y521" t="str">
        <x:v>WATCH</x:v>
      </x:c>
      <x:c r="Z521" s="12" t="str">
        <x:v>Family + verified grassroots + straight-line geo only; transport not yet routed</x:v>
      </x:c>
      <x:c r="AA521" s="12"/>
      <x:c r="AB521" s="12"/>
      <x:c r="AC521" s="12"/>
      <x:c r="AD521" s="12"/>
      <x:c r="AE521" t="str">
        <x:v>Charlton Athletic Women</x:v>
      </x:c>
      <x:c r="AF521" s="45" t="n">
        <x:v>3.4562302015799986</x:v>
      </x:c>
      <x:c r="AG521" t="str">
        <x:v>Millwall Lionesses</x:v>
      </x:c>
      <x:c r="AH521" s="45" t="n">
        <x:v>8.456924316041487</x:v>
      </x:c>
      <x:c r="AI521" t="n">
        <x:v>81</x:v>
      </x:c>
      <x:c r="AJ521" t="str">
        <x:v>HIGH</x:v>
      </x:c>
    </x:row>
    <x:row r="522">
      <x:c r="A522" s="12" t="str">
        <x:v>E01001607</x:v>
      </x:c>
      <x:c r="B522" s="12" t="str">
        <x:v>Greenwich 027B</x:v>
      </x:c>
      <x:c r="C522" s="12" t="str">
        <x:v>Greenwich</x:v>
      </x:c>
      <x:c r="D522" s="44" t="n">
        <x:v>51.45986373103829</x:v>
      </x:c>
      <x:c r="E522" s="44" t="n">
        <x:v>0.05364737619440175</x:v>
      </x:c>
      <x:c r="F522" s="33" t="n">
        <x:v>669</x:v>
      </x:c>
      <x:c r="G522" s="33" t="n">
        <x:v>204</x:v>
      </x:c>
      <x:c r="H522" s="26" t="n">
        <x:v>0.30493273542600896</x:v>
      </x:c>
      <x:c r="I522" s="12" t="n">
        <x:v>2</x:v>
      </x:c>
      <x:c r="J522" s="12" t="n">
        <x:v>38</x:v>
      </x:c>
      <x:c r="K522" s="12"/>
      <x:c r="L522" s="12"/>
      <x:c r="M522" s="12" t="str">
        <x:f>IF(K522="", "", MAX(0,IF(K522&lt;=20,100,IF(K522&lt;=30,85,IF(K522&lt;=40,70,IF(K522&lt;=50,55,IF(K522&lt;=60,40,20)))))-MIN(L522*5,20)))</x:f>
      </x:c>
      <x:c r="N522" s="12"/>
      <x:c r="O522" s="12"/>
      <x:c r="P522" s="12" t="str">
        <x:f>IF(OR(H522="",J522="",M522=""),"",ROUND(PERCENTRANK.INC($H$2:$H$941,H522)*35+J522*0.35+M522*0.30,0))</x:f>
      </x:c>
      <x:c r="Q522" s="12" t="str">
        <x:f>IF(P522="","",IF(P522&gt;=80,"ATTACK",IF(P522&gt;=65,"GROW",IF(P522&gt;=50,"PARTNER","WATCH"))))</x:f>
      </x:c>
      <x:c r="R522" s="12" t="str">
        <x:f>IF(Q522="","",IF(Q522="ATTACK","Grassroots + family acquisition",IF(Q522="GROW","Test local campaign",IF(Q522="PARTNER","Organisation-first partnership","Low priority / validate"))))</x:f>
      </x:c>
      <x:c r="S522" s="45" t="n">
        <x:v>8.054194658982773</x:v>
      </x:c>
      <x:c r="T522" t="str">
        <x:v>NEAR</x:v>
      </x:c>
      <x:c r="U522" s="32" t="n">
        <x:f>PERCENTRANK.INC($G$2:$G$941,G522)</x:f>
        <x:v>0.421</x:v>
      </x:c>
      <x:c r="V522" s="32" t="n">
        <x:f>PERCENTRANK.INC($H$2:$H$941,H522)</x:f>
        <x:v>0.419</x:v>
      </x:c>
      <x:c r="W522" t="n">
        <x:f>ROUND((U522*55+V522*45)*IF(S522&lt;=5,1,IF(S522&lt;=10,0.95,IF(S522&lt;=20,0.85,0.70))),0)</x:f>
        <x:v>40</x:v>
      </x:c>
      <x:c r="X522" t="n">
        <x:v>39</x:v>
      </x:c>
      <x:c r="Y522" t="str">
        <x:v>WATCH</x:v>
      </x:c>
      <x:c r="Z522" s="12" t="str">
        <x:v>Family + verified grassroots + straight-line geo only; transport not yet routed</x:v>
      </x:c>
      <x:c r="AA522" s="12"/>
      <x:c r="AB522" s="12"/>
      <x:c r="AC522" s="12"/>
      <x:c r="AD522" s="12"/>
      <x:c r="AE522" t="str">
        <x:v>Charlton Athletic Women</x:v>
      </x:c>
      <x:c r="AF522" s="45" t="n">
        <x:v>3.1898790003332667</x:v>
      </x:c>
      <x:c r="AG522" t="str">
        <x:v>Millwall Lionesses</x:v>
      </x:c>
      <x:c r="AH522" s="45" t="n">
        <x:v>8.291604329963436</x:v>
      </x:c>
      <x:c r="AI522" t="n">
        <x:v>81</x:v>
      </x:c>
      <x:c r="AJ522" t="str">
        <x:v>HIGH</x:v>
      </x:c>
    </x:row>
    <x:row r="523">
      <x:c r="A523" s="12" t="str">
        <x:v>E01001608</x:v>
      </x:c>
      <x:c r="B523" s="12" t="str">
        <x:v>Greenwich 027C</x:v>
      </x:c>
      <x:c r="C523" s="12" t="str">
        <x:v>Greenwich</x:v>
      </x:c>
      <x:c r="D523" s="44" t="n">
        <x:v>51.454320783924715</x:v>
      </x:c>
      <x:c r="E523" s="44" t="n">
        <x:v>0.06268145821106068</x:v>
      </x:c>
      <x:c r="F523" s="33" t="n">
        <x:v>585</x:v>
      </x:c>
      <x:c r="G523" s="33" t="n">
        <x:v>171</x:v>
      </x:c>
      <x:c r="H523" s="26" t="n">
        <x:v>0.2923076923076923</x:v>
      </x:c>
      <x:c r="I523" s="12" t="n">
        <x:v>1</x:v>
      </x:c>
      <x:c r="J523" s="12" t="n">
        <x:v>39</x:v>
      </x:c>
      <x:c r="K523" s="12"/>
      <x:c r="L523" s="12"/>
      <x:c r="M523" s="12" t="str">
        <x:f>IF(K523="", "", MAX(0,IF(K523&lt;=20,100,IF(K523&lt;=30,85,IF(K523&lt;=40,70,IF(K523&lt;=50,55,IF(K523&lt;=60,40,20)))))-MIN(L523*5,20)))</x:f>
      </x:c>
      <x:c r="N523" s="12"/>
      <x:c r="O523" s="12"/>
      <x:c r="P523" s="12" t="str">
        <x:f>IF(OR(H523="",J523="",M523=""),"",ROUND(PERCENTRANK.INC($H$2:$H$941,H523)*35+J523*0.35+M523*0.30,0))</x:f>
      </x:c>
      <x:c r="Q523" s="12" t="str">
        <x:f>IF(P523="","",IF(P523&gt;=80,"ATTACK",IF(P523&gt;=65,"GROW",IF(P523&gt;=50,"PARTNER","WATCH"))))</x:f>
      </x:c>
      <x:c r="R523" s="12" t="str">
        <x:f>IF(Q523="","",IF(Q523="ATTACK","Grassroots + family acquisition",IF(Q523="GROW","Test local campaign",IF(Q523="PARTNER","Organisation-first partnership","Low priority / validate"))))</x:f>
      </x:c>
      <x:c r="S523" s="45" t="n">
        <x:v>7.702176443922402</x:v>
      </x:c>
      <x:c r="T523" t="str">
        <x:v>NEAR</x:v>
      </x:c>
      <x:c r="U523" s="32" t="n">
        <x:f>PERCENTRANK.INC($G$2:$G$941,G523)</x:f>
        <x:v>0.177</x:v>
      </x:c>
      <x:c r="V523" s="32" t="n">
        <x:f>PERCENTRANK.INC($H$2:$H$941,H523)</x:f>
        <x:v>0.356</x:v>
      </x:c>
      <x:c r="W523" t="n">
        <x:f>ROUND((U523*55+V523*45)*IF(S523&lt;=5,1,IF(S523&lt;=10,0.95,IF(S523&lt;=20,0.85,0.70))),0)</x:f>
        <x:v>24</x:v>
      </x:c>
      <x:c r="X523" t="n">
        <x:v>31</x:v>
      </x:c>
      <x:c r="Y523" t="str">
        <x:v>WATCH</x:v>
      </x:c>
      <x:c r="Z523" s="12" t="str">
        <x:v>Family + verified grassroots + straight-line geo only; transport not yet routed</x:v>
      </x:c>
      <x:c r="AA523" s="12"/>
      <x:c r="AB523" s="12"/>
      <x:c r="AC523" s="12"/>
      <x:c r="AD523" s="12"/>
      <x:c r="AE523" t="str">
        <x:v>Charlton Athletic Women</x:v>
      </x:c>
      <x:c r="AF523" s="45" t="n">
        <x:v>4.012611972462067</x:v>
      </x:c>
      <x:c r="AG523" t="str">
        <x:v>Millwall Lionesses</x:v>
      </x:c>
      <x:c r="AH523" s="45" t="n">
        <x:v>9.165500103155987</x:v>
      </x:c>
      <x:c r="AI523" t="n">
        <x:v>81</x:v>
      </x:c>
      <x:c r="AJ523" t="str">
        <x:v>HIGH</x:v>
      </x:c>
    </x:row>
    <x:row r="524">
      <x:c r="A524" s="12" t="str">
        <x:v>E01001609</x:v>
      </x:c>
      <x:c r="B524" s="12" t="str">
        <x:v>Greenwich 027D</x:v>
      </x:c>
      <x:c r="C524" s="12" t="str">
        <x:v>Greenwich</x:v>
      </x:c>
      <x:c r="D524" s="44" t="n">
        <x:v>51.45323736566268</x:v>
      </x:c>
      <x:c r="E524" s="44" t="n">
        <x:v>0.05589000670593945</x:v>
      </x:c>
      <x:c r="F524" s="33" t="n">
        <x:v>739</x:v>
      </x:c>
      <x:c r="G524" s="33" t="n">
        <x:v>180</x:v>
      </x:c>
      <x:c r="H524" s="26" t="n">
        <x:v>0.2435723951285521</x:v>
      </x:c>
      <x:c r="I524" s="12" t="n">
        <x:v>2</x:v>
      </x:c>
      <x:c r="J524" s="12" t="n">
        <x:v>46</x:v>
      </x:c>
      <x:c r="K524" s="12"/>
      <x:c r="L524" s="12"/>
      <x:c r="M524" s="12" t="str">
        <x:f>IF(K524="", "", MAX(0,IF(K524&lt;=20,100,IF(K524&lt;=30,85,IF(K524&lt;=40,70,IF(K524&lt;=50,55,IF(K524&lt;=60,40,20)))))-MIN(L524*5,20)))</x:f>
      </x:c>
      <x:c r="N524" s="12"/>
      <x:c r="O524" s="12"/>
      <x:c r="P524" s="12" t="str">
        <x:f>IF(OR(H524="",J524="",M524=""),"",ROUND(PERCENTRANK.INC($H$2:$H$941,H524)*35+J524*0.35+M524*0.30,0))</x:f>
      </x:c>
      <x:c r="Q524" s="12" t="str">
        <x:f>IF(P524="","",IF(P524&gt;=80,"ATTACK",IF(P524&gt;=65,"GROW",IF(P524&gt;=50,"PARTNER","WATCH"))))</x:f>
      </x:c>
      <x:c r="R524" s="12" t="str">
        <x:f>IF(Q524="","",IF(Q524="ATTACK","Grassroots + family acquisition",IF(Q524="GROW","Test local campaign",IF(Q524="PARTNER","Organisation-first partnership","Low priority / validate"))))</x:f>
      </x:c>
      <x:c r="S524" s="45" t="n">
        <x:v>7.411226837340897</x:v>
      </x:c>
      <x:c r="T524" t="str">
        <x:v>NEAR</x:v>
      </x:c>
      <x:c r="U524" s="32" t="n">
        <x:f>PERCENTRANK.INC($G$2:$G$941,G524)</x:f>
        <x:v>0.226</x:v>
      </x:c>
      <x:c r="V524" s="32" t="n">
        <x:f>PERCENTRANK.INC($H$2:$H$941,H524)</x:f>
        <x:v>0.166</x:v>
      </x:c>
      <x:c r="W524" t="n">
        <x:f>ROUND((U524*55+V524*45)*IF(S524&lt;=5,1,IF(S524&lt;=10,0.95,IF(S524&lt;=20,0.85,0.70))),0)</x:f>
        <x:v>19</x:v>
      </x:c>
      <x:c r="X524" t="n">
        <x:v>31</x:v>
      </x:c>
      <x:c r="Y524" t="str">
        <x:v>WATCH</x:v>
      </x:c>
      <x:c r="Z524" s="12" t="str">
        <x:v>Family + verified grassroots + straight-line geo only; transport not yet routed</x:v>
      </x:c>
      <x:c r="AA524" s="12"/>
      <x:c r="AB524" s="12"/>
      <x:c r="AC524" s="12"/>
      <x:c r="AD524" s="12"/>
      <x:c r="AE524" t="str">
        <x:v>Charlton Athletic Women</x:v>
      </x:c>
      <x:c r="AF524" s="45" t="n">
        <x:v>3.9328587772425205</x:v>
      </x:c>
      <x:c r="AG524" t="str">
        <x:v>Millwall Lionesses</x:v>
      </x:c>
      <x:c r="AH524" s="45" t="n">
        <x:v>8.884207052392583</x:v>
      </x:c>
      <x:c r="AI524" t="n">
        <x:v>81</x:v>
      </x:c>
      <x:c r="AJ524" t="str">
        <x:v>HIGH</x:v>
      </x:c>
    </x:row>
    <x:row r="525">
      <x:c r="A525" s="12" t="str">
        <x:v>E01001613</x:v>
      </x:c>
      <x:c r="B525" s="12" t="str">
        <x:v>Greenwich 028A</x:v>
      </x:c>
      <x:c r="C525" s="12" t="str">
        <x:v>Greenwich</x:v>
      </x:c>
      <x:c r="D525" s="44" t="n">
        <x:v>51.44931917899797</x:v>
      </x:c>
      <x:c r="E525" s="44" t="n">
        <x:v>0.06369065053825818</x:v>
      </x:c>
      <x:c r="F525" s="33" t="n">
        <x:v>798</x:v>
      </x:c>
      <x:c r="G525" s="33" t="n">
        <x:v>233</x:v>
      </x:c>
      <x:c r="H525" s="26" t="n">
        <x:v>0.29197994987468673</x:v>
      </x:c>
      <x:c r="I525" s="12" t="n">
        <x:v>1</x:v>
      </x:c>
      <x:c r="J525" s="12" t="n">
        <x:v>47</x:v>
      </x:c>
      <x:c r="K525" s="12"/>
      <x:c r="L525" s="12"/>
      <x:c r="M525" s="12" t="str">
        <x:f>IF(K525="", "", MAX(0,IF(K525&lt;=20,100,IF(K525&lt;=30,85,IF(K525&lt;=40,70,IF(K525&lt;=50,55,IF(K525&lt;=60,40,20)))))-MIN(L525*5,20)))</x:f>
      </x:c>
      <x:c r="N525" s="12"/>
      <x:c r="O525" s="12"/>
      <x:c r="P525" s="12" t="str">
        <x:f>IF(OR(H525="",J525="",M525=""),"",ROUND(PERCENTRANK.INC($H$2:$H$941,H525)*35+J525*0.35+M525*0.30,0))</x:f>
      </x:c>
      <x:c r="Q525" s="12" t="str">
        <x:f>IF(P525="","",IF(P525&gt;=80,"ATTACK",IF(P525&gt;=65,"GROW",IF(P525&gt;=50,"PARTNER","WATCH"))))</x:f>
      </x:c>
      <x:c r="R525" s="12" t="str">
        <x:f>IF(Q525="","",IF(Q525="ATTACK","Grassroots + family acquisition",IF(Q525="GROW","Test local campaign",IF(Q525="PARTNER","Organisation-first partnership","Low priority / validate"))))</x:f>
      </x:c>
      <x:c r="S525" s="45" t="n">
        <x:v>7.227831243742008</x:v>
      </x:c>
      <x:c r="T525" t="str">
        <x:v>NEAR</x:v>
      </x:c>
      <x:c r="U525" s="32" t="n">
        <x:f>PERCENTRANK.INC($G$2:$G$941,G525)</x:f>
        <x:v>0.654</x:v>
      </x:c>
      <x:c r="V525" s="32" t="n">
        <x:f>PERCENTRANK.INC($H$2:$H$941,H525)</x:f>
        <x:v>0.354</x:v>
      </x:c>
      <x:c r="W525" t="n">
        <x:f>ROUND((U525*55+V525*45)*IF(S525&lt;=5,1,IF(S525&lt;=10,0.95,IF(S525&lt;=20,0.85,0.70))),0)</x:f>
        <x:v>49</x:v>
      </x:c>
      <x:c r="X525" t="n">
        <x:v>48</x:v>
      </x:c>
      <x:c r="Y525" t="str">
        <x:v>WATCH</x:v>
      </x:c>
      <x:c r="Z525" s="12" t="str">
        <x:v>Family + verified grassroots + straight-line geo only; transport not yet routed</x:v>
      </x:c>
      <x:c r="AA525" s="12"/>
      <x:c r="AB525" s="12"/>
      <x:c r="AC525" s="12"/>
      <x:c r="AD525" s="12"/>
      <x:c r="AE525" t="str">
        <x:v>Charlton Athletic Women</x:v>
      </x:c>
      <x:c r="AF525" s="45" t="n">
        <x:v>4.543151611565953</x:v>
      </x:c>
      <x:c r="AG525" t="str">
        <x:v>Millwall Lionesses</x:v>
      </x:c>
      <x:c r="AH525" s="45" t="n">
        <x:v>9.577782840862131</x:v>
      </x:c>
      <x:c r="AI525" t="n">
        <x:v>81</x:v>
      </x:c>
      <x:c r="AJ525" t="str">
        <x:v>HIGH</x:v>
      </x:c>
    </x:row>
    <x:row r="526">
      <x:c r="A526" s="12" t="str">
        <x:v>E01001614</x:v>
      </x:c>
      <x:c r="B526" s="12" t="str">
        <x:v>Greenwich 028B</x:v>
      </x:c>
      <x:c r="C526" s="12" t="str">
        <x:v>Greenwich</x:v>
      </x:c>
      <x:c r="D526" s="44" t="n">
        <x:v>51.45368437393841</x:v>
      </x:c>
      <x:c r="E526" s="44" t="n">
        <x:v>0.0814684725089407</x:v>
      </x:c>
      <x:c r="F526" s="33" t="n">
        <x:v>546</x:v>
      </x:c>
      <x:c r="G526" s="33" t="n">
        <x:v>157</x:v>
      </x:c>
      <x:c r="H526" s="26" t="n">
        <x:v>0.2875457875457875</x:v>
      </x:c>
      <x:c r="I526" s="12" t="n">
        <x:v>1</x:v>
      </x:c>
      <x:c r="J526" s="12" t="n">
        <x:v>39</x:v>
      </x:c>
      <x:c r="K526" s="12"/>
      <x:c r="L526" s="12"/>
      <x:c r="M526" s="12" t="str">
        <x:f>IF(K526="", "", MAX(0,IF(K526&lt;=20,100,IF(K526&lt;=30,85,IF(K526&lt;=40,70,IF(K526&lt;=50,55,IF(K526&lt;=60,40,20)))))-MIN(L526*5,20)))</x:f>
      </x:c>
      <x:c r="N526" s="12"/>
      <x:c r="O526" s="12"/>
      <x:c r="P526" s="12" t="str">
        <x:f>IF(OR(H526="",J526="",M526=""),"",ROUND(PERCENTRANK.INC($H$2:$H$941,H526)*35+J526*0.35+M526*0.30,0))</x:f>
      </x:c>
      <x:c r="Q526" s="12" t="str">
        <x:f>IF(P526="","",IF(P526&gt;=80,"ATTACK",IF(P526&gt;=65,"GROW",IF(P526&gt;=50,"PARTNER","WATCH"))))</x:f>
      </x:c>
      <x:c r="R526" s="12" t="str">
        <x:f>IF(Q526="","",IF(Q526="ATTACK","Grassroots + family acquisition",IF(Q526="GROW","Test local campaign",IF(Q526="PARTNER","Organisation-first partnership","Low priority / validate"))))</x:f>
      </x:c>
      <x:c r="S526" s="45" t="n">
        <x:v>8.255475819995883</x:v>
      </x:c>
      <x:c r="T526" t="str">
        <x:v>NEAR</x:v>
      </x:c>
      <x:c r="U526" s="32" t="n">
        <x:f>PERCENTRANK.INC($G$2:$G$941,G526)</x:f>
        <x:v>0.115</x:v>
      </x:c>
      <x:c r="V526" s="32" t="n">
        <x:f>PERCENTRANK.INC($H$2:$H$941,H526)</x:f>
        <x:v>0.332</x:v>
      </x:c>
      <x:c r="W526" t="n">
        <x:f>ROUND((U526*55+V526*45)*IF(S526&lt;=5,1,IF(S526&lt;=10,0.95,IF(S526&lt;=20,0.85,0.70))),0)</x:f>
        <x:v>20</x:v>
      </x:c>
      <x:c r="X526" t="n">
        <x:v>29</x:v>
      </x:c>
      <x:c r="Y526" t="str">
        <x:v>WATCH</x:v>
      </x:c>
      <x:c r="Z526" s="12" t="str">
        <x:v>Family + verified grassroots + straight-line geo only; transport not yet routed</x:v>
      </x:c>
      <x:c r="AA526" s="12"/>
      <x:c r="AB526" s="12"/>
      <x:c r="AC526" s="12"/>
      <x:c r="AD526" s="12"/>
      <x:c r="AE526" t="str">
        <x:v>Charlton Athletic Women</x:v>
      </x:c>
      <x:c r="AF526" s="45" t="n">
        <x:v>4.804917196022012</x:v>
      </x:c>
      <x:c r="AG526" t="str">
        <x:v>Millwall Lionesses</x:v>
      </x:c>
      <x:c r="AH526" s="45" t="n">
        <x:v>10.250014911229753</x:v>
      </x:c>
      <x:c r="AI526" t="n">
        <x:v>76</x:v>
      </x:c>
      <x:c r="AJ526" t="str">
        <x:v>HIGH</x:v>
      </x:c>
    </x:row>
    <x:row r="527">
      <x:c r="A527" s="12" t="str">
        <x:v>E01001615</x:v>
      </x:c>
      <x:c r="B527" s="12" t="str">
        <x:v>Greenwich 028C</x:v>
      </x:c>
      <x:c r="C527" s="12" t="str">
        <x:v>Greenwich</x:v>
      </x:c>
      <x:c r="D527" s="44" t="n">
        <x:v>51.448514203419364</x:v>
      </x:c>
      <x:c r="E527" s="44" t="n">
        <x:v>0.05207219663712881</x:v>
      </x:c>
      <x:c r="F527" s="33" t="n">
        <x:v>939</x:v>
      </x:c>
      <x:c r="G527" s="33" t="n">
        <x:v>236</x:v>
      </x:c>
      <x:c r="H527" s="26" t="n">
        <x:v>0.25133120340788073</x:v>
      </x:c>
      <x:c r="I527" s="12" t="n">
        <x:v>3</x:v>
      </x:c>
      <x:c r="J527" s="12" t="n">
        <x:v>53</x:v>
      </x:c>
      <x:c r="K527" s="12"/>
      <x:c r="L527" s="12"/>
      <x:c r="M527" s="12" t="str">
        <x:f>IF(K527="", "", MAX(0,IF(K527&lt;=20,100,IF(K527&lt;=30,85,IF(K527&lt;=40,70,IF(K527&lt;=50,55,IF(K527&lt;=60,40,20)))))-MIN(L527*5,20)))</x:f>
      </x:c>
      <x:c r="N527" s="12"/>
      <x:c r="O527" s="12"/>
      <x:c r="P527" s="12" t="str">
        <x:f>IF(OR(H527="",J527="",M527=""),"",ROUND(PERCENTRANK.INC($H$2:$H$941,H527)*35+J527*0.35+M527*0.30,0))</x:f>
      </x:c>
      <x:c r="Q527" s="12" t="str">
        <x:f>IF(P527="","",IF(P527&gt;=80,"ATTACK",IF(P527&gt;=65,"GROW",IF(P527&gt;=50,"PARTNER","WATCH"))))</x:f>
      </x:c>
      <x:c r="R527" s="12" t="str">
        <x:f>IF(Q527="","",IF(Q527="ATTACK","Grassroots + family acquisition",IF(Q527="GROW","Test local campaign",IF(Q527="PARTNER","Organisation-first partnership","Low priority / validate"))))</x:f>
      </x:c>
      <x:c r="S527" s="45" t="n">
        <x:v>6.826426765616619</x:v>
      </x:c>
      <x:c r="T527" t="str">
        <x:v>NEAR</x:v>
      </x:c>
      <x:c r="U527" s="32" t="n">
        <x:f>PERCENTRANK.INC($G$2:$G$941,G527)</x:f>
        <x:v>0.679</x:v>
      </x:c>
      <x:c r="V527" s="32" t="n">
        <x:f>PERCENTRANK.INC($H$2:$H$941,H527)</x:f>
        <x:v>0.188</x:v>
      </x:c>
      <x:c r="W527" t="n">
        <x:f>ROUND((U527*55+V527*45)*IF(S527&lt;=5,1,IF(S527&lt;=10,0.95,IF(S527&lt;=20,0.85,0.70))),0)</x:f>
        <x:v>44</x:v>
      </x:c>
      <x:c r="X527" t="n">
        <x:v>48</x:v>
      </x:c>
      <x:c r="Y527" t="str">
        <x:v>WATCH</x:v>
      </x:c>
      <x:c r="Z527" s="12" t="str">
        <x:v>Family + verified grassroots + straight-line geo only; transport not yet routed</x:v>
      </x:c>
      <x:c r="AA527" s="12"/>
      <x:c r="AB527" s="12"/>
      <x:c r="AC527" s="12"/>
      <x:c r="AD527" s="12"/>
      <x:c r="AE527" t="str">
        <x:v>Charlton Athletic Women</x:v>
      </x:c>
      <x:c r="AF527" s="45" t="n">
        <x:v>4.354700418779838</x:v>
      </x:c>
      <x:c r="AG527" t="str">
        <x:v>Millwall Lionesses</x:v>
      </x:c>
      <x:c r="AH527" s="45" t="n">
        <x:v>9.052122405907316</x:v>
      </x:c>
      <x:c r="AI527" t="n">
        <x:v>81</x:v>
      </x:c>
      <x:c r="AJ527" t="str">
        <x:v>HIGH</x:v>
      </x:c>
    </x:row>
    <x:row r="528">
      <x:c r="A528" s="12" t="str">
        <x:v>E01001617</x:v>
      </x:c>
      <x:c r="B528" s="12" t="str">
        <x:v>Greenwich 028D</x:v>
      </x:c>
      <x:c r="C528" s="12" t="str">
        <x:v>Greenwich</x:v>
      </x:c>
      <x:c r="D528" s="44" t="n">
        <x:v>51.44144817253324</x:v>
      </x:c>
      <x:c r="E528" s="44" t="n">
        <x:v>0.0654774847649364</x:v>
      </x:c>
      <x:c r="F528" s="33" t="n">
        <x:v>735</x:v>
      </x:c>
      <x:c r="G528" s="33" t="n">
        <x:v>179</x:v>
      </x:c>
      <x:c r="H528" s="26" t="n">
        <x:v>0.24353741496598638</x:v>
      </x:c>
      <x:c r="I528" s="12" t="n">
        <x:v>2</x:v>
      </x:c>
      <x:c r="J528" s="12" t="n">
        <x:v>54</x:v>
      </x:c>
      <x:c r="K528" s="12"/>
      <x:c r="L528" s="12"/>
      <x:c r="M528" s="12" t="str">
        <x:f>IF(K528="", "", MAX(0,IF(K528&lt;=20,100,IF(K528&lt;=30,85,IF(K528&lt;=40,70,IF(K528&lt;=50,55,IF(K528&lt;=60,40,20)))))-MIN(L528*5,20)))</x:f>
      </x:c>
      <x:c r="N528" s="12"/>
      <x:c r="O528" s="12"/>
      <x:c r="P528" s="12" t="str">
        <x:f>IF(OR(H528="",J528="",M528=""),"",ROUND(PERCENTRANK.INC($H$2:$H$941,H528)*35+J528*0.35+M528*0.30,0))</x:f>
      </x:c>
      <x:c r="Q528" s="12" t="str">
        <x:f>IF(P528="","",IF(P528&gt;=80,"ATTACK",IF(P528&gt;=65,"GROW",IF(P528&gt;=50,"PARTNER","WATCH"))))</x:f>
      </x:c>
      <x:c r="R528" s="12" t="str">
        <x:f>IF(Q528="","",IF(Q528="ATTACK","Grassroots + family acquisition",IF(Q528="GROW","Test local campaign",IF(Q528="PARTNER","Organisation-first partnership","Low priority / validate"))))</x:f>
      </x:c>
      <x:c r="S528" s="45" t="n">
        <x:v>6.516175664738494</x:v>
      </x:c>
      <x:c r="T528" t="str">
        <x:v>NEAR</x:v>
      </x:c>
      <x:c r="U528" s="32" t="n">
        <x:f>PERCENTRANK.INC($G$2:$G$941,G528)</x:f>
        <x:v>0.22</x:v>
      </x:c>
      <x:c r="V528" s="32" t="n">
        <x:f>PERCENTRANK.INC($H$2:$H$941,H528)</x:f>
        <x:v>0.165</x:v>
      </x:c>
      <x:c r="W528" t="n">
        <x:f>ROUND((U528*55+V528*45)*IF(S528&lt;=5,1,IF(S528&lt;=10,0.95,IF(S528&lt;=20,0.85,0.70))),0)</x:f>
        <x:v>19</x:v>
      </x:c>
      <x:c r="X528" t="n">
        <x:v>35</x:v>
      </x:c>
      <x:c r="Y528" t="str">
        <x:v>WATCH</x:v>
      </x:c>
      <x:c r="Z528" s="12" t="str">
        <x:v>Family + verified grassroots + straight-line geo only; transport not yet routed</x:v>
      </x:c>
      <x:c r="AA528" s="12"/>
      <x:c r="AB528" s="12"/>
      <x:c r="AC528" s="12"/>
      <x:c r="AD528" s="12"/>
      <x:c r="AE528" t="str">
        <x:v>Charlton Athletic Women</x:v>
      </x:c>
      <x:c r="AF528" s="45" t="n">
        <x:v>5.395545508587288</x:v>
      </x:c>
      <x:c r="AG528" t="str">
        <x:v>Millwall Lionesses</x:v>
      </x:c>
      <x:c r="AH528" s="45" t="n">
        <x:v>10.264939337495202</x:v>
      </x:c>
      <x:c r="AI528" t="n">
        <x:v>76</x:v>
      </x:c>
      <x:c r="AJ528" t="str">
        <x:v>HIGH</x:v>
      </x:c>
    </x:row>
    <x:row r="529">
      <x:c r="A529" s="12" t="str">
        <x:v>E01001653</x:v>
      </x:c>
      <x:c r="B529" s="12" t="str">
        <x:v>Greenwich 029A</x:v>
      </x:c>
      <x:c r="C529" s="12" t="str">
        <x:v>Greenwich</x:v>
      </x:c>
      <x:c r="D529" s="44" t="n">
        <x:v>51.44609134485837</x:v>
      </x:c>
      <x:c r="E529" s="44" t="n">
        <x:v>0.0371409514227533</x:v>
      </x:c>
      <x:c r="F529" s="33" t="n">
        <x:v>600</x:v>
      </x:c>
      <x:c r="G529" s="33" t="n">
        <x:v>241</x:v>
      </x:c>
      <x:c r="H529" s="26" t="n">
        <x:v>0.40166666666666667</x:v>
      </x:c>
      <x:c r="I529" s="12" t="n">
        <x:v>3</x:v>
      </x:c>
      <x:c r="J529" s="12" t="n">
        <x:v>53</x:v>
      </x:c>
      <x:c r="K529" s="12"/>
      <x:c r="L529" s="12"/>
      <x:c r="M529" s="12" t="str">
        <x:f>IF(K529="", "", MAX(0,IF(K529&lt;=20,100,IF(K529&lt;=30,85,IF(K529&lt;=40,70,IF(K529&lt;=50,55,IF(K529&lt;=60,40,20)))))-MIN(L529*5,20)))</x:f>
      </x:c>
      <x:c r="N529" s="12"/>
      <x:c r="O529" s="12"/>
      <x:c r="P529" s="12" t="str">
        <x:f>IF(OR(H529="",J529="",M529=""),"",ROUND(PERCENTRANK.INC($H$2:$H$941,H529)*35+J529*0.35+M529*0.30,0))</x:f>
      </x:c>
      <x:c r="Q529" s="12" t="str">
        <x:f>IF(P529="","",IF(P529&gt;=80,"ATTACK",IF(P529&gt;=65,"GROW",IF(P529&gt;=50,"PARTNER","WATCH"))))</x:f>
      </x:c>
      <x:c r="R529" s="12" t="str">
        <x:f>IF(Q529="","",IF(Q529="ATTACK","Grassroots + family acquisition",IF(Q529="GROW","Test local campaign",IF(Q529="PARTNER","Organisation-first partnership","Low priority / validate"))))</x:f>
      </x:c>
      <x:c r="S529" s="45" t="n">
        <x:v>6.274060670038179</x:v>
      </x:c>
      <x:c r="T529" t="str">
        <x:v>NEAR</x:v>
      </x:c>
      <x:c r="U529" s="32" t="n">
        <x:f>PERCENTRANK.INC($G$2:$G$941,G529)</x:f>
        <x:v>0.714</x:v>
      </x:c>
      <x:c r="V529" s="32" t="n">
        <x:f>PERCENTRANK.INC($H$2:$H$941,H529)</x:f>
        <x:v>0.912</x:v>
      </x:c>
      <x:c r="W529" t="n">
        <x:f>ROUND((U529*55+V529*45)*IF(S529&lt;=5,1,IF(S529&lt;=10,0.95,IF(S529&lt;=20,0.85,0.70))),0)</x:f>
        <x:v>76</x:v>
      </x:c>
      <x:c r="X529" t="n">
        <x:v>66</x:v>
      </x:c>
      <x:c r="Y529" t="str">
        <x:v>GROW</x:v>
      </x:c>
      <x:c r="Z529" s="12" t="str">
        <x:v>Family + verified grassroots + straight-line geo only; transport not yet routed</x:v>
      </x:c>
      <x:c r="AA529" s="12"/>
      <x:c r="AB529" s="12"/>
      <x:c r="AC529" s="12"/>
      <x:c r="AD529" s="12"/>
      <x:c r="AE529" t="str">
        <x:v>Charlton Athletic Women</x:v>
      </x:c>
      <x:c r="AF529" s="45" t="n">
        <x:v>4.482649770567019</x:v>
      </x:c>
      <x:c r="AG529" t="str">
        <x:v>Dulwich Hamlet Women</x:v>
      </x:c>
      <x:c r="AH529" s="45" t="n">
        <x:v>8.561701036472929</x:v>
      </x:c>
      <x:c r="AI529" t="n">
        <x:v>81</x:v>
      </x:c>
      <x:c r="AJ529" t="str">
        <x:v>HIGH</x:v>
      </x:c>
    </x:row>
    <x:row r="530">
      <x:c r="A530" s="12" t="str">
        <x:v>E01001654</x:v>
      </x:c>
      <x:c r="B530" s="12" t="str">
        <x:v>Greenwich 029B</x:v>
      </x:c>
      <x:c r="C530" s="12" t="str">
        <x:v>Greenwich</x:v>
      </x:c>
      <x:c r="D530" s="44" t="n">
        <x:v>51.44494706530174</x:v>
      </x:c>
      <x:c r="E530" s="44" t="n">
        <x:v>0.025889795276563984</x:v>
      </x:c>
      <x:c r="F530" s="33" t="n">
        <x:v>570</x:v>
      </x:c>
      <x:c r="G530" s="33" t="n">
        <x:v>234</x:v>
      </x:c>
      <x:c r="H530" s="26" t="n">
        <x:v>0.4105263157894737</x:v>
      </x:c>
      <x:c r="I530" s="12" t="n">
        <x:v>3</x:v>
      </x:c>
      <x:c r="J530" s="12" t="n">
        <x:v>61</x:v>
      </x:c>
      <x:c r="K530" s="12"/>
      <x:c r="L530" s="12"/>
      <x:c r="M530" s="12" t="str">
        <x:f>IF(K530="", "", MAX(0,IF(K530&lt;=20,100,IF(K530&lt;=30,85,IF(K530&lt;=40,70,IF(K530&lt;=50,55,IF(K530&lt;=60,40,20)))))-MIN(L530*5,20)))</x:f>
      </x:c>
      <x:c r="N530" s="12"/>
      <x:c r="O530" s="12"/>
      <x:c r="P530" s="12" t="str">
        <x:f>IF(OR(H530="",J530="",M530=""),"",ROUND(PERCENTRANK.INC($H$2:$H$941,H530)*35+J530*0.35+M530*0.30,0))</x:f>
      </x:c>
      <x:c r="Q530" s="12" t="str">
        <x:f>IF(P530="","",IF(P530&gt;=80,"ATTACK",IF(P530&gt;=65,"GROW",IF(P530&gt;=50,"PARTNER","WATCH"))))</x:f>
      </x:c>
      <x:c r="R530" s="12" t="str">
        <x:f>IF(Q530="","",IF(Q530="ATTACK","Grassroots + family acquisition",IF(Q530="GROW","Test local campaign",IF(Q530="PARTNER","Organisation-first partnership","Low priority / validate"))))</x:f>
      </x:c>
      <x:c r="S530" s="45" t="n">
        <x:v>6.027178185947585</x:v>
      </x:c>
      <x:c r="T530" t="str">
        <x:v>NEAR</x:v>
      </x:c>
      <x:c r="U530" s="32" t="n">
        <x:f>PERCENTRANK.INC($G$2:$G$941,G530)</x:f>
        <x:v>0.658</x:v>
      </x:c>
      <x:c r="V530" s="32" t="n">
        <x:f>PERCENTRANK.INC($H$2:$H$941,H530)</x:f>
        <x:v>0.937</x:v>
      </x:c>
      <x:c r="W530" t="n">
        <x:f>ROUND((U530*55+V530*45)*IF(S530&lt;=5,1,IF(S530&lt;=10,0.95,IF(S530&lt;=20,0.85,0.70))),0)</x:f>
        <x:v>74</x:v>
      </x:c>
      <x:c r="X530" t="n">
        <x:v>69</x:v>
      </x:c>
      <x:c r="Y530" t="str">
        <x:v>GROW</x:v>
      </x:c>
      <x:c r="Z530" s="12" t="str">
        <x:v>Family + verified grassroots + straight-line geo only; transport not yet routed</x:v>
      </x:c>
      <x:c r="AA530" s="12"/>
      <x:c r="AB530" s="12"/>
      <x:c r="AC530" s="12"/>
      <x:c r="AD530" s="12"/>
      <x:c r="AE530" t="str">
        <x:v>Charlton Athletic Women</x:v>
      </x:c>
      <x:c r="AF530" s="45" t="n">
        <x:v>4.663838543491365</x:v>
      </x:c>
      <x:c r="AG530" t="str">
        <x:v>Dulwich Hamlet Women</x:v>
      </x:c>
      <x:c r="AH530" s="45" t="n">
        <x:v>7.82772832702113</x:v>
      </x:c>
      <x:c r="AI530" t="n">
        <x:v>81</x:v>
      </x:c>
      <x:c r="AJ530" t="str">
        <x:v>HIGH</x:v>
      </x:c>
    </x:row>
    <x:row r="531">
      <x:c r="A531" s="12" t="str">
        <x:v>E01001655</x:v>
      </x:c>
      <x:c r="B531" s="12" t="str">
        <x:v>Greenwich 029C</x:v>
      </x:c>
      <x:c r="C531" s="12" t="str">
        <x:v>Greenwich</x:v>
      </x:c>
      <x:c r="D531" s="44" t="n">
        <x:v>51.44408043854512</x:v>
      </x:c>
      <x:c r="E531" s="44" t="n">
        <x:v>0.04153678311317107</x:v>
      </x:c>
      <x:c r="F531" s="33" t="n">
        <x:v>632</x:v>
      </x:c>
      <x:c r="G531" s="33" t="n">
        <x:v>227</x:v>
      </x:c>
      <x:c r="H531" s="26" t="n">
        <x:v>0.35917721518987344</x:v>
      </x:c>
      <x:c r="I531" s="12" t="n">
        <x:v>3</x:v>
      </x:c>
      <x:c r="J531" s="12" t="n">
        <x:v>53</x:v>
      </x:c>
      <x:c r="K531" s="12"/>
      <x:c r="L531" s="12"/>
      <x:c r="M531" s="12" t="str">
        <x:f>IF(K531="", "", MAX(0,IF(K531&lt;=20,100,IF(K531&lt;=30,85,IF(K531&lt;=40,70,IF(K531&lt;=50,55,IF(K531&lt;=60,40,20)))))-MIN(L531*5,20)))</x:f>
      </x:c>
      <x:c r="N531" s="12"/>
      <x:c r="O531" s="12"/>
      <x:c r="P531" s="12" t="str">
        <x:f>IF(OR(H531="",J531="",M531=""),"",ROUND(PERCENTRANK.INC($H$2:$H$941,H531)*35+J531*0.35+M531*0.30,0))</x:f>
      </x:c>
      <x:c r="Q531" s="12" t="str">
        <x:f>IF(P531="","",IF(P531&gt;=80,"ATTACK",IF(P531&gt;=65,"GROW",IF(P531&gt;=50,"PARTNER","WATCH"))))</x:f>
      </x:c>
      <x:c r="R531" s="12" t="str">
        <x:f>IF(Q531="","",IF(Q531="ATTACK","Grassroots + family acquisition",IF(Q531="GROW","Test local campaign",IF(Q531="PARTNER","Organisation-first partnership","Low priority / validate"))))</x:f>
      </x:c>
      <x:c r="S531" s="45" t="n">
        <x:v>6.130905726988677</x:v>
      </x:c>
      <x:c r="T531" t="str">
        <x:v>NEAR</x:v>
      </x:c>
      <x:c r="U531" s="32" t="n">
        <x:f>PERCENTRANK.INC($G$2:$G$941,G531)</x:f>
        <x:v>0.605</x:v>
      </x:c>
      <x:c r="V531" s="32" t="n">
        <x:f>PERCENTRANK.INC($H$2:$H$941,H531)</x:f>
        <x:v>0.734</x:v>
      </x:c>
      <x:c r="W531" t="n">
        <x:f>ROUND((U531*55+V531*45)*IF(S531&lt;=5,1,IF(S531&lt;=10,0.95,IF(S531&lt;=20,0.85,0.70))),0)</x:f>
        <x:v>63</x:v>
      </x:c>
      <x:c r="X531" t="n">
        <x:v>59</x:v>
      </x:c>
      <x:c r="Y531" t="str">
        <x:v>PARTNER</x:v>
      </x:c>
      <x:c r="Z531" s="12" t="str">
        <x:v>Family + verified grassroots + straight-line geo only; transport not yet routed</x:v>
      </x:c>
      <x:c r="AA531" s="12"/>
      <x:c r="AB531" s="12"/>
      <x:c r="AC531" s="12"/>
      <x:c r="AD531" s="12"/>
      <x:c r="AE531" t="str">
        <x:v>Charlton Athletic Women</x:v>
      </x:c>
      <x:c r="AF531" s="45" t="n">
        <x:v>4.720499508563173</x:v>
      </x:c>
      <x:c r="AG531" t="str">
        <x:v>Dulwich Hamlet Women</x:v>
      </x:c>
      <x:c r="AH531" s="45" t="n">
        <x:v>8.906105091001935</x:v>
      </x:c>
      <x:c r="AI531" t="n">
        <x:v>81</x:v>
      </x:c>
      <x:c r="AJ531" t="str">
        <x:v>HIGH</x:v>
      </x:c>
    </x:row>
    <x:row r="532">
      <x:c r="A532" s="12" t="str">
        <x:v>E01001660</x:v>
      </x:c>
      <x:c r="B532" s="12" t="str">
        <x:v>Greenwich 029D</x:v>
      </x:c>
      <x:c r="C532" s="12" t="str">
        <x:v>Greenwich</x:v>
      </x:c>
      <x:c r="D532" s="44" t="n">
        <x:v>51.44802320957035</x:v>
      </x:c>
      <x:c r="E532" s="44" t="n">
        <x:v>0.02632519646379316</x:v>
      </x:c>
      <x:c r="F532" s="33" t="n">
        <x:v>564</x:v>
      </x:c>
      <x:c r="G532" s="33" t="n">
        <x:v>222</x:v>
      </x:c>
      <x:c r="H532" s="26" t="n">
        <x:v>0.39361702127659576</x:v>
      </x:c>
      <x:c r="I532" s="12" t="n">
        <x:v>2</x:v>
      </x:c>
      <x:c r="J532" s="12" t="n">
        <x:v>53</x:v>
      </x:c>
      <x:c r="K532" s="12"/>
      <x:c r="L532" s="12"/>
      <x:c r="M532" s="12" t="str">
        <x:f>IF(K532="", "", MAX(0,IF(K532&lt;=20,100,IF(K532&lt;=30,85,IF(K532&lt;=40,70,IF(K532&lt;=50,55,IF(K532&lt;=60,40,20)))))-MIN(L532*5,20)))</x:f>
      </x:c>
      <x:c r="N532" s="12"/>
      <x:c r="O532" s="12"/>
      <x:c r="P532" s="12" t="str">
        <x:f>IF(OR(H532="",J532="",M532=""),"",ROUND(PERCENTRANK.INC($H$2:$H$941,H532)*35+J532*0.35+M532*0.30,0))</x:f>
      </x:c>
      <x:c r="Q532" s="12" t="str">
        <x:f>IF(P532="","",IF(P532&gt;=80,"ATTACK",IF(P532&gt;=65,"GROW",IF(P532&gt;=50,"PARTNER","WATCH"))))</x:f>
      </x:c>
      <x:c r="R532" s="12" t="str">
        <x:f>IF(Q532="","",IF(Q532="ATTACK","Grassroots + family acquisition",IF(Q532="GROW","Test local campaign",IF(Q532="PARTNER","Organisation-first partnership","Low priority / validate"))))</x:f>
      </x:c>
      <x:c r="S532" s="45" t="n">
        <x:v>6.370552123676981</x:v>
      </x:c>
      <x:c r="T532" t="str">
        <x:v>NEAR</x:v>
      </x:c>
      <x:c r="U532" s="32" t="n">
        <x:f>PERCENTRANK.INC($G$2:$G$941,G532)</x:f>
        <x:v>0.559</x:v>
      </x:c>
      <x:c r="V532" s="32" t="n">
        <x:f>PERCENTRANK.INC($H$2:$H$941,H532)</x:f>
        <x:v>0.888</x:v>
      </x:c>
      <x:c r="W532" t="n">
        <x:f>ROUND((U532*55+V532*45)*IF(S532&lt;=5,1,IF(S532&lt;=10,0.95,IF(S532&lt;=20,0.85,0.70))),0)</x:f>
        <x:v>67</x:v>
      </x:c>
      <x:c r="X532" t="n">
        <x:v>61</x:v>
      </x:c>
      <x:c r="Y532" t="str">
        <x:v>PARTNER</x:v>
      </x:c>
      <x:c r="Z532" s="12" t="str">
        <x:v>Family + verified grassroots + straight-line geo only; transport not yet routed</x:v>
      </x:c>
      <x:c r="AA532" s="12"/>
      <x:c r="AB532" s="12"/>
      <x:c r="AC532" s="12"/>
      <x:c r="AD532" s="12"/>
      <x:c r="AE532" t="str">
        <x:v>Charlton Athletic Women</x:v>
      </x:c>
      <x:c r="AF532" s="45" t="n">
        <x:v>4.321239324000433</x:v>
      </x:c>
      <x:c r="AG532" t="str">
        <x:v>Dulwich Hamlet Women</x:v>
      </x:c>
      <x:c r="AH532" s="45" t="n">
        <x:v>7.784677227212929</x:v>
      </x:c>
      <x:c r="AI532" t="n">
        <x:v>81</x:v>
      </x:c>
      <x:c r="AJ532" t="str">
        <x:v>HIGH</x:v>
      </x:c>
    </x:row>
    <x:row r="533">
      <x:c r="A533" s="12" t="str">
        <x:v>E01001661</x:v>
      </x:c>
      <x:c r="B533" s="12" t="str">
        <x:v>Greenwich 029E</x:v>
      </x:c>
      <x:c r="C533" s="12" t="str">
        <x:v>Greenwich</x:v>
      </x:c>
      <x:c r="D533" s="44" t="n">
        <x:v>51.448972016992805</x:v>
      </x:c>
      <x:c r="E533" s="44" t="n">
        <x:v>0.03969830661341872</x:v>
      </x:c>
      <x:c r="F533" s="33" t="n">
        <x:v>578</x:v>
      </x:c>
      <x:c r="G533" s="33" t="n">
        <x:v>249</x:v>
      </x:c>
      <x:c r="H533" s="26" t="n">
        <x:v>0.43079584775086505</x:v>
      </x:c>
      <x:c r="I533" s="12" t="n">
        <x:v>2</x:v>
      </x:c>
      <x:c r="J533" s="12" t="n">
        <x:v>46</x:v>
      </x:c>
      <x:c r="K533" s="12"/>
      <x:c r="L533" s="12"/>
      <x:c r="M533" s="12" t="str">
        <x:f>IF(K533="", "", MAX(0,IF(K533&lt;=20,100,IF(K533&lt;=30,85,IF(K533&lt;=40,70,IF(K533&lt;=50,55,IF(K533&lt;=60,40,20)))))-MIN(L533*5,20)))</x:f>
      </x:c>
      <x:c r="N533" s="12"/>
      <x:c r="O533" s="12"/>
      <x:c r="P533" s="12" t="str">
        <x:f>IF(OR(H533="",J533="",M533=""),"",ROUND(PERCENTRANK.INC($H$2:$H$941,H533)*35+J533*0.35+M533*0.30,0))</x:f>
      </x:c>
      <x:c r="Q533" s="12" t="str">
        <x:f>IF(P533="","",IF(P533&gt;=80,"ATTACK",IF(P533&gt;=65,"GROW",IF(P533&gt;=50,"PARTNER","WATCH"))))</x:f>
      </x:c>
      <x:c r="R533" s="12" t="str">
        <x:f>IF(Q533="","",IF(Q533="ATTACK","Grassroots + family acquisition",IF(Q533="GROW","Test local campaign",IF(Q533="PARTNER","Organisation-first partnership","Low priority / validate"))))</x:f>
      </x:c>
      <x:c r="S533" s="45" t="n">
        <x:v>6.625800027133552</x:v>
      </x:c>
      <x:c r="T533" t="str">
        <x:v>NEAR</x:v>
      </x:c>
      <x:c r="U533" s="32" t="n">
        <x:f>PERCENTRANK.INC($G$2:$G$941,G533)</x:f>
        <x:v>0.766</x:v>
      </x:c>
      <x:c r="V533" s="32" t="n">
        <x:f>PERCENTRANK.INC($H$2:$H$941,H533)</x:f>
        <x:v>0.964</x:v>
      </x:c>
      <x:c r="W533" t="n">
        <x:f>ROUND((U533*55+V533*45)*IF(S533&lt;=5,1,IF(S533&lt;=10,0.95,IF(S533&lt;=20,0.85,0.70))),0)</x:f>
        <x:v>81</x:v>
      </x:c>
      <x:c r="X533" t="n">
        <x:v>66</x:v>
      </x:c>
      <x:c r="Y533" t="str">
        <x:v>GROW</x:v>
      </x:c>
      <x:c r="Z533" s="12" t="str">
        <x:v>Family + verified grassroots + straight-line geo only; transport not yet routed</x:v>
      </x:c>
      <x:c r="AA533" s="12"/>
      <x:c r="AB533" s="12"/>
      <x:c r="AC533" s="12"/>
      <x:c r="AD533" s="12"/>
      <x:c r="AE533" t="str">
        <x:v>Charlton Athletic Women</x:v>
      </x:c>
      <x:c r="AF533" s="45" t="n">
        <x:v>4.169059239204307</x:v>
      </x:c>
      <x:c r="AG533" t="str">
        <x:v>Millwall Lionesses</x:v>
      </x:c>
      <x:c r="AH533" s="45" t="n">
        <x:v>8.43031408737994</x:v>
      </x:c>
      <x:c r="AI533" t="n">
        <x:v>81</x:v>
      </x:c>
      <x:c r="AJ533" t="str">
        <x:v>HIGH</x:v>
      </x:c>
    </x:row>
    <x:row r="534">
      <x:c r="A534" s="12" t="str">
        <x:v>E01001618</x:v>
      </x:c>
      <x:c r="B534" s="12" t="str">
        <x:v>Greenwich 030C</x:v>
      </x:c>
      <x:c r="C534" s="12" t="str">
        <x:v>Greenwich</x:v>
      </x:c>
      <x:c r="D534" s="44" t="n">
        <x:v>51.44257536517661</x:v>
      </x:c>
      <x:c r="E534" s="44" t="n">
        <x:v>0.08200971198594414</x:v>
      </x:c>
      <x:c r="F534" s="33" t="n">
        <x:v>758</x:v>
      </x:c>
      <x:c r="G534" s="33" t="n">
        <x:v>263</x:v>
      </x:c>
      <x:c r="H534" s="26" t="n">
        <x:v>0.3469656992084433</x:v>
      </x:c>
      <x:c r="I534" s="12" t="n">
        <x:v>2</x:v>
      </x:c>
      <x:c r="J534" s="12" t="n">
        <x:v>54</x:v>
      </x:c>
      <x:c r="K534" s="12"/>
      <x:c r="L534" s="12"/>
      <x:c r="M534" s="12" t="str">
        <x:f>IF(K534="", "", MAX(0,IF(K534&lt;=20,100,IF(K534&lt;=30,85,IF(K534&lt;=40,70,IF(K534&lt;=50,55,IF(K534&lt;=60,40,20)))))-MIN(L534*5,20)))</x:f>
      </x:c>
      <x:c r="N534" s="12"/>
      <x:c r="O534" s="12"/>
      <x:c r="P534" s="12" t="str">
        <x:f>IF(OR(H534="",J534="",M534=""),"",ROUND(PERCENTRANK.INC($H$2:$H$941,H534)*35+J534*0.35+M534*0.30,0))</x:f>
      </x:c>
      <x:c r="Q534" s="12" t="str">
        <x:f>IF(P534="","",IF(P534&gt;=80,"ATTACK",IF(P534&gt;=65,"GROW",IF(P534&gt;=50,"PARTNER","WATCH"))))</x:f>
      </x:c>
      <x:c r="R534" s="12" t="str">
        <x:f>IF(Q534="","",IF(Q534="ATTACK","Grassroots + family acquisition",IF(Q534="GROW","Test local campaign",IF(Q534="PARTNER","Organisation-first partnership","Low priority / validate"))))</x:f>
      </x:c>
      <x:c r="S534" s="45" t="n">
        <x:v>7.265833313449638</x:v>
      </x:c>
      <x:c r="T534" t="str">
        <x:v>NEAR</x:v>
      </x:c>
      <x:c r="U534" s="32" t="n">
        <x:f>PERCENTRANK.INC($G$2:$G$941,G534)</x:f>
        <x:v>0.842</x:v>
      </x:c>
      <x:c r="V534" s="32" t="n">
        <x:f>PERCENTRANK.INC($H$2:$H$941,H534)</x:f>
        <x:v>0.667</x:v>
      </x:c>
      <x:c r="W534" t="n">
        <x:f>ROUND((U534*55+V534*45)*IF(S534&lt;=5,1,IF(S534&lt;=10,0.95,IF(S534&lt;=20,0.85,0.70))),0)</x:f>
        <x:v>73</x:v>
      </x:c>
      <x:c r="X534" t="n">
        <x:v>64</x:v>
      </x:c>
      <x:c r="Y534" t="str">
        <x:v>PARTNER</x:v>
      </x:c>
      <x:c r="Z534" s="12" t="str">
        <x:v>Family + verified grassroots + straight-line geo only; transport not yet routed</x:v>
      </x:c>
      <x:c r="AA534" s="12"/>
      <x:c r="AB534" s="12"/>
      <x:c r="AC534" s="12"/>
      <x:c r="AD534" s="12"/>
      <x:c r="AE534" t="str">
        <x:v>Charlton Athletic Women</x:v>
      </x:c>
      <x:c r="AF534" s="45" t="n">
        <x:v>5.817188967086295</x:v>
      </x:c>
      <x:c r="AG534" t="str">
        <x:v>Millwall Lionesses</x:v>
      </x:c>
      <x:c r="AH534" s="45" t="n">
        <x:v>11.029727756085363</x:v>
      </x:c>
      <x:c r="AI534" t="n">
        <x:v>76</x:v>
      </x:c>
      <x:c r="AJ534" t="str">
        <x:v>HIGH</x:v>
      </x:c>
    </x:row>
    <x:row r="535">
      <x:c r="A535" s="12" t="str">
        <x:v>E01001619</x:v>
      </x:c>
      <x:c r="B535" s="12" t="str">
        <x:v>Greenwich 030D</x:v>
      </x:c>
      <x:c r="C535" s="12" t="str">
        <x:v>Greenwich</x:v>
      </x:c>
      <x:c r="D535" s="44" t="n">
        <x:v>51.43957230304253</x:v>
      </x:c>
      <x:c r="E535" s="44" t="n">
        <x:v>0.0737346385524131</x:v>
      </x:c>
      <x:c r="F535" s="33" t="n">
        <x:v>828</x:v>
      </x:c>
      <x:c r="G535" s="33" t="n">
        <x:v>260</x:v>
      </x:c>
      <x:c r="H535" s="26" t="n">
        <x:v>0.3140096618357488</x:v>
      </x:c>
      <x:c r="I535" s="12" t="n">
        <x:v>2</x:v>
      </x:c>
      <x:c r="J535" s="12" t="n">
        <x:v>54</x:v>
      </x:c>
      <x:c r="K535" s="12"/>
      <x:c r="L535" s="12"/>
      <x:c r="M535" s="12" t="str">
        <x:f>IF(K535="", "", MAX(0,IF(K535&lt;=20,100,IF(K535&lt;=30,85,IF(K535&lt;=40,70,IF(K535&lt;=50,55,IF(K535&lt;=60,40,20)))))-MIN(L535*5,20)))</x:f>
      </x:c>
      <x:c r="N535" s="12"/>
      <x:c r="O535" s="12"/>
      <x:c r="P535" s="12" t="str">
        <x:f>IF(OR(H535="",J535="",M535=""),"",ROUND(PERCENTRANK.INC($H$2:$H$941,H535)*35+J535*0.35+M535*0.30,0))</x:f>
      </x:c>
      <x:c r="Q535" s="12" t="str">
        <x:f>IF(P535="","",IF(P535&gt;=80,"ATTACK",IF(P535&gt;=65,"GROW",IF(P535&gt;=50,"PARTNER","WATCH"))))</x:f>
      </x:c>
      <x:c r="R535" s="12" t="str">
        <x:f>IF(Q535="","",IF(Q535="ATTACK","Grassroots + family acquisition",IF(Q535="GROW","Test local campaign",IF(Q535="PARTNER","Organisation-first partnership","Low priority / validate"))))</x:f>
      </x:c>
      <x:c r="S535" s="45" t="n">
        <x:v>6.654719333963201</x:v>
      </x:c>
      <x:c r="T535" t="str">
        <x:v>NEAR</x:v>
      </x:c>
      <x:c r="U535" s="32" t="n">
        <x:f>PERCENTRANK.INC($G$2:$G$941,G535)</x:f>
        <x:v>0.828</x:v>
      </x:c>
      <x:c r="V535" s="32" t="n">
        <x:f>PERCENTRANK.INC($H$2:$H$941,H535)</x:f>
        <x:v>0.474</x:v>
      </x:c>
      <x:c r="W535" t="n">
        <x:f>ROUND((U535*55+V535*45)*IF(S535&lt;=5,1,IF(S535&lt;=10,0.95,IF(S535&lt;=20,0.85,0.70))),0)</x:f>
        <x:v>64</x:v>
      </x:c>
      <x:c r="X535" t="n">
        <x:v>59</x:v>
      </x:c>
      <x:c r="Y535" t="str">
        <x:v>PARTNER</x:v>
      </x:c>
      <x:c r="Z535" s="12" t="str">
        <x:v>Family + verified grassroots + straight-line geo only; transport not yet routed</x:v>
      </x:c>
      <x:c r="AA535" s="12"/>
      <x:c r="AB535" s="12"/>
      <x:c r="AC535" s="12"/>
      <x:c r="AD535" s="12"/>
      <x:c r="AE535" t="str">
        <x:v>Charlton Athletic Women</x:v>
      </x:c>
      <x:c r="AF535" s="45" t="n">
        <x:v>5.821719653779749</x:v>
      </x:c>
      <x:c r="AG535" t="str">
        <x:v>Millwall Lionesses</x:v>
      </x:c>
      <x:c r="AH535" s="45" t="n">
        <x:v>10.822069824126118</x:v>
      </x:c>
      <x:c r="AI535" t="n">
        <x:v>76</x:v>
      </x:c>
      <x:c r="AJ535" t="str">
        <x:v>HIGH</x:v>
      </x:c>
    </x:row>
    <x:row r="536">
      <x:c r="A536" s="12" t="str">
        <x:v>E01033729</x:v>
      </x:c>
      <x:c r="B536" s="12" t="str">
        <x:v>Greenwich 030E</x:v>
      </x:c>
      <x:c r="C536" s="12" t="str">
        <x:v>Greenwich</x:v>
      </x:c>
      <x:c r="D536" s="44" t="n">
        <x:v>51.44824125715158</x:v>
      </x:c>
      <x:c r="E536" s="44" t="n">
        <x:v>0.0836746013389536</x:v>
      </x:c>
      <x:c r="F536" s="33" t="n">
        <x:v>759</x:v>
      </x:c>
      <x:c r="G536" s="33" t="n">
        <x:v>262</x:v>
      </x:c>
      <x:c r="H536" s="26" t="n">
        <x:v>0.3451910408432148</x:v>
      </x:c>
      <x:c r="I536" s="12" t="n">
        <x:v>1</x:v>
      </x:c>
      <x:c r="J536" s="12" t="n">
        <x:v>47</x:v>
      </x:c>
      <x:c r="K536" s="12"/>
      <x:c r="L536" s="12"/>
      <x:c r="M536" s="12" t="str">
        <x:f>IF(K536="", "", MAX(0,IF(K536&lt;=20,100,IF(K536&lt;=30,85,IF(K536&lt;=40,70,IF(K536&lt;=50,55,IF(K536&lt;=60,40,20)))))-MIN(L536*5,20)))</x:f>
      </x:c>
      <x:c r="N536" s="12"/>
      <x:c r="O536" s="12"/>
      <x:c r="P536" s="12" t="str">
        <x:f>IF(OR(H536="",J536="",M536=""),"",ROUND(PERCENTRANK.INC($H$2:$H$941,H536)*35+J536*0.35+M536*0.30,0))</x:f>
      </x:c>
      <x:c r="Q536" s="12" t="str">
        <x:f>IF(P536="","",IF(P536&gt;=80,"ATTACK",IF(P536&gt;=65,"GROW",IF(P536&gt;=50,"PARTNER","WATCH"))))</x:f>
      </x:c>
      <x:c r="R536" s="12" t="str">
        <x:f>IF(Q536="","",IF(Q536="ATTACK","Grassroots + family acquisition",IF(Q536="GROW","Test local campaign",IF(Q536="PARTNER","Organisation-first partnership","Low priority / validate"))))</x:f>
      </x:c>
      <x:c r="S536" s="45" t="n">
        <x:v>7.83952079177745</x:v>
      </x:c>
      <x:c r="T536" t="str">
        <x:v>NEAR</x:v>
      </x:c>
      <x:c r="U536" s="32" t="n">
        <x:f>PERCENTRANK.INC($G$2:$G$941,G536)</x:f>
        <x:v>0.837</x:v>
      </x:c>
      <x:c r="V536" s="32" t="n">
        <x:f>PERCENTRANK.INC($H$2:$H$941,H536)</x:f>
        <x:v>0.656</x:v>
      </x:c>
      <x:c r="W536" t="n">
        <x:f>ROUND((U536*55+V536*45)*IF(S536&lt;=5,1,IF(S536&lt;=10,0.95,IF(S536&lt;=20,0.85,0.70))),0)</x:f>
        <x:v>72</x:v>
      </x:c>
      <x:c r="X536" t="n">
        <x:v>61</x:v>
      </x:c>
      <x:c r="Y536" t="str">
        <x:v>PARTNER</x:v>
      </x:c>
      <x:c r="Z536" s="12" t="str">
        <x:v>Family + verified grassroots + straight-line geo only; transport not yet routed</x:v>
      </x:c>
      <x:c r="AA536" s="12"/>
      <x:c r="AB536" s="12"/>
      <x:c r="AC536" s="12"/>
      <x:c r="AD536" s="12"/>
      <x:c r="AE536" t="str">
        <x:v>Charlton Athletic Women</x:v>
      </x:c>
      <x:c r="AF536" s="45" t="n">
        <x:v>5.3703917979216635</x:v>
      </x:c>
      <x:c r="AG536" t="str">
        <x:v>Millwall Lionesses</x:v>
      </x:c>
      <x:c r="AH536" s="45" t="n">
        <x:v>10.72844091060679</x:v>
      </x:c>
      <x:c r="AI536" t="n">
        <x:v>76</x:v>
      </x:c>
      <x:c r="AJ536" t="str">
        <x:v>HIGH</x:v>
      </x:c>
    </x:row>
    <x:row r="537">
      <x:c r="A537" s="12" t="str">
        <x:v>E01001597</x:v>
      </x:c>
      <x:c r="B537" s="12" t="str">
        <x:v>Greenwich 031A</x:v>
      </x:c>
      <x:c r="C537" s="12" t="str">
        <x:v>Greenwich</x:v>
      </x:c>
      <x:c r="D537" s="44" t="n">
        <x:v>51.438314782895375</x:v>
      </x:c>
      <x:c r="E537" s="44" t="n">
        <x:v>0.04665648974416011</x:v>
      </x:c>
      <x:c r="F537" s="33" t="n">
        <x:v>635</x:v>
      </x:c>
      <x:c r="G537" s="33" t="n">
        <x:v>170</x:v>
      </x:c>
      <x:c r="H537" s="26" t="n">
        <x:v>0.2677165354330709</x:v>
      </x:c>
      <x:c r="I537" s="12" t="n">
        <x:v>4</x:v>
      </x:c>
      <x:c r="J537" s="12" t="n">
        <x:v>70</x:v>
      </x:c>
      <x:c r="K537" s="12"/>
      <x:c r="L537" s="12"/>
      <x:c r="M537" s="12" t="str">
        <x:f>IF(K537="", "", MAX(0,IF(K537&lt;=20,100,IF(K537&lt;=30,85,IF(K537&lt;=40,70,IF(K537&lt;=50,55,IF(K537&lt;=60,40,20)))))-MIN(L537*5,20)))</x:f>
      </x:c>
      <x:c r="N537" s="12"/>
      <x:c r="O537" s="12"/>
      <x:c r="P537" s="12" t="str">
        <x:f>IF(OR(H537="",J537="",M537=""),"",ROUND(PERCENTRANK.INC($H$2:$H$941,H537)*35+J537*0.35+M537*0.30,0))</x:f>
      </x:c>
      <x:c r="Q537" s="12" t="str">
        <x:f>IF(P537="","",IF(P537&gt;=80,"ATTACK",IF(P537&gt;=65,"GROW",IF(P537&gt;=50,"PARTNER","WATCH"))))</x:f>
      </x:c>
      <x:c r="R537" s="12" t="str">
        <x:f>IF(Q537="","",IF(Q537="ATTACK","Grassroots + family acquisition",IF(Q537="GROW","Test local campaign",IF(Q537="PARTNER","Organisation-first partnership","Low priority / validate"))))</x:f>
      </x:c>
      <x:c r="S537" s="45" t="n">
        <x:v>5.632802950253543</x:v>
      </x:c>
      <x:c r="T537" t="str">
        <x:v>NEAR</x:v>
      </x:c>
      <x:c r="U537" s="32" t="n">
        <x:f>PERCENTRANK.INC($G$2:$G$941,G537)</x:f>
        <x:v>0.172</x:v>
      </x:c>
      <x:c r="V537" s="32" t="n">
        <x:f>PERCENTRANK.INC($H$2:$H$941,H537)</x:f>
        <x:v>0.251</x:v>
      </x:c>
      <x:c r="W537" t="n">
        <x:f>ROUND((U537*55+V537*45)*IF(S537&lt;=5,1,IF(S537&lt;=10,0.95,IF(S537&lt;=20,0.85,0.70))),0)</x:f>
        <x:v>20</x:v>
      </x:c>
      <x:c r="X537" t="n">
        <x:v>42</x:v>
      </x:c>
      <x:c r="Y537" t="str">
        <x:v>WATCH</x:v>
      </x:c>
      <x:c r="Z537" s="12" t="str">
        <x:v>Family + verified grassroots + straight-line geo only; transport not yet routed</x:v>
      </x:c>
      <x:c r="AA537" s="12"/>
      <x:c r="AB537" s="12"/>
      <x:c r="AC537" s="12"/>
      <x:c r="AD537" s="12"/>
      <x:c r="AE537" t="str">
        <x:v>Charlton Athletic Women</x:v>
      </x:c>
      <x:c r="AF537" s="45" t="n">
        <x:v>5.396154343655339</x:v>
      </x:c>
      <x:c r="AG537" t="str">
        <x:v>Dulwich Hamlet Women</x:v>
      </x:c>
      <x:c r="AH537" s="45" t="n">
        <x:v>9.407166717810034</x:v>
      </x:c>
      <x:c r="AI537" t="n">
        <x:v>81</x:v>
      </x:c>
      <x:c r="AJ537" t="str">
        <x:v>HIGH</x:v>
      </x:c>
    </x:row>
    <x:row r="538">
      <x:c r="A538" s="12" t="str">
        <x:v>E01001598</x:v>
      </x:c>
      <x:c r="B538" s="12" t="str">
        <x:v>Greenwich 031B</x:v>
      </x:c>
      <x:c r="C538" s="12" t="str">
        <x:v>Greenwich</x:v>
      </x:c>
      <x:c r="D538" s="44" t="n">
        <x:v>51.43668409680195</x:v>
      </x:c>
      <x:c r="E538" s="44" t="n">
        <x:v>0.052699781903953025</x:v>
      </x:c>
      <x:c r="F538" s="33" t="n">
        <x:v>606</x:v>
      </x:c>
      <x:c r="G538" s="33" t="n">
        <x:v>184</x:v>
      </x:c>
      <x:c r="H538" s="26" t="n">
        <x:v>0.30363036303630364</x:v>
      </x:c>
      <x:c r="I538" s="12" t="n">
        <x:v>4</x:v>
      </x:c>
      <x:c r="J538" s="12" t="n">
        <x:v>70</x:v>
      </x:c>
      <x:c r="K538" s="12"/>
      <x:c r="L538" s="12"/>
      <x:c r="M538" s="12" t="str">
        <x:f>IF(K538="", "", MAX(0,IF(K538&lt;=20,100,IF(K538&lt;=30,85,IF(K538&lt;=40,70,IF(K538&lt;=50,55,IF(K538&lt;=60,40,20)))))-MIN(L538*5,20)))</x:f>
      </x:c>
      <x:c r="N538" s="12"/>
      <x:c r="O538" s="12"/>
      <x:c r="P538" s="12" t="str">
        <x:f>IF(OR(H538="",J538="",M538=""),"",ROUND(PERCENTRANK.INC($H$2:$H$941,H538)*35+J538*0.35+M538*0.30,0))</x:f>
      </x:c>
      <x:c r="Q538" s="12" t="str">
        <x:f>IF(P538="","",IF(P538&gt;=80,"ATTACK",IF(P538&gt;=65,"GROW",IF(P538&gt;=50,"PARTNER","WATCH"))))</x:f>
      </x:c>
      <x:c r="R538" s="12" t="str">
        <x:f>IF(Q538="","",IF(Q538="ATTACK","Grassroots + family acquisition",IF(Q538="GROW","Test local campaign",IF(Q538="PARTNER","Organisation-first partnership","Low priority / validate"))))</x:f>
      </x:c>
      <x:c r="S538" s="45" t="n">
        <x:v>5.631274613041473</x:v>
      </x:c>
      <x:c r="T538" t="str">
        <x:v>NEAR</x:v>
      </x:c>
      <x:c r="U538" s="32" t="n">
        <x:f>PERCENTRANK.INC($G$2:$G$941,G538)</x:f>
        <x:v>0.256</x:v>
      </x:c>
      <x:c r="V538" s="32" t="n">
        <x:f>PERCENTRANK.INC($H$2:$H$941,H538)</x:f>
        <x:v>0.417</x:v>
      </x:c>
      <x:c r="W538" t="n">
        <x:f>ROUND((U538*55+V538*45)*IF(S538&lt;=5,1,IF(S538&lt;=10,0.95,IF(S538&lt;=20,0.85,0.70))),0)</x:f>
        <x:v>31</x:v>
      </x:c>
      <x:c r="X538" t="n">
        <x:v>49</x:v>
      </x:c>
      <x:c r="Y538" t="str">
        <x:v>WATCH</x:v>
      </x:c>
      <x:c r="Z538" s="12" t="str">
        <x:v>Family + verified grassroots + straight-line geo only; transport not yet routed</x:v>
      </x:c>
      <x:c r="AA538" s="12"/>
      <x:c r="AB538" s="12"/>
      <x:c r="AC538" s="12"/>
      <x:c r="AD538" s="12"/>
      <x:c r="AE538" t="str">
        <x:v>Charlton Athletic Women</x:v>
      </x:c>
      <x:c r="AF538" s="45" t="n">
        <x:v>5.645810462505442</x:v>
      </x:c>
      <x:c r="AG538" t="str">
        <x:v>Dulwich Hamlet Women</x:v>
      </x:c>
      <x:c r="AH538" s="45" t="n">
        <x:v>9.859822285649983</x:v>
      </x:c>
      <x:c r="AI538" t="n">
        <x:v>81</x:v>
      </x:c>
      <x:c r="AJ538" t="str">
        <x:v>HIGH</x:v>
      </x:c>
    </x:row>
    <x:row r="539">
      <x:c r="A539" s="12" t="str">
        <x:v>E01001602</x:v>
      </x:c>
      <x:c r="B539" s="12" t="str">
        <x:v>Greenwich 031C</x:v>
      </x:c>
      <x:c r="C539" s="12" t="str">
        <x:v>Greenwich</x:v>
      </x:c>
      <x:c r="D539" s="44" t="n">
        <x:v>51.431550546105136</x:v>
      </x:c>
      <x:c r="E539" s="44" t="n">
        <x:v>0.054638674789513925</x:v>
      </x:c>
      <x:c r="F539" s="33" t="n">
        <x:v>716</x:v>
      </x:c>
      <x:c r="G539" s="33" t="n">
        <x:v>282</x:v>
      </x:c>
      <x:c r="H539" s="26" t="n">
        <x:v>0.39385474860335196</x:v>
      </x:c>
      <x:c r="I539" s="12" t="n">
        <x:v>4</x:v>
      </x:c>
      <x:c r="J539" s="12" t="n">
        <x:v>70</x:v>
      </x:c>
      <x:c r="K539" s="12"/>
      <x:c r="L539" s="12"/>
      <x:c r="M539" s="12" t="str">
        <x:f>IF(K539="", "", MAX(0,IF(K539&lt;=20,100,IF(K539&lt;=30,85,IF(K539&lt;=40,70,IF(K539&lt;=50,55,IF(K539&lt;=60,40,20)))))-MIN(L539*5,20)))</x:f>
      </x:c>
      <x:c r="N539" s="12"/>
      <x:c r="O539" s="12"/>
      <x:c r="P539" s="12" t="str">
        <x:f>IF(OR(H539="",J539="",M539=""),"",ROUND(PERCENTRANK.INC($H$2:$H$941,H539)*35+J539*0.35+M539*0.30,0))</x:f>
      </x:c>
      <x:c r="Q539" s="12" t="str">
        <x:f>IF(P539="","",IF(P539&gt;=80,"ATTACK",IF(P539&gt;=65,"GROW",IF(P539&gt;=50,"PARTNER","WATCH"))))</x:f>
      </x:c>
      <x:c r="R539" s="12" t="str">
        <x:f>IF(Q539="","",IF(Q539="ATTACK","Grassroots + family acquisition",IF(Q539="GROW","Test local campaign",IF(Q539="PARTNER","Organisation-first partnership","Low priority / validate"))))</x:f>
      </x:c>
      <x:c r="S539" s="45" t="n">
        <x:v>5.18720067217781</x:v>
      </x:c>
      <x:c r="T539" t="str">
        <x:v>NEAR</x:v>
      </x:c>
      <x:c r="U539" s="32" t="n">
        <x:f>PERCENTRANK.INC($G$2:$G$941,G539)</x:f>
        <x:v>0.909</x:v>
      </x:c>
      <x:c r="V539" s="32" t="n">
        <x:f>PERCENTRANK.INC($H$2:$H$941,H539)</x:f>
        <x:v>0.889</x:v>
      </x:c>
      <x:c r="W539" t="n">
        <x:f>ROUND((U539*55+V539*45)*IF(S539&lt;=5,1,IF(S539&lt;=10,0.95,IF(S539&lt;=20,0.85,0.70))),0)</x:f>
        <x:v>86</x:v>
      </x:c>
      <x:c r="X539" t="n">
        <x:v>79</x:v>
      </x:c>
      <x:c r="Y539" t="str">
        <x:v>GROW</x:v>
      </x:c>
      <x:c r="Z539" s="12" t="str">
        <x:v>Family + verified grassroots + straight-line geo only; transport not yet routed</x:v>
      </x:c>
      <x:c r="AA539" s="12"/>
      <x:c r="AB539" s="12"/>
      <x:c r="AC539" s="12"/>
      <x:c r="AD539" s="12"/>
      <x:c r="AE539" t="str">
        <x:v>Charlton Athletic Women</x:v>
      </x:c>
      <x:c r="AF539" s="45" t="n">
        <x:v>6.232054203730359</x:v>
      </x:c>
      <x:c r="AG539" t="str">
        <x:v>Dulwich Hamlet Women</x:v>
      </x:c>
      <x:c r="AH539" s="45" t="n">
        <x:v>10.160857886210545</x:v>
      </x:c>
      <x:c r="AI539" t="n">
        <x:v>65</x:v>
      </x:c>
      <x:c r="AJ539" t="str">
        <x:v>MEDIUM</x:v>
      </x:c>
    </x:row>
    <x:row r="540">
      <x:c r="A540" s="12" t="str">
        <x:v>E01001603</x:v>
      </x:c>
      <x:c r="B540" s="12" t="str">
        <x:v>Greenwich 031D</x:v>
      </x:c>
      <x:c r="C540" s="12" t="str">
        <x:v>Greenwich</x:v>
      </x:c>
      <x:c r="D540" s="44" t="n">
        <x:v>51.42765400590322</x:v>
      </x:c>
      <x:c r="E540" s="44" t="n">
        <x:v>0.05915384095467606</x:v>
      </x:c>
      <x:c r="F540" s="33" t="n">
        <x:v>742</x:v>
      </x:c>
      <x:c r="G540" s="33" t="n">
        <x:v>249</x:v>
      </x:c>
      <x:c r="H540" s="26" t="n">
        <x:v>0.33557951482479786</x:v>
      </x:c>
      <x:c r="I540" s="12" t="n">
        <x:v>4</x:v>
      </x:c>
      <x:c r="J540" s="12" t="n">
        <x:v>77</x:v>
      </x:c>
      <x:c r="K540" s="12"/>
      <x:c r="L540" s="12"/>
      <x:c r="M540" s="12" t="str">
        <x:f>IF(K540="", "", MAX(0,IF(K540&lt;=20,100,IF(K540&lt;=30,85,IF(K540&lt;=40,70,IF(K540&lt;=50,55,IF(K540&lt;=60,40,20)))))-MIN(L540*5,20)))</x:f>
      </x:c>
      <x:c r="N540" s="12"/>
      <x:c r="O540" s="12"/>
      <x:c r="P540" s="12" t="str">
        <x:f>IF(OR(H540="",J540="",M540=""),"",ROUND(PERCENTRANK.INC($H$2:$H$941,H540)*35+J540*0.35+M540*0.30,0))</x:f>
      </x:c>
      <x:c r="Q540" s="12" t="str">
        <x:f>IF(P540="","",IF(P540&gt;=80,"ATTACK",IF(P540&gt;=65,"GROW",IF(P540&gt;=50,"PARTNER","WATCH"))))</x:f>
      </x:c>
      <x:c r="R540" s="12" t="str">
        <x:f>IF(Q540="","",IF(Q540="ATTACK","Grassroots + family acquisition",IF(Q540="GROW","Test local campaign",IF(Q540="PARTNER","Organisation-first partnership","Low priority / validate"))))</x:f>
      </x:c>
      <x:c r="S540" s="45" t="n">
        <x:v>4.9888658768006096</x:v>
      </x:c>
      <x:c r="T540" t="str">
        <x:v>CORE</x:v>
      </x:c>
      <x:c r="U540" s="32" t="n">
        <x:f>PERCENTRANK.INC($G$2:$G$941,G540)</x:f>
        <x:v>0.766</x:v>
      </x:c>
      <x:c r="V540" s="32" t="n">
        <x:f>PERCENTRANK.INC($H$2:$H$941,H540)</x:f>
        <x:v>0.602</x:v>
      </x:c>
      <x:c r="W540" t="n">
        <x:f>ROUND((U540*55+V540*45)*IF(S540&lt;=5,1,IF(S540&lt;=10,0.95,IF(S540&lt;=20,0.85,0.70))),0)</x:f>
        <x:v>69</x:v>
      </x:c>
      <x:c r="X540" t="n">
        <x:v>73</x:v>
      </x:c>
      <x:c r="Y540" t="str">
        <x:v>GROW</x:v>
      </x:c>
      <x:c r="Z540" s="12" t="str">
        <x:v>Family + verified grassroots + straight-line geo only; transport not yet routed</x:v>
      </x:c>
      <x:c r="AA540" s="12"/>
      <x:c r="AB540" s="12"/>
      <x:c r="AC540" s="12"/>
      <x:c r="AD540" s="12"/>
      <x:c r="AE540" t="str">
        <x:v>Charlton Athletic Women</x:v>
      </x:c>
      <x:c r="AF540" s="45" t="n">
        <x:v>6.7238989481795715</x:v>
      </x:c>
      <x:c r="AG540" t="str">
        <x:v>Dulwich Hamlet Women</x:v>
      </x:c>
      <x:c r="AH540" s="45" t="n">
        <x:v>10.602711511222559</x:v>
      </x:c>
      <x:c r="AI540" t="n">
        <x:v>65</x:v>
      </x:c>
      <x:c r="AJ540" t="str">
        <x:v>MEDIUM</x:v>
      </x:c>
    </x:row>
    <x:row r="541">
      <x:c r="A541" s="12" t="str">
        <x:v>E01001596</x:v>
      </x:c>
      <x:c r="B541" s="12" t="str">
        <x:v>Greenwich 032A</x:v>
      </x:c>
      <x:c r="C541" s="12" t="str">
        <x:v>Greenwich</x:v>
      </x:c>
      <x:c r="D541" s="44" t="n">
        <x:v>51.42848485472877</x:v>
      </x:c>
      <x:c r="E541" s="44" t="n">
        <x:v>0.06571045585580039</x:v>
      </x:c>
      <x:c r="F541" s="33" t="n">
        <x:v>635</x:v>
      </x:c>
      <x:c r="G541" s="33" t="n">
        <x:v>230</x:v>
      </x:c>
      <x:c r="H541" s="26" t="n">
        <x:v>0.36220472440944884</x:v>
      </x:c>
      <x:c r="I541" s="12" t="n">
        <x:v>3</x:v>
      </x:c>
      <x:c r="J541" s="12" t="n">
        <x:v>78</x:v>
      </x:c>
      <x:c r="K541" s="12"/>
      <x:c r="L541" s="12"/>
      <x:c r="M541" s="12" t="str">
        <x:f>IF(K541="", "", MAX(0,IF(K541&lt;=20,100,IF(K541&lt;=30,85,IF(K541&lt;=40,70,IF(K541&lt;=50,55,IF(K541&lt;=60,40,20)))))-MIN(L541*5,20)))</x:f>
      </x:c>
      <x:c r="N541" s="12"/>
      <x:c r="O541" s="12"/>
      <x:c r="P541" s="12" t="str">
        <x:f>IF(OR(H541="",J541="",M541=""),"",ROUND(PERCENTRANK.INC($H$2:$H$941,H541)*35+J541*0.35+M541*0.30,0))</x:f>
      </x:c>
      <x:c r="Q541" s="12" t="str">
        <x:f>IF(P541="","",IF(P541&gt;=80,"ATTACK",IF(P541&gt;=65,"GROW",IF(P541&gt;=50,"PARTNER","WATCH"))))</x:f>
      </x:c>
      <x:c r="R541" s="12" t="str">
        <x:f>IF(Q541="","",IF(Q541="ATTACK","Grassroots + family acquisition",IF(Q541="GROW","Test local campaign",IF(Q541="PARTNER","Organisation-first partnership","Low priority / validate"))))</x:f>
      </x:c>
      <x:c r="S541" s="45" t="n">
        <x:v>5.335887237335738</x:v>
      </x:c>
      <x:c r="T541" t="str">
        <x:v>NEAR</x:v>
      </x:c>
      <x:c r="U541" s="32" t="n">
        <x:f>PERCENTRANK.INC($G$2:$G$941,G541)</x:f>
        <x:v>0.632</x:v>
      </x:c>
      <x:c r="V541" s="32" t="n">
        <x:f>PERCENTRANK.INC($H$2:$H$941,H541)</x:f>
        <x:v>0.75</x:v>
      </x:c>
      <x:c r="W541" t="n">
        <x:f>ROUND((U541*55+V541*45)*IF(S541&lt;=5,1,IF(S541&lt;=10,0.95,IF(S541&lt;=20,0.85,0.70))),0)</x:f>
        <x:v>65</x:v>
      </x:c>
      <x:c r="X541" t="n">
        <x:v>71</x:v>
      </x:c>
      <x:c r="Y541" t="str">
        <x:v>GROW</x:v>
      </x:c>
      <x:c r="Z541" s="12" t="str">
        <x:v>Family + verified grassroots + straight-line geo only; transport not yet routed</x:v>
      </x:c>
      <x:c r="AA541" s="12"/>
      <x:c r="AB541" s="12"/>
      <x:c r="AC541" s="12"/>
      <x:c r="AD541" s="12"/>
      <x:c r="AE541" t="str">
        <x:v>Charlton Athletic Women</x:v>
      </x:c>
      <x:c r="AF541" s="45" t="n">
        <x:v>6.757718735432021</x:v>
      </x:c>
      <x:c r="AG541" t="str">
        <x:v>Dulwich Hamlet Women</x:v>
      </x:c>
      <x:c r="AH541" s="45" t="n">
        <x:v>10.997914834994496</x:v>
      </x:c>
      <x:c r="AI541" t="n">
        <x:v>65</x:v>
      </x:c>
      <x:c r="AJ541" t="str">
        <x:v>MEDIUM</x:v>
      </x:c>
    </x:row>
    <x:row r="542">
      <x:c r="A542" s="12" t="str">
        <x:v>E01001599</x:v>
      </x:c>
      <x:c r="B542" s="12" t="str">
        <x:v>Greenwich 032B</x:v>
      </x:c>
      <x:c r="C542" s="12" t="str">
        <x:v>Greenwich</x:v>
      </x:c>
      <x:c r="D542" s="44" t="n">
        <x:v>51.43265684241632</x:v>
      </x:c>
      <x:c r="E542" s="44" t="n">
        <x:v>0.06258178305719858</x:v>
      </x:c>
      <x:c r="F542" s="33" t="n">
        <x:v>604</x:v>
      </x:c>
      <x:c r="G542" s="33" t="n">
        <x:v>232</x:v>
      </x:c>
      <x:c r="H542" s="26" t="n">
        <x:v>0.3841059602649007</x:v>
      </x:c>
      <x:c r="I542" s="12" t="n">
        <x:v>3</x:v>
      </x:c>
      <x:c r="J542" s="12" t="n">
        <x:v>63</x:v>
      </x:c>
      <x:c r="K542" s="12"/>
      <x:c r="L542" s="12"/>
      <x:c r="M542" s="12" t="str">
        <x:f>IF(K542="", "", MAX(0,IF(K542&lt;=20,100,IF(K542&lt;=30,85,IF(K542&lt;=40,70,IF(K542&lt;=50,55,IF(K542&lt;=60,40,20)))))-MIN(L542*5,20)))</x:f>
      </x:c>
      <x:c r="N542" s="12"/>
      <x:c r="O542" s="12"/>
      <x:c r="P542" s="12" t="str">
        <x:f>IF(OR(H542="",J542="",M542=""),"",ROUND(PERCENTRANK.INC($H$2:$H$941,H542)*35+J542*0.35+M542*0.30,0))</x:f>
      </x:c>
      <x:c r="Q542" s="12" t="str">
        <x:f>IF(P542="","",IF(P542&gt;=80,"ATTACK",IF(P542&gt;=65,"GROW",IF(P542&gt;=50,"PARTNER","WATCH"))))</x:f>
      </x:c>
      <x:c r="R542" s="12" t="str">
        <x:f>IF(Q542="","",IF(Q542="ATTACK","Grassroots + family acquisition",IF(Q542="GROW","Test local campaign",IF(Q542="PARTNER","Organisation-first partnership","Low priority / validate"))))</x:f>
      </x:c>
      <x:c r="S542" s="45" t="n">
        <x:v>5.5818574531854726</x:v>
      </x:c>
      <x:c r="T542" t="str">
        <x:v>NEAR</x:v>
      </x:c>
      <x:c r="U542" s="32" t="n">
        <x:f>PERCENTRANK.INC($G$2:$G$941,G542)</x:f>
        <x:v>0.648</x:v>
      </x:c>
      <x:c r="V542" s="32" t="n">
        <x:f>PERCENTRANK.INC($H$2:$H$941,H542)</x:f>
        <x:v>0.854</x:v>
      </x:c>
      <x:c r="W542" t="n">
        <x:f>ROUND((U542*55+V542*45)*IF(S542&lt;=5,1,IF(S542&lt;=10,0.95,IF(S542&lt;=20,0.85,0.70))),0)</x:f>
        <x:v>70</x:v>
      </x:c>
      <x:c r="X542" t="n">
        <x:v>67</x:v>
      </x:c>
      <x:c r="Y542" t="str">
        <x:v>GROW</x:v>
      </x:c>
      <x:c r="Z542" s="12" t="str">
        <x:v>Family + verified grassroots + straight-line geo only; transport not yet routed</x:v>
      </x:c>
      <x:c r="AA542" s="12"/>
      <x:c r="AB542" s="12"/>
      <x:c r="AC542" s="12"/>
      <x:c r="AD542" s="12"/>
      <x:c r="AE542" t="str">
        <x:v>Charlton Athletic Women</x:v>
      </x:c>
      <x:c r="AF542" s="45" t="n">
        <x:v>6.250259103216192</x:v>
      </x:c>
      <x:c r="AG542" t="str">
        <x:v>Dulwich Hamlet Women</x:v>
      </x:c>
      <x:c r="AH542" s="45" t="n">
        <x:v>10.645211805537988</x:v>
      </x:c>
      <x:c r="AI542" t="n">
        <x:v>65</x:v>
      </x:c>
      <x:c r="AJ542" t="str">
        <x:v>MEDIUM</x:v>
      </x:c>
    </x:row>
    <x:row r="543">
      <x:c r="A543" s="12" t="str">
        <x:v>E01001600</x:v>
      </x:c>
      <x:c r="B543" s="12" t="str">
        <x:v>Greenwich 032C</x:v>
      </x:c>
      <x:c r="C543" s="12" t="str">
        <x:v>Greenwich</x:v>
      </x:c>
      <x:c r="D543" s="44" t="n">
        <x:v>51.4353206639536</x:v>
      </x:c>
      <x:c r="E543" s="44" t="n">
        <x:v>0.06744881823459245</x:v>
      </x:c>
      <x:c r="F543" s="33" t="n">
        <x:v>641</x:v>
      </x:c>
      <x:c r="G543" s="33" t="n">
        <x:v>187</x:v>
      </x:c>
      <x:c r="H543" s="26" t="n">
        <x:v>0.2917316692667707</x:v>
      </x:c>
      <x:c r="I543" s="12" t="n">
        <x:v>2</x:v>
      </x:c>
      <x:c r="J543" s="12" t="n">
        <x:v>54</x:v>
      </x:c>
      <x:c r="K543" s="12"/>
      <x:c r="L543" s="12"/>
      <x:c r="M543" s="12" t="str">
        <x:f>IF(K543="", "", MAX(0,IF(K543&lt;=20,100,IF(K543&lt;=30,85,IF(K543&lt;=40,70,IF(K543&lt;=50,55,IF(K543&lt;=60,40,20)))))-MIN(L543*5,20)))</x:f>
      </x:c>
      <x:c r="N543" s="12"/>
      <x:c r="O543" s="12"/>
      <x:c r="P543" s="12" t="str">
        <x:f>IF(OR(H543="",J543="",M543=""),"",ROUND(PERCENTRANK.INC($H$2:$H$941,H543)*35+J543*0.35+M543*0.30,0))</x:f>
      </x:c>
      <x:c r="Q543" s="12" t="str">
        <x:f>IF(P543="","",IF(P543&gt;=80,"ATTACK",IF(P543&gt;=65,"GROW",IF(P543&gt;=50,"PARTNER","WATCH"))))</x:f>
      </x:c>
      <x:c r="R543" s="12" t="str">
        <x:f>IF(Q543="","",IF(Q543="ATTACK","Grassroots + family acquisition",IF(Q543="GROW","Test local campaign",IF(Q543="PARTNER","Organisation-first partnership","Low priority / validate"))))</x:f>
      </x:c>
      <x:c r="S543" s="45" t="n">
        <x:v>6.016990462957913</x:v>
      </x:c>
      <x:c r="T543" t="str">
        <x:v>NEAR</x:v>
      </x:c>
      <x:c r="U543" s="32" t="n">
        <x:f>PERCENTRANK.INC($G$2:$G$941,G543)</x:f>
        <x:v>0.29</x:v>
      </x:c>
      <x:c r="V543" s="32" t="n">
        <x:f>PERCENTRANK.INC($H$2:$H$941,H543)</x:f>
        <x:v>0.353</x:v>
      </x:c>
      <x:c r="W543" t="n">
        <x:f>ROUND((U543*55+V543*45)*IF(S543&lt;=5,1,IF(S543&lt;=10,0.95,IF(S543&lt;=20,0.85,0.70))),0)</x:f>
        <x:v>30</x:v>
      </x:c>
      <x:c r="X543" t="n">
        <x:v>41</x:v>
      </x:c>
      <x:c r="Y543" t="str">
        <x:v>WATCH</x:v>
      </x:c>
      <x:c r="Z543" s="12" t="str">
        <x:v>Family + verified grassroots + straight-line geo only; transport not yet routed</x:v>
      </x:c>
      <x:c r="AA543" s="12"/>
      <x:c r="AB543" s="12"/>
      <x:c r="AC543" s="12"/>
      <x:c r="AD543" s="12"/>
      <x:c r="AE543" t="str">
        <x:v>Charlton Athletic Women</x:v>
      </x:c>
      <x:c r="AF543" s="45" t="n">
        <x:v>6.07961147272223</x:v>
      </x:c>
      <x:c r="AG543" t="str">
        <x:v>Millwall Lionesses</x:v>
      </x:c>
      <x:c r="AH543" s="45" t="n">
        <x:v>10.847296790266482</x:v>
      </x:c>
      <x:c r="AI543" t="n">
        <x:v>65</x:v>
      </x:c>
      <x:c r="AJ543" t="str">
        <x:v>MEDIUM</x:v>
      </x:c>
    </x:row>
    <x:row r="544">
      <x:c r="A544" s="12" t="str">
        <x:v>E01001601</x:v>
      </x:c>
      <x:c r="B544" s="12" t="str">
        <x:v>Greenwich 032D</x:v>
      </x:c>
      <x:c r="C544" s="12" t="str">
        <x:v>Greenwich</x:v>
      </x:c>
      <x:c r="D544" s="44" t="n">
        <x:v>51.433372310735145</x:v>
      </x:c>
      <x:c r="E544" s="44" t="n">
        <x:v>0.07256451376894674</x:v>
      </x:c>
      <x:c r="F544" s="33" t="n">
        <x:v>564</x:v>
      </x:c>
      <x:c r="G544" s="33" t="n">
        <x:v>169</x:v>
      </x:c>
      <x:c r="H544" s="26" t="n">
        <x:v>0.299645390070922</x:v>
      </x:c>
      <x:c r="I544" s="12" t="n">
        <x:v>2</x:v>
      </x:c>
      <x:c r="J544" s="12" t="n">
        <x:v>54</x:v>
      </x:c>
      <x:c r="K544" s="12"/>
      <x:c r="L544" s="12"/>
      <x:c r="M544" s="12" t="str">
        <x:f>IF(K544="", "", MAX(0,IF(K544&lt;=20,100,IF(K544&lt;=30,85,IF(K544&lt;=40,70,IF(K544&lt;=50,55,IF(K544&lt;=60,40,20)))))-MIN(L544*5,20)))</x:f>
      </x:c>
      <x:c r="N544" s="12"/>
      <x:c r="O544" s="12"/>
      <x:c r="P544" s="12" t="str">
        <x:f>IF(OR(H544="",J544="",M544=""),"",ROUND(PERCENTRANK.INC($H$2:$H$941,H544)*35+J544*0.35+M544*0.30,0))</x:f>
      </x:c>
      <x:c r="Q544" s="12" t="str">
        <x:f>IF(P544="","",IF(P544&gt;=80,"ATTACK",IF(P544&gt;=65,"GROW",IF(P544&gt;=50,"PARTNER","WATCH"))))</x:f>
      </x:c>
      <x:c r="R544" s="12" t="str">
        <x:f>IF(Q544="","",IF(Q544="ATTACK","Grassroots + family acquisition",IF(Q544="GROW","Test local campaign",IF(Q544="PARTNER","Organisation-first partnership","Low priority / validate"))))</x:f>
      </x:c>
      <x:c r="S544" s="45" t="n">
        <x:v>6.057154433536456</x:v>
      </x:c>
      <x:c r="T544" t="str">
        <x:v>NEAR</x:v>
      </x:c>
      <x:c r="U544" s="32" t="n">
        <x:f>PERCENTRANK.INC($G$2:$G$941,G544)</x:f>
        <x:v>0.169</x:v>
      </x:c>
      <x:c r="V544" s="32" t="n">
        <x:f>PERCENTRANK.INC($H$2:$H$941,H544)</x:f>
        <x:v>0.39</x:v>
      </x:c>
      <x:c r="W544" t="n">
        <x:f>ROUND((U544*55+V544*45)*IF(S544&lt;=5,1,IF(S544&lt;=10,0.95,IF(S544&lt;=20,0.85,0.70))),0)</x:f>
        <x:v>26</x:v>
      </x:c>
      <x:c r="X544" t="n">
        <x:v>38</x:v>
      </x:c>
      <x:c r="Y544" t="str">
        <x:v>WATCH</x:v>
      </x:c>
      <x:c r="Z544" s="12" t="str">
        <x:v>Family + verified grassroots + straight-line geo only; transport not yet routed</x:v>
      </x:c>
      <x:c r="AA544" s="12"/>
      <x:c r="AB544" s="12"/>
      <x:c r="AC544" s="12"/>
      <x:c r="AD544" s="12"/>
      <x:c r="AE544" t="str">
        <x:v>Charlton Athletic Women</x:v>
      </x:c>
      <x:c r="AF544" s="45" t="n">
        <x:v>6.413464158004473</x:v>
      </x:c>
      <x:c r="AG544" t="str">
        <x:v>Millwall Lionesses</x:v>
      </x:c>
      <x:c r="AH544" s="45" t="n">
        <x:v>11.248870210515323</x:v>
      </x:c>
      <x:c r="AI544" t="n">
        <x:v>65</x:v>
      </x:c>
      <x:c r="AJ544" t="str">
        <x:v>MEDIUM</x:v>
      </x:c>
    </x:row>
    <x:row r="545">
      <x:c r="A545" s="12" t="str">
        <x:v>E01001669</x:v>
      </x:c>
      <x:c r="B545" s="12" t="str">
        <x:v>Greenwich 033A</x:v>
      </x:c>
      <x:c r="C545" s="12" t="str">
        <x:v>Greenwich</x:v>
      </x:c>
      <x:c r="D545" s="44" t="n">
        <x:v>51.48055093826548</x:v>
      </x:c>
      <x:c r="E545" s="44" t="n">
        <x:v>0.10184956872146378</x:v>
      </x:c>
      <x:c r="F545" s="33" t="n">
        <x:v>917</x:v>
      </x:c>
      <x:c r="G545" s="33" t="n">
        <x:v>394</x:v>
      </x:c>
      <x:c r="H545" s="26" t="n">
        <x:v>0.4296619411123228</x:v>
      </x:c>
      <x:c r="I545" s="12" t="n">
        <x:v>0</x:v>
      </x:c>
      <x:c r="J545" s="12" t="n">
        <x:v>8</x:v>
      </x:c>
      <x:c r="K545" s="12"/>
      <x:c r="L545" s="12"/>
      <x:c r="M545" s="12" t="str">
        <x:f>IF(K545="", "", MAX(0,IF(K545&lt;=20,100,IF(K545&lt;=30,85,IF(K545&lt;=40,70,IF(K545&lt;=50,55,IF(K545&lt;=60,40,20)))))-MIN(L545*5,20)))</x:f>
      </x:c>
      <x:c r="N545" s="12"/>
      <x:c r="O545" s="12"/>
      <x:c r="P545" s="12" t="str">
        <x:f>IF(OR(H545="",J545="",M545=""),"",ROUND(PERCENTRANK.INC($H$2:$H$941,H545)*35+J545*0.35+M545*0.30,0))</x:f>
      </x:c>
      <x:c r="Q545" s="12" t="str">
        <x:f>IF(P545="","",IF(P545&gt;=80,"ATTACK",IF(P545&gt;=65,"GROW",IF(P545&gt;=50,"PARTNER","WATCH"))))</x:f>
      </x:c>
      <x:c r="R545" s="12" t="str">
        <x:f>IF(Q545="","",IF(Q545="ATTACK","Grassroots + family acquisition",IF(Q545="GROW","Test local campaign",IF(Q545="PARTNER","Organisation-first partnership","Low priority / validate"))))</x:f>
      </x:c>
      <x:c r="S545" s="45" t="n">
        <x:v>11.541510910464131</x:v>
      </x:c>
      <x:c r="T545" t="str">
        <x:v>EXTENDED</x:v>
      </x:c>
      <x:c r="U545" s="32" t="n">
        <x:f>PERCENTRANK.INC($G$2:$G$941,G545)</x:f>
        <x:v>0.993</x:v>
      </x:c>
      <x:c r="V545" s="32" t="n">
        <x:f>PERCENTRANK.INC($H$2:$H$941,H545)</x:f>
        <x:v>0.958</x:v>
      </x:c>
      <x:c r="W545" t="n">
        <x:f>ROUND((U545*55+V545*45)*IF(S545&lt;=5,1,IF(S545&lt;=10,0.95,IF(S545&lt;=20,0.85,0.70))),0)</x:f>
        <x:v>83</x:v>
      </x:c>
      <x:c r="X545" t="n">
        <x:v>49</x:v>
      </x:c>
      <x:c r="Y545" t="str">
        <x:v>WATCH</x:v>
      </x:c>
      <x:c r="Z545" s="12" t="str">
        <x:v>Family + verified grassroots + straight-line geo only; transport not yet routed</x:v>
      </x:c>
      <x:c r="AA545" s="12"/>
      <x:c r="AB545" s="12"/>
      <x:c r="AC545" s="12"/>
      <x:c r="AD545" s="12"/>
      <x:c r="AE545" t="str">
        <x:v>Charlton Athletic Women</x:v>
      </x:c>
      <x:c r="AF545" s="45" t="n">
        <x:v>4.595664576838568</x:v>
      </x:c>
      <x:c r="AG545" t="str">
        <x:v>Millwall Lionesses</x:v>
      </x:c>
      <x:c r="AH545" s="45" t="n">
        <x:v>10.239493295705405</x:v>
      </x:c>
      <x:c r="AI545" t="n">
        <x:v>76</x:v>
      </x:c>
      <x:c r="AJ545" t="str">
        <x:v>HIGH</x:v>
      </x:c>
    </x:row>
    <x:row r="546">
      <x:c r="A546" s="12" t="str">
        <x:v>E01001671</x:v>
      </x:c>
      <x:c r="B546" s="12" t="str">
        <x:v>Greenwich 033B</x:v>
      </x:c>
      <x:c r="C546" s="12" t="str">
        <x:v>Greenwich</x:v>
      </x:c>
      <x:c r="D546" s="44" t="n">
        <x:v>51.47920160455581</x:v>
      </x:c>
      <x:c r="E546" s="44" t="n">
        <x:v>0.09230702880425713</x:v>
      </x:c>
      <x:c r="F546" s="33" t="n">
        <x:v>684</x:v>
      </x:c>
      <x:c r="G546" s="33" t="n">
        <x:v>251</x:v>
      </x:c>
      <x:c r="H546" s="26" t="n">
        <x:v>0.3669590643274854</x:v>
      </x:c>
      <x:c r="I546" s="12" t="n">
        <x:v>0</x:v>
      </x:c>
      <x:c r="J546" s="12" t="n">
        <x:v>8</x:v>
      </x:c>
      <x:c r="K546" s="12"/>
      <x:c r="L546" s="12"/>
      <x:c r="M546" s="12" t="str">
        <x:f>IF(K546="", "", MAX(0,IF(K546&lt;=20,100,IF(K546&lt;=30,85,IF(K546&lt;=40,70,IF(K546&lt;=50,55,IF(K546&lt;=60,40,20)))))-MIN(L546*5,20)))</x:f>
      </x:c>
      <x:c r="N546" s="12"/>
      <x:c r="O546" s="12"/>
      <x:c r="P546" s="12" t="str">
        <x:f>IF(OR(H546="",J546="",M546=""),"",ROUND(PERCENTRANK.INC($H$2:$H$941,H546)*35+J546*0.35+M546*0.30,0))</x:f>
      </x:c>
      <x:c r="Q546" s="12" t="str">
        <x:f>IF(P546="","",IF(P546&gt;=80,"ATTACK",IF(P546&gt;=65,"GROW",IF(P546&gt;=50,"PARTNER","WATCH"))))</x:f>
      </x:c>
      <x:c r="R546" s="12" t="str">
        <x:f>IF(Q546="","",IF(Q546="ATTACK","Grassroots + family acquisition",IF(Q546="GROW","Test local campaign",IF(Q546="PARTNER","Organisation-first partnership","Low priority / validate"))))</x:f>
      </x:c>
      <x:c r="S546" s="45" t="n">
        <x:v>11.088859907831901</x:v>
      </x:c>
      <x:c r="T546" t="str">
        <x:v>EXTENDED</x:v>
      </x:c>
      <x:c r="U546" s="32" t="n">
        <x:f>PERCENTRANK.INC($G$2:$G$941,G546)</x:f>
        <x:v>0.79</x:v>
      </x:c>
      <x:c r="V546" s="32" t="n">
        <x:f>PERCENTRANK.INC($H$2:$H$941,H546)</x:f>
        <x:v>0.782</x:v>
      </x:c>
      <x:c r="W546" t="n">
        <x:f>ROUND((U546*55+V546*45)*IF(S546&lt;=5,1,IF(S546&lt;=10,0.95,IF(S546&lt;=20,0.85,0.70))),0)</x:f>
        <x:v>67</x:v>
      </x:c>
      <x:c r="X546" t="n">
        <x:v>41</x:v>
      </x:c>
      <x:c r="Y546" t="str">
        <x:v>WATCH</x:v>
      </x:c>
      <x:c r="Z546" s="12" t="str">
        <x:v>Family + verified grassroots + straight-line geo only; transport not yet routed</x:v>
      </x:c>
      <x:c r="AA546" s="12"/>
      <x:c r="AB546" s="12"/>
      <x:c r="AC546" s="12"/>
      <x:c r="AD546" s="12"/>
      <x:c r="AE546" t="str">
        <x:v>Charlton Athletic Women</x:v>
      </x:c>
      <x:c r="AF546" s="45" t="n">
        <x:v>3.97021106894266</x:v>
      </x:c>
      <x:c r="AG546" t="str">
        <x:v>Millwall Lionesses</x:v>
      </x:c>
      <x:c r="AH546" s="45" t="n">
        <x:v>9.652342207660613</x:v>
      </x:c>
      <x:c r="AI546" t="n">
        <x:v>81</x:v>
      </x:c>
      <x:c r="AJ546" t="str">
        <x:v>HIGH</x:v>
      </x:c>
    </x:row>
    <x:row r="547">
      <x:c r="A547" s="12" t="str">
        <x:v>E01001676</x:v>
      </x:c>
      <x:c r="B547" s="12" t="str">
        <x:v>Greenwich 033C</x:v>
      </x:c>
      <x:c r="C547" s="12" t="str">
        <x:v>Greenwich</x:v>
      </x:c>
      <x:c r="D547" s="44" t="n">
        <x:v>51.48518755978743</x:v>
      </x:c>
      <x:c r="E547" s="44" t="n">
        <x:v>0.10212602118828153</x:v>
      </x:c>
      <x:c r="F547" s="33" t="n">
        <x:v>670</x:v>
      </x:c>
      <x:c r="G547" s="33" t="n">
        <x:v>257</x:v>
      </x:c>
      <x:c r="H547" s="26" t="n">
        <x:v>0.3835820895522388</x:v>
      </x:c>
      <x:c r="I547" s="12" t="n">
        <x:v>0</x:v>
      </x:c>
      <x:c r="J547" s="12" t="n">
        <x:v>8</x:v>
      </x:c>
      <x:c r="K547" s="12"/>
      <x:c r="L547" s="12"/>
      <x:c r="M547" s="12" t="str">
        <x:f>IF(K547="", "", MAX(0,IF(K547&lt;=20,100,IF(K547&lt;=30,85,IF(K547&lt;=40,70,IF(K547&lt;=50,55,IF(K547&lt;=60,40,20)))))-MIN(L547*5,20)))</x:f>
      </x:c>
      <x:c r="N547" s="12"/>
      <x:c r="O547" s="12"/>
      <x:c r="P547" s="12" t="str">
        <x:f>IF(OR(H547="",J547="",M547=""),"",ROUND(PERCENTRANK.INC($H$2:$H$941,H547)*35+J547*0.35+M547*0.30,0))</x:f>
      </x:c>
      <x:c r="Q547" s="12" t="str">
        <x:f>IF(P547="","",IF(P547&gt;=80,"ATTACK",IF(P547&gt;=65,"GROW",IF(P547&gt;=50,"PARTNER","WATCH"))))</x:f>
      </x:c>
      <x:c r="R547" s="12" t="str">
        <x:f>IF(Q547="","",IF(Q547="ATTACK","Grassroots + family acquisition",IF(Q547="GROW","Test local campaign",IF(Q547="PARTNER","Organisation-first partnership","Low priority / validate"))))</x:f>
      </x:c>
      <x:c r="S547" s="45" t="n">
        <x:v>11.998426400793612</x:v>
      </x:c>
      <x:c r="T547" t="str">
        <x:v>EXTENDED</x:v>
      </x:c>
      <x:c r="U547" s="32" t="n">
        <x:f>PERCENTRANK.INC($G$2:$G$941,G547)</x:f>
        <x:v>0.816</x:v>
      </x:c>
      <x:c r="V547" s="32" t="n">
        <x:f>PERCENTRANK.INC($H$2:$H$941,H547)</x:f>
        <x:v>0.849</x:v>
      </x:c>
      <x:c r="W547" t="n">
        <x:f>ROUND((U547*55+V547*45)*IF(S547&lt;=5,1,IF(S547&lt;=10,0.95,IF(S547&lt;=20,0.85,0.70))),0)</x:f>
        <x:v>71</x:v>
      </x:c>
      <x:c r="X547" t="n">
        <x:v>43</x:v>
      </x:c>
      <x:c r="Y547" t="str">
        <x:v>WATCH</x:v>
      </x:c>
      <x:c r="Z547" s="12" t="str">
        <x:v>Family + verified grassroots + straight-line geo only; transport not yet routed</x:v>
      </x:c>
      <x:c r="AA547" s="12"/>
      <x:c r="AB547" s="12"/>
      <x:c r="AC547" s="12"/>
      <x:c r="AD547" s="12"/>
      <x:c r="AE547" t="str">
        <x:v>Charlton Athletic Women</x:v>
      </x:c>
      <x:c r="AF547" s="45" t="n">
        <x:v>4.570309602784243</x:v>
      </x:c>
      <x:c r="AG547" t="str">
        <x:v>Millwall Lionesses</x:v>
      </x:c>
      <x:c r="AH547" s="45" t="n">
        <x:v>10.126388239894055</x:v>
      </x:c>
      <x:c r="AI547" t="n">
        <x:v>76</x:v>
      </x:c>
      <x:c r="AJ547" t="str">
        <x:v>HIGH</x:v>
      </x:c>
    </x:row>
    <x:row r="548">
      <x:c r="A548" s="12" t="str">
        <x:v>E01032567</x:v>
      </x:c>
      <x:c r="B548" s="12" t="str">
        <x:v>Greenwich 033D</x:v>
      </x:c>
      <x:c r="C548" s="12" t="str">
        <x:v>Greenwich</x:v>
      </x:c>
      <x:c r="D548" s="44" t="n">
        <x:v>51.47757308620792</x:v>
      </x:c>
      <x:c r="E548" s="44" t="n">
        <x:v>0.10590335658234531</x:v>
      </x:c>
      <x:c r="F548" s="33" t="n">
        <x:v>600</x:v>
      </x:c>
      <x:c r="G548" s="33" t="n">
        <x:v>181</x:v>
      </x:c>
      <x:c r="H548" s="26" t="n">
        <x:v>0.3016666666666667</x:v>
      </x:c>
      <x:c r="I548" s="12" t="n">
        <x:v>0</x:v>
      </x:c>
      <x:c r="J548" s="12" t="n">
        <x:v>8</x:v>
      </x:c>
      <x:c r="K548" s="12"/>
      <x:c r="L548" s="12"/>
      <x:c r="M548" s="12" t="str">
        <x:f>IF(K548="", "", MAX(0,IF(K548&lt;=20,100,IF(K548&lt;=30,85,IF(K548&lt;=40,70,IF(K548&lt;=50,55,IF(K548&lt;=60,40,20)))))-MIN(L548*5,20)))</x:f>
      </x:c>
      <x:c r="N548" s="12"/>
      <x:c r="O548" s="12"/>
      <x:c r="P548" s="12" t="str">
        <x:f>IF(OR(H548="",J548="",M548=""),"",ROUND(PERCENTRANK.INC($H$2:$H$941,H548)*35+J548*0.35+M548*0.30,0))</x:f>
      </x:c>
      <x:c r="Q548" s="12" t="str">
        <x:f>IF(P548="","",IF(P548&gt;=80,"ATTACK",IF(P548&gt;=65,"GROW",IF(P548&gt;=50,"PARTNER","WATCH"))))</x:f>
      </x:c>
      <x:c r="R548" s="12" t="str">
        <x:f>IF(Q548="","",IF(Q548="ATTACK","Grassroots + family acquisition",IF(Q548="GROW","Test local campaign",IF(Q548="PARTNER","Organisation-first partnership","Low priority / validate"))))</x:f>
      </x:c>
      <x:c r="S548" s="45" t="n">
        <x:v>11.405251495758003</x:v>
      </x:c>
      <x:c r="T548" t="str">
        <x:v>EXTENDED</x:v>
      </x:c>
      <x:c r="U548" s="32" t="n">
        <x:f>PERCENTRANK.INC($G$2:$G$941,G548)</x:f>
        <x:v>0.23</x:v>
      </x:c>
      <x:c r="V548" s="32" t="n">
        <x:f>PERCENTRANK.INC($H$2:$H$941,H548)</x:f>
        <x:v>0.403</x:v>
      </x:c>
      <x:c r="W548" t="n">
        <x:f>ROUND((U548*55+V548*45)*IF(S548&lt;=5,1,IF(S548&lt;=10,0.95,IF(S548&lt;=20,0.85,0.70))),0)</x:f>
        <x:v>26</x:v>
      </x:c>
      <x:c r="X548" t="n">
        <x:v>18</x:v>
      </x:c>
      <x:c r="Y548" t="str">
        <x:v>WATCH</x:v>
      </x:c>
      <x:c r="Z548" s="12" t="str">
        <x:v>Family + verified grassroots + straight-line geo only; transport not yet routed</x:v>
      </x:c>
      <x:c r="AA548" s="12"/>
      <x:c r="AB548" s="12"/>
      <x:c r="AC548" s="12"/>
      <x:c r="AD548" s="12"/>
      <x:c r="AE548" t="str">
        <x:v>Charlton Athletic Women</x:v>
      </x:c>
      <x:c r="AF548" s="45" t="n">
        <x:v>4.928987155678438</x:v>
      </x:c>
      <x:c r="AG548" t="str">
        <x:v>Millwall Lionesses</x:v>
      </x:c>
      <x:c r="AH548" s="45" t="n">
        <x:v>10.604185505662967</x:v>
      </x:c>
      <x:c r="AI548" t="n">
        <x:v>76</x:v>
      </x:c>
      <x:c r="AJ548" t="str">
        <x:v>HIGH</x:v>
      </x:c>
    </x:row>
    <x:row r="549">
      <x:c r="A549" s="12" t="str">
        <x:v>E01001656</x:v>
      </x:c>
      <x:c r="B549" s="12" t="str">
        <x:v>Greenwich 034A</x:v>
      </x:c>
      <x:c r="C549" s="12" t="str">
        <x:v>Greenwich</x:v>
      </x:c>
      <x:c r="D549" s="44" t="n">
        <x:v>51.463050504058266</x:v>
      </x:c>
      <x:c r="E549" s="44" t="n">
        <x:v>0.018867014402567408</x:v>
      </x:c>
      <x:c r="F549" s="33" t="n">
        <x:v>587</x:v>
      </x:c>
      <x:c r="G549" s="33" t="n">
        <x:v>188</x:v>
      </x:c>
      <x:c r="H549" s="26" t="n">
        <x:v>0.3202725724020443</x:v>
      </x:c>
      <x:c r="I549" s="12" t="n">
        <x:v>1</x:v>
      </x:c>
      <x:c r="J549" s="12" t="n">
        <x:v>44</x:v>
      </x:c>
      <x:c r="K549" s="12"/>
      <x:c r="L549" s="12"/>
      <x:c r="M549" s="12" t="str">
        <x:f>IF(K549="", "", MAX(0,IF(K549&lt;=20,100,IF(K549&lt;=30,85,IF(K549&lt;=40,70,IF(K549&lt;=50,55,IF(K549&lt;=60,40,20)))))-MIN(L549*5,20)))</x:f>
      </x:c>
      <x:c r="N549" s="12"/>
      <x:c r="O549" s="12"/>
      <x:c r="P549" s="12" t="str">
        <x:f>IF(OR(H549="",J549="",M549=""),"",ROUND(PERCENTRANK.INC($H$2:$H$941,H549)*35+J549*0.35+M549*0.30,0))</x:f>
      </x:c>
      <x:c r="Q549" s="12" t="str">
        <x:f>IF(P549="","",IF(P549&gt;=80,"ATTACK",IF(P549&gt;=65,"GROW",IF(P549&gt;=50,"PARTNER","WATCH"))))</x:f>
      </x:c>
      <x:c r="R549" s="12" t="str">
        <x:f>IF(Q549="","",IF(Q549="ATTACK","Grassroots + family acquisition",IF(Q549="GROW","Test local campaign",IF(Q549="PARTNER","Organisation-first partnership","Low priority / validate"))))</x:f>
      </x:c>
      <x:c r="S549" s="45" t="n">
        <x:v>8.013842192725289</x:v>
      </x:c>
      <x:c r="T549" t="str">
        <x:v>NEAR</x:v>
      </x:c>
      <x:c r="U549" s="32" t="n">
        <x:f>PERCENTRANK.INC($G$2:$G$941,G549)</x:f>
        <x:v>0.303</x:v>
      </x:c>
      <x:c r="V549" s="32" t="n">
        <x:f>PERCENTRANK.INC($H$2:$H$941,H549)</x:f>
        <x:v>0.512</x:v>
      </x:c>
      <x:c r="W549" t="n">
        <x:f>ROUND((U549*55+V549*45)*IF(S549&lt;=5,1,IF(S549&lt;=10,0.95,IF(S549&lt;=20,0.85,0.70))),0)</x:f>
        <x:v>38</x:v>
      </x:c>
      <x:c r="X549" t="n">
        <x:v>41</x:v>
      </x:c>
      <x:c r="Y549" t="str">
        <x:v>WATCH</x:v>
      </x:c>
      <x:c r="Z549" s="12" t="str">
        <x:v>Family + verified grassroots + straight-line geo only; transport not yet routed</x:v>
      </x:c>
      <x:c r="AA549" s="12"/>
      <x:c r="AB549" s="12"/>
      <x:c r="AC549" s="12"/>
      <x:c r="AD549" s="12"/>
      <x:c r="AE549" t="str">
        <x:v>Charlton Athletic Women</x:v>
      </x:c>
      <x:c r="AF549" s="45" t="n">
        <x:v>2.8589929472627964</x:v>
      </x:c>
      <x:c r="AG549" t="str">
        <x:v>Millwall Lionesses</x:v>
      </x:c>
      <x:c r="AH549" s="45" t="n">
        <x:v>6.302217846901363</x:v>
      </x:c>
      <x:c r="AI549" t="n">
        <x:v>92</x:v>
      </x:c>
      <x:c r="AJ549" t="str">
        <x:v>HIGH</x:v>
      </x:c>
    </x:row>
    <x:row r="550">
      <x:c r="A550" s="12" t="str">
        <x:v>E01001657</x:v>
      </x:c>
      <x:c r="B550" s="12" t="str">
        <x:v>Greenwich 034B</x:v>
      </x:c>
      <x:c r="C550" s="12" t="str">
        <x:v>Greenwich</x:v>
      </x:c>
      <x:c r="D550" s="44" t="n">
        <x:v>51.458776907353915</x:v>
      </x:c>
      <x:c r="E550" s="44" t="n">
        <x:v>0.013293955179048871</x:v>
      </x:c>
      <x:c r="F550" s="33" t="n">
        <x:v>704</x:v>
      </x:c>
      <x:c r="G550" s="33" t="n">
        <x:v>201</x:v>
      </x:c>
      <x:c r="H550" s="26" t="n">
        <x:v>0.28551136363636365</x:v>
      </x:c>
      <x:c r="I550" s="12" t="n">
        <x:v>1</x:v>
      </x:c>
      <x:c r="J550" s="12" t="n">
        <x:v>53</x:v>
      </x:c>
      <x:c r="K550" s="12"/>
      <x:c r="L550" s="12"/>
      <x:c r="M550" s="12" t="str">
        <x:f>IF(K550="", "", MAX(0,IF(K550&lt;=20,100,IF(K550&lt;=30,85,IF(K550&lt;=40,70,IF(K550&lt;=50,55,IF(K550&lt;=60,40,20)))))-MIN(L550*5,20)))</x:f>
      </x:c>
      <x:c r="N550" s="12"/>
      <x:c r="O550" s="12"/>
      <x:c r="P550" s="12" t="str">
        <x:f>IF(OR(H550="",J550="",M550=""),"",ROUND(PERCENTRANK.INC($H$2:$H$941,H550)*35+J550*0.35+M550*0.30,0))</x:f>
      </x:c>
      <x:c r="Q550" s="12" t="str">
        <x:f>IF(P550="","",IF(P550&gt;=80,"ATTACK",IF(P550&gt;=65,"GROW",IF(P550&gt;=50,"PARTNER","WATCH"))))</x:f>
      </x:c>
      <x:c r="R550" s="12" t="str">
        <x:f>IF(Q550="","",IF(Q550="ATTACK","Grassroots + family acquisition",IF(Q550="GROW","Test local campaign",IF(Q550="PARTNER","Organisation-first partnership","Low priority / validate"))))</x:f>
      </x:c>
      <x:c r="S550" s="45" t="n">
        <x:v>7.5444534407669535</x:v>
      </x:c>
      <x:c r="T550" t="str">
        <x:v>NEAR</x:v>
      </x:c>
      <x:c r="U550" s="32" t="n">
        <x:f>PERCENTRANK.INC($G$2:$G$941,G550)</x:f>
        <x:v>0.396</x:v>
      </x:c>
      <x:c r="V550" s="32" t="n">
        <x:f>PERCENTRANK.INC($H$2:$H$941,H550)</x:f>
        <x:v>0.319</x:v>
      </x:c>
      <x:c r="W550" t="n">
        <x:f>ROUND((U550*55+V550*45)*IF(S550&lt;=5,1,IF(S550&lt;=10,0.95,IF(S550&lt;=20,0.85,0.70))),0)</x:f>
        <x:v>34</x:v>
      </x:c>
      <x:c r="X550" t="n">
        <x:v>43</x:v>
      </x:c>
      <x:c r="Y550" t="str">
        <x:v>WATCH</x:v>
      </x:c>
      <x:c r="Z550" s="12" t="str">
        <x:v>Family + verified grassroots + straight-line geo only; transport not yet routed</x:v>
      </x:c>
      <x:c r="AA550" s="12"/>
      <x:c r="AB550" s="12"/>
      <x:c r="AC550" s="12"/>
      <x:c r="AD550" s="12"/>
      <x:c r="AE550" t="str">
        <x:v>Charlton Athletic Women</x:v>
      </x:c>
      <x:c r="AF550" s="45" t="n">
        <x:v>3.455504233543998</x:v>
      </x:c>
      <x:c r="AG550" t="str">
        <x:v>Millwall Lionesses</x:v>
      </x:c>
      <x:c r="AH550" s="45" t="n">
        <x:v>6.441431824169523</x:v>
      </x:c>
      <x:c r="AI550" t="n">
        <x:v>81</x:v>
      </x:c>
      <x:c r="AJ550" t="str">
        <x:v>HIGH</x:v>
      </x:c>
    </x:row>
    <x:row r="551">
      <x:c r="A551" s="12" t="str">
        <x:v>E01001658</x:v>
      </x:c>
      <x:c r="B551" s="12" t="str">
        <x:v>Greenwich 034C</x:v>
      </x:c>
      <x:c r="C551" s="12" t="str">
        <x:v>Greenwich</x:v>
      </x:c>
      <x:c r="D551" s="44" t="n">
        <x:v>51.45543963064661</x:v>
      </x:c>
      <x:c r="E551" s="44" t="n">
        <x:v>0.02170332169395566</x:v>
      </x:c>
      <x:c r="F551" s="33" t="n">
        <x:v>729</x:v>
      </x:c>
      <x:c r="G551" s="33" t="n">
        <x:v>216</x:v>
      </x:c>
      <x:c r="H551" s="26" t="n">
        <x:v>0.2962962962962963</x:v>
      </x:c>
      <x:c r="I551" s="12" t="n">
        <x:v>1</x:v>
      </x:c>
      <x:c r="J551" s="12" t="n">
        <x:v>53</x:v>
      </x:c>
      <x:c r="K551" s="12"/>
      <x:c r="L551" s="12"/>
      <x:c r="M551" s="12" t="str">
        <x:f>IF(K551="", "", MAX(0,IF(K551&lt;=20,100,IF(K551&lt;=30,85,IF(K551&lt;=40,70,IF(K551&lt;=50,55,IF(K551&lt;=60,40,20)))))-MIN(L551*5,20)))</x:f>
      </x:c>
      <x:c r="N551" s="12"/>
      <x:c r="O551" s="12"/>
      <x:c r="P551" s="12" t="str">
        <x:f>IF(OR(H551="",J551="",M551=""),"",ROUND(PERCENTRANK.INC($H$2:$H$941,H551)*35+J551*0.35+M551*0.30,0))</x:f>
      </x:c>
      <x:c r="Q551" s="12" t="str">
        <x:f>IF(P551="","",IF(P551&gt;=80,"ATTACK",IF(P551&gt;=65,"GROW",IF(P551&gt;=50,"PARTNER","WATCH"))))</x:f>
      </x:c>
      <x:c r="R551" s="12" t="str">
        <x:f>IF(Q551="","",IF(Q551="ATTACK","Grassroots + family acquisition",IF(Q551="GROW","Test local campaign",IF(Q551="PARTNER","Organisation-first partnership","Low priority / validate"))))</x:f>
      </x:c>
      <x:c r="S551" s="45" t="n">
        <x:v>7.172495424090886</x:v>
      </x:c>
      <x:c r="T551" t="str">
        <x:v>NEAR</x:v>
      </x:c>
      <x:c r="U551" s="32" t="n">
        <x:f>PERCENTRANK.INC($G$2:$G$941,G551)</x:f>
        <x:v>0.523</x:v>
      </x:c>
      <x:c r="V551" s="32" t="n">
        <x:f>PERCENTRANK.INC($H$2:$H$941,H551)</x:f>
        <x:v>0.374</x:v>
      </x:c>
      <x:c r="W551" t="n">
        <x:f>ROUND((U551*55+V551*45)*IF(S551&lt;=5,1,IF(S551&lt;=10,0.95,IF(S551&lt;=20,0.85,0.70))),0)</x:f>
        <x:v>43</x:v>
      </x:c>
      <x:c r="X551" t="n">
        <x:v>48</x:v>
      </x:c>
      <x:c r="Y551" t="str">
        <x:v>WATCH</x:v>
      </x:c>
      <x:c r="Z551" s="12" t="str">
        <x:v>Family + verified grassroots + straight-line geo only; transport not yet routed</x:v>
      </x:c>
      <x:c r="AA551" s="12"/>
      <x:c r="AB551" s="12"/>
      <x:c r="AC551" s="12"/>
      <x:c r="AD551" s="12"/>
      <x:c r="AE551" t="str">
        <x:v>Charlton Athletic Women</x:v>
      </x:c>
      <x:c r="AF551" s="45" t="n">
        <x:v>3.5851172923114287</x:v>
      </x:c>
      <x:c r="AG551" t="str">
        <x:v>Millwall Lionesses</x:v>
      </x:c>
      <x:c r="AH551" s="45" t="n">
        <x:v>7.0849410024062305</x:v>
      </x:c>
      <x:c r="AI551" t="n">
        <x:v>81</x:v>
      </x:c>
      <x:c r="AJ551" t="str">
        <x:v>HIGH</x:v>
      </x:c>
    </x:row>
    <x:row r="552">
      <x:c r="A552" s="12" t="str">
        <x:v>E01001659</x:v>
      </x:c>
      <x:c r="B552" s="12" t="str">
        <x:v>Greenwich 034D</x:v>
      </x:c>
      <x:c r="C552" s="12" t="str">
        <x:v>Greenwich</x:v>
      </x:c>
      <x:c r="D552" s="44" t="n">
        <x:v>51.4521734179401</x:v>
      </x:c>
      <x:c r="E552" s="44" t="n">
        <x:v>0.02603661061874749</x:v>
      </x:c>
      <x:c r="F552" s="33" t="n">
        <x:v>553</x:v>
      </x:c>
      <x:c r="G552" s="33" t="n">
        <x:v>191</x:v>
      </x:c>
      <x:c r="H552" s="26" t="n">
        <x:v>0.3453887884267631</x:v>
      </x:c>
      <x:c r="I552" s="12" t="n">
        <x:v>2</x:v>
      </x:c>
      <x:c r="J552" s="12" t="n">
        <x:v>53</x:v>
      </x:c>
      <x:c r="K552" s="12"/>
      <x:c r="L552" s="12"/>
      <x:c r="M552" s="12" t="str">
        <x:f>IF(K552="", "", MAX(0,IF(K552&lt;=20,100,IF(K552&lt;=30,85,IF(K552&lt;=40,70,IF(K552&lt;=50,55,IF(K552&lt;=60,40,20)))))-MIN(L552*5,20)))</x:f>
      </x:c>
      <x:c r="N552" s="12"/>
      <x:c r="O552" s="12"/>
      <x:c r="P552" s="12" t="str">
        <x:f>IF(OR(H552="",J552="",M552=""),"",ROUND(PERCENTRANK.INC($H$2:$H$941,H552)*35+J552*0.35+M552*0.30,0))</x:f>
      </x:c>
      <x:c r="Q552" s="12" t="str">
        <x:f>IF(P552="","",IF(P552&gt;=80,"ATTACK",IF(P552&gt;=65,"GROW",IF(P552&gt;=50,"PARTNER","WATCH"))))</x:f>
      </x:c>
      <x:c r="R552" s="12" t="str">
        <x:f>IF(Q552="","",IF(Q552="ATTACK","Grassroots + family acquisition",IF(Q552="GROW","Test local campaign",IF(Q552="PARTNER","Organisation-first partnership","Low priority / validate"))))</x:f>
      </x:c>
      <x:c r="S552" s="45" t="n">
        <x:v>6.828414972652669</x:v>
      </x:c>
      <x:c r="T552" t="str">
        <x:v>NEAR</x:v>
      </x:c>
      <x:c r="U552" s="32" t="n">
        <x:f>PERCENTRANK.INC($G$2:$G$941,G552)</x:f>
        <x:v>0.319</x:v>
      </x:c>
      <x:c r="V552" s="32" t="n">
        <x:f>PERCENTRANK.INC($H$2:$H$941,H552)</x:f>
        <x:v>0.657</x:v>
      </x:c>
      <x:c r="W552" t="n">
        <x:f>ROUND((U552*55+V552*45)*IF(S552&lt;=5,1,IF(S552&lt;=10,0.95,IF(S552&lt;=20,0.85,0.70))),0)</x:f>
        <x:v>45</x:v>
      </x:c>
      <x:c r="X552" t="n">
        <x:v>49</x:v>
      </x:c>
      <x:c r="Y552" t="str">
        <x:v>WATCH</x:v>
      </x:c>
      <x:c r="Z552" s="12" t="str">
        <x:v>Family + verified grassroots + straight-line geo only; transport not yet routed</x:v>
      </x:c>
      <x:c r="AA552" s="12"/>
      <x:c r="AB552" s="12"/>
      <x:c r="AC552" s="12"/>
      <x:c r="AD552" s="12"/>
      <x:c r="AE552" t="str">
        <x:v>Charlton Athletic Women</x:v>
      </x:c>
      <x:c r="AF552" s="45" t="n">
        <x:v>3.8697622818698947</x:v>
      </x:c>
      <x:c r="AG552" t="str">
        <x:v>Millwall Lionesses</x:v>
      </x:c>
      <x:c r="AH552" s="45" t="n">
        <x:v>7.555797120641743</x:v>
      </x:c>
      <x:c r="AI552" t="n">
        <x:v>81</x:v>
      </x:c>
      <x:c r="AJ552" t="str">
        <x:v>HIGH</x:v>
      </x:c>
    </x:row>
    <x:row r="553">
      <x:c r="A553" s="12" t="str">
        <x:v>E01034174</x:v>
      </x:c>
      <x:c r="B553" s="12" t="str">
        <x:v>Greenwich 034F</x:v>
      </x:c>
      <x:c r="C553" s="12" t="str">
        <x:v>Greenwich</x:v>
      </x:c>
      <x:c r="D553" s="44" t="n">
        <x:v>51.46041278460771</x:v>
      </x:c>
      <x:c r="E553" s="44" t="n">
        <x:v>0.024234261312488035</x:v>
      </x:c>
      <x:c r="F553" s="33" t="n">
        <x:v>602</x:v>
      </x:c>
      <x:c r="G553" s="33" t="n">
        <x:v>151</x:v>
      </x:c>
      <x:c r="H553" s="26" t="n">
        <x:v>0.25083056478405313</x:v>
      </x:c>
      <x:c r="I553" s="12" t="n">
        <x:v>1</x:v>
      </x:c>
      <x:c r="J553" s="12" t="n">
        <x:v>53</x:v>
      </x:c>
      <x:c r="K553" s="12"/>
      <x:c r="L553" s="12"/>
      <x:c r="M553" s="12" t="str">
        <x:f>IF(K553="", "", MAX(0,IF(K553&lt;=20,100,IF(K553&lt;=30,85,IF(K553&lt;=40,70,IF(K553&lt;=50,55,IF(K553&lt;=60,40,20)))))-MIN(L553*5,20)))</x:f>
      </x:c>
      <x:c r="N553" s="12"/>
      <x:c r="O553" s="12"/>
      <x:c r="P553" s="12" t="str">
        <x:f>IF(OR(H553="",J553="",M553=""),"",ROUND(PERCENTRANK.INC($H$2:$H$941,H553)*35+J553*0.35+M553*0.30,0))</x:f>
      </x:c>
      <x:c r="Q553" s="12" t="str">
        <x:f>IF(P553="","",IF(P553&gt;=80,"ATTACK",IF(P553&gt;=65,"GROW",IF(P553&gt;=50,"PARTNER","WATCH"))))</x:f>
      </x:c>
      <x:c r="R553" s="12" t="str">
        <x:f>IF(Q553="","",IF(Q553="ATTACK","Grassroots + family acquisition",IF(Q553="GROW","Test local campaign",IF(Q553="PARTNER","Organisation-first partnership","Low priority / validate"))))</x:f>
      </x:c>
      <x:c r="S553" s="45" t="n">
        <x:v>7.733380234318756</x:v>
      </x:c>
      <x:c r="T553" t="str">
        <x:v>NEAR</x:v>
      </x:c>
      <x:c r="U553" s="32" t="n">
        <x:f>PERCENTRANK.INC($G$2:$G$941,G553)</x:f>
        <x:v>0.096</x:v>
      </x:c>
      <x:c r="V553" s="32" t="n">
        <x:f>PERCENTRANK.INC($H$2:$H$941,H553)</x:f>
        <x:v>0.185</x:v>
      </x:c>
      <x:c r="W553" t="n">
        <x:f>ROUND((U553*55+V553*45)*IF(S553&lt;=5,1,IF(S553&lt;=10,0.95,IF(S553&lt;=20,0.85,0.70))),0)</x:f>
        <x:v>13</x:v>
      </x:c>
      <x:c r="X553" t="n">
        <x:v>31</x:v>
      </x:c>
      <x:c r="Y553" t="str">
        <x:v>WATCH</x:v>
      </x:c>
      <x:c r="Z553" s="12" t="str">
        <x:v>Family + verified grassroots + straight-line geo only; transport not yet routed</x:v>
      </x:c>
      <x:c r="AA553" s="12"/>
      <x:c r="AB553" s="12"/>
      <x:c r="AC553" s="12"/>
      <x:c r="AD553" s="12"/>
      <x:c r="AE553" t="str">
        <x:v>Charlton Athletic Women</x:v>
      </x:c>
      <x:c r="AF553" s="45" t="n">
        <x:v>3.0051942340551996</x:v>
      </x:c>
      <x:c r="AG553" t="str">
        <x:v>Millwall Lionesses</x:v>
      </x:c>
      <x:c r="AH553" s="45" t="n">
        <x:v>6.767297309776598</x:v>
      </x:c>
      <x:c r="AI553" t="n">
        <x:v>81</x:v>
      </x:c>
      <x:c r="AJ553" t="str">
        <x:v>HIGH</x:v>
      </x:c>
    </x:row>
    <x:row r="554">
      <x:c r="A554" s="12" t="str">
        <x:v>E01034175</x:v>
      </x:c>
      <x:c r="B554" s="12" t="str">
        <x:v>Greenwich 034G</x:v>
      </x:c>
      <x:c r="C554" s="12" t="str">
        <x:v>Greenwich</x:v>
      </x:c>
      <x:c r="D554" s="44" t="n">
        <x:v>51.46114559839614</x:v>
      </x:c>
      <x:c r="E554" s="44" t="n">
        <x:v>0.027196130485949536</x:v>
      </x:c>
      <x:c r="F554" s="33" t="n">
        <x:v>657</x:v>
      </x:c>
      <x:c r="G554" s="33" t="n">
        <x:v>124</x:v>
      </x:c>
      <x:c r="H554" s="26" t="n">
        <x:v>0.1887366818873668</x:v>
      </x:c>
      <x:c r="I554" s="12" t="n">
        <x:v>1</x:v>
      </x:c>
      <x:c r="J554" s="12" t="n">
        <x:v>45</x:v>
      </x:c>
      <x:c r="K554" s="12"/>
      <x:c r="L554" s="12"/>
      <x:c r="M554" s="12" t="str">
        <x:f>IF(K554="", "", MAX(0,IF(K554&lt;=20,100,IF(K554&lt;=30,85,IF(K554&lt;=40,70,IF(K554&lt;=50,55,IF(K554&lt;=60,40,20)))))-MIN(L554*5,20)))</x:f>
      </x:c>
      <x:c r="N554" s="12"/>
      <x:c r="O554" s="12"/>
      <x:c r="P554" s="12" t="str">
        <x:f>IF(OR(H554="",J554="",M554=""),"",ROUND(PERCENTRANK.INC($H$2:$H$941,H554)*35+J554*0.35+M554*0.30,0))</x:f>
      </x:c>
      <x:c r="Q554" s="12" t="str">
        <x:f>IF(P554="","",IF(P554&gt;=80,"ATTACK",IF(P554&gt;=65,"GROW",IF(P554&gt;=50,"PARTNER","WATCH"))))</x:f>
      </x:c>
      <x:c r="R554" s="12" t="str">
        <x:f>IF(Q554="","",IF(Q554="ATTACK","Grassroots + family acquisition",IF(Q554="GROW","Test local campaign",IF(Q554="PARTNER","Organisation-first partnership","Low priority / validate"))))</x:f>
      </x:c>
      <x:c r="S554" s="45" t="n">
        <x:v>7.829298487644872</x:v>
      </x:c>
      <x:c r="T554" t="str">
        <x:v>NEAR</x:v>
      </x:c>
      <x:c r="U554" s="32" t="n">
        <x:f>PERCENTRANK.INC($G$2:$G$941,G554)</x:f>
        <x:v>0.037</x:v>
      </x:c>
      <x:c r="V554" s="32" t="n">
        <x:f>PERCENTRANK.INC($H$2:$H$941,H554)</x:f>
        <x:v>0.051</x:v>
      </x:c>
      <x:c r="W554" t="n">
        <x:f>ROUND((U554*55+V554*45)*IF(S554&lt;=5,1,IF(S554&lt;=10,0.95,IF(S554&lt;=20,0.85,0.70))),0)</x:f>
        <x:v>4</x:v>
      </x:c>
      <x:c r="X554" t="n">
        <x:v>23</x:v>
      </x:c>
      <x:c r="Y554" t="str">
        <x:v>WATCH</x:v>
      </x:c>
      <x:c r="Z554" s="12" t="str">
        <x:v>Family + verified grassroots + straight-line geo only; transport not yet routed</x:v>
      </x:c>
      <x:c r="AA554" s="12"/>
      <x:c r="AB554" s="12"/>
      <x:c r="AC554" s="12"/>
      <x:c r="AD554" s="12"/>
      <x:c r="AE554" t="str">
        <x:v>Charlton Athletic Women</x:v>
      </x:c>
      <x:c r="AF554" s="45" t="n">
        <x:v>2.8758261430058583</x:v>
      </x:c>
      <x:c r="AG554" t="str">
        <x:v>Millwall Lionesses</x:v>
      </x:c>
      <x:c r="AH554" s="45" t="n">
        <x:v>6.844445760443771</x:v>
      </x:c>
      <x:c r="AI554" t="n">
        <x:v>92</x:v>
      </x:c>
      <x:c r="AJ554" t="str">
        <x:v>HIGH</x:v>
      </x:c>
    </x:row>
    <x:row r="555">
      <x:c r="A555" s="12" t="str">
        <x:v>E01034176</x:v>
      </x:c>
      <x:c r="B555" s="12" t="str">
        <x:v>Greenwich 034H</x:v>
      </x:c>
      <x:c r="C555" s="12" t="str">
        <x:v>Greenwich</x:v>
      </x:c>
      <x:c r="D555" s="44" t="n">
        <x:v>51.45763183944106</x:v>
      </x:c>
      <x:c r="E555" s="44" t="n">
        <x:v>0.03430988630612324</x:v>
      </x:c>
      <x:c r="F555" s="33" t="n">
        <x:v>606</x:v>
      </x:c>
      <x:c r="G555" s="33" t="n">
        <x:v>266</x:v>
      </x:c>
      <x:c r="H555" s="26" t="n">
        <x:v>0.4389438943894389</x:v>
      </x:c>
      <x:c r="I555" s="12" t="n">
        <x:v>2</x:v>
      </x:c>
      <x:c r="J555" s="12" t="n">
        <x:v>46</x:v>
      </x:c>
      <x:c r="K555" s="12"/>
      <x:c r="L555" s="12"/>
      <x:c r="M555" s="12" t="str">
        <x:f>IF(K555="", "", MAX(0,IF(K555&lt;=20,100,IF(K555&lt;=30,85,IF(K555&lt;=40,70,IF(K555&lt;=50,55,IF(K555&lt;=60,40,20)))))-MIN(L555*5,20)))</x:f>
      </x:c>
      <x:c r="N555" s="12"/>
      <x:c r="O555" s="12"/>
      <x:c r="P555" s="12" t="str">
        <x:f>IF(OR(H555="",J555="",M555=""),"",ROUND(PERCENTRANK.INC($H$2:$H$941,H555)*35+J555*0.35+M555*0.30,0))</x:f>
      </x:c>
      <x:c r="Q555" s="12" t="str">
        <x:f>IF(P555="","",IF(P555&gt;=80,"ATTACK",IF(P555&gt;=65,"GROW",IF(P555&gt;=50,"PARTNER","WATCH"))))</x:f>
      </x:c>
      <x:c r="R555" s="12" t="str">
        <x:f>IF(Q555="","",IF(Q555="ATTACK","Grassroots + family acquisition",IF(Q555="GROW","Test local campaign",IF(Q555="PARTNER","Organisation-first partnership","Low priority / validate"))))</x:f>
      </x:c>
      <x:c r="S555" s="45" t="n">
        <x:v>7.499754968542364</x:v>
      </x:c>
      <x:c r="T555" t="str">
        <x:v>NEAR</x:v>
      </x:c>
      <x:c r="U555" s="32" t="n">
        <x:f>PERCENTRANK.INC($G$2:$G$941,G555)</x:f>
        <x:v>0.854</x:v>
      </x:c>
      <x:c r="V555" s="32" t="n">
        <x:f>PERCENTRANK.INC($H$2:$H$941,H555)</x:f>
        <x:v>0.972</x:v>
      </x:c>
      <x:c r="W555" t="n">
        <x:f>ROUND((U555*55+V555*45)*IF(S555&lt;=5,1,IF(S555&lt;=10,0.95,IF(S555&lt;=20,0.85,0.70))),0)</x:f>
        <x:v>86</x:v>
      </x:c>
      <x:c r="X555" t="n">
        <x:v>68</x:v>
      </x:c>
      <x:c r="Y555" t="str">
        <x:v>GROW</x:v>
      </x:c>
      <x:c r="Z555" s="12" t="str">
        <x:v>Family + verified grassroots + straight-line geo only; transport not yet routed</x:v>
      </x:c>
      <x:c r="AA555" s="12"/>
      <x:c r="AB555" s="12"/>
      <x:c r="AC555" s="12"/>
      <x:c r="AD555" s="12"/>
      <x:c r="AE555" t="str">
        <x:v>Charlton Athletic Women</x:v>
      </x:c>
      <x:c r="AF555" s="45" t="n">
        <x:v>3.201415927802796</x:v>
      </x:c>
      <x:c r="AG555" t="str">
        <x:v>Millwall Lionesses</x:v>
      </x:c>
      <x:c r="AH555" s="45" t="n">
        <x:v>7.466876278087187</x:v>
      </x:c>
      <x:c r="AI555" t="n">
        <x:v>81</x:v>
      </x:c>
      <x:c r="AJ555" t="str">
        <x:v>HIGH</x:v>
      </x:c>
    </x:row>
    <x:row r="556">
      <x:c r="A556" s="12" t="str">
        <x:v>E01034177</x:v>
      </x:c>
      <x:c r="B556" s="12" t="str">
        <x:v>Greenwich 034I</x:v>
      </x:c>
      <x:c r="C556" s="12" t="str">
        <x:v>Greenwich</x:v>
      </x:c>
      <x:c r="D556" s="44" t="n">
        <x:v>51.45613903893714</x:v>
      </x:c>
      <x:c r="E556" s="44" t="n">
        <x:v>0.032581721562070995</x:v>
      </x:c>
      <x:c r="F556" s="33" t="n">
        <x:v>651</x:v>
      </x:c>
      <x:c r="G556" s="33" t="n">
        <x:v>227</x:v>
      </x:c>
      <x:c r="H556" s="26" t="n">
        <x:v>0.3486943164362519</x:v>
      </x:c>
      <x:c r="I556" s="12" t="n">
        <x:v>2</x:v>
      </x:c>
      <x:c r="J556" s="12" t="n">
        <x:v>46</x:v>
      </x:c>
      <x:c r="K556" s="12"/>
      <x:c r="L556" s="12"/>
      <x:c r="M556" s="12" t="str">
        <x:f>IF(K556="", "", MAX(0,IF(K556&lt;=20,100,IF(K556&lt;=30,85,IF(K556&lt;=40,70,IF(K556&lt;=50,55,IF(K556&lt;=60,40,20)))))-MIN(L556*5,20)))</x:f>
      </x:c>
      <x:c r="N556" s="12"/>
      <x:c r="O556" s="12"/>
      <x:c r="P556" s="12" t="str">
        <x:f>IF(OR(H556="",J556="",M556=""),"",ROUND(PERCENTRANK.INC($H$2:$H$941,H556)*35+J556*0.35+M556*0.30,0))</x:f>
      </x:c>
      <x:c r="Q556" s="12" t="str">
        <x:f>IF(P556="","",IF(P556&gt;=80,"ATTACK",IF(P556&gt;=65,"GROW",IF(P556&gt;=50,"PARTNER","WATCH"))))</x:f>
      </x:c>
      <x:c r="R556" s="12" t="str">
        <x:f>IF(Q556="","",IF(Q556="ATTACK","Grassroots + family acquisition",IF(Q556="GROW","Test local campaign",IF(Q556="PARTNER","Organisation-first partnership","Low priority / validate"))))</x:f>
      </x:c>
      <x:c r="S556" s="45" t="n">
        <x:v>7.317932892380885</x:v>
      </x:c>
      <x:c r="T556" t="str">
        <x:v>NEAR</x:v>
      </x:c>
      <x:c r="U556" s="32" t="n">
        <x:f>PERCENTRANK.INC($G$2:$G$941,G556)</x:f>
        <x:v>0.605</x:v>
      </x:c>
      <x:c r="V556" s="32" t="n">
        <x:f>PERCENTRANK.INC($H$2:$H$941,H556)</x:f>
        <x:v>0.679</x:v>
      </x:c>
      <x:c r="W556" t="n">
        <x:f>ROUND((U556*55+V556*45)*IF(S556&lt;=5,1,IF(S556&lt;=10,0.95,IF(S556&lt;=20,0.85,0.70))),0)</x:f>
        <x:v>61</x:v>
      </x:c>
      <x:c r="X556" t="n">
        <x:v>54</x:v>
      </x:c>
      <x:c r="Y556" t="str">
        <x:v>PARTNER</x:v>
      </x:c>
      <x:c r="Z556" s="12" t="str">
        <x:v>Family + verified grassroots + straight-line geo only; transport not yet routed</x:v>
      </x:c>
      <x:c r="AA556" s="12"/>
      <x:c r="AB556" s="12"/>
      <x:c r="AC556" s="12"/>
      <x:c r="AD556" s="12"/>
      <x:c r="AE556" t="str">
        <x:v>Charlton Athletic Women</x:v>
      </x:c>
      <x:c r="AF556" s="45" t="n">
        <x:v>3.3739346654648665</x:v>
      </x:c>
      <x:c r="AG556" t="str">
        <x:v>Millwall Lionesses</x:v>
      </x:c>
      <x:c r="AH556" s="45" t="n">
        <x:v>7.50687008521827</x:v>
      </x:c>
      <x:c r="AI556" t="n">
        <x:v>81</x:v>
      </x:c>
      <x:c r="AJ556" t="str">
        <x:v>HIGH</x:v>
      </x:c>
    </x:row>
    <x:row r="557">
      <x:c r="A557" s="12" t="str">
        <x:v>E01033727</x:v>
      </x:c>
      <x:c r="B557" s="12" t="str">
        <x:v>Greenwich 035B</x:v>
      </x:c>
      <x:c r="C557" s="12" t="str">
        <x:v>Greenwich</x:v>
      </x:c>
      <x:c r="D557" s="44" t="n">
        <x:v>51.48156380744628</x:v>
      </x:c>
      <x:c r="E557" s="44" t="n">
        <x:v>-0.021347057642922197</x:v>
      </x:c>
      <x:c r="F557" s="33" t="n">
        <x:v>966</x:v>
      </x:c>
      <x:c r="G557" s="33" t="n">
        <x:v>247</x:v>
      </x:c>
      <x:c r="H557" s="26" t="n">
        <x:v>0.2556935817805383</x:v>
      </x:c>
      <x:c r="I557" s="12" t="n">
        <x:v>2</x:v>
      </x:c>
      <x:c r="J557" s="12" t="n">
        <x:v>36</x:v>
      </x:c>
      <x:c r="K557" s="12"/>
      <x:c r="L557" s="12"/>
      <x:c r="M557" s="12" t="str">
        <x:f>IF(K557="", "", MAX(0,IF(K557&lt;=20,100,IF(K557&lt;=30,85,IF(K557&lt;=40,70,IF(K557&lt;=50,55,IF(K557&lt;=60,40,20)))))-MIN(L557*5,20)))</x:f>
      </x:c>
      <x:c r="N557" s="12"/>
      <x:c r="O557" s="12"/>
      <x:c r="P557" s="12" t="str">
        <x:f>IF(OR(H557="",J557="",M557=""),"",ROUND(PERCENTRANK.INC($H$2:$H$941,H557)*35+J557*0.35+M557*0.30,0))</x:f>
      </x:c>
      <x:c r="Q557" s="12" t="str">
        <x:f>IF(P557="","",IF(P557&gt;=80,"ATTACK",IF(P557&gt;=65,"GROW",IF(P557&gt;=50,"PARTNER","WATCH"))))</x:f>
      </x:c>
      <x:c r="R557" s="12" t="str">
        <x:f>IF(Q557="","",IF(Q557="ATTACK","Grassroots + family acquisition",IF(Q557="GROW","Test local campaign",IF(Q557="PARTNER","Organisation-first partnership","Low priority / validate"))))</x:f>
      </x:c>
      <x:c r="S557" s="45" t="n">
        <x:v>10.42954434442709</x:v>
      </x:c>
      <x:c r="T557" t="str">
        <x:v>EXTENDED</x:v>
      </x:c>
      <x:c r="U557" s="32" t="n">
        <x:f>PERCENTRANK.INC($G$2:$G$941,G557)</x:f>
        <x:v>0.752</x:v>
      </x:c>
      <x:c r="V557" s="32" t="n">
        <x:f>PERCENTRANK.INC($H$2:$H$941,H557)</x:f>
        <x:v>0.202</x:v>
      </x:c>
      <x:c r="W557" t="n">
        <x:f>ROUND((U557*55+V557*45)*IF(S557&lt;=5,1,IF(S557&lt;=10,0.95,IF(S557&lt;=20,0.85,0.70))),0)</x:f>
        <x:v>43</x:v>
      </x:c>
      <x:c r="X557" t="n">
        <x:v>40</x:v>
      </x:c>
      <x:c r="Y557" t="str">
        <x:v>WATCH</x:v>
      </x:c>
      <x:c r="Z557" s="12" t="str">
        <x:v>Family + verified grassroots + straight-line geo only; transport not yet routed</x:v>
      </x:c>
      <x:c r="AA557" s="12"/>
      <x:c r="AB557" s="12"/>
      <x:c r="AC557" s="12"/>
      <x:c r="AD557" s="12"/>
      <x:c r="AE557" t="str">
        <x:v>Charlton Athletic Women</x:v>
      </x:c>
      <x:c r="AF557" s="45" t="n">
        <x:v>4.017530647963118</x:v>
      </x:c>
      <x:c r="AG557" t="str">
        <x:v>Millwall Lionesses</x:v>
      </x:c>
      <x:c r="AH557" s="45" t="n">
        <x:v>3.0310428782726935</x:v>
      </x:c>
      <x:c r="AI557" t="n">
        <x:v>85</x:v>
      </x:c>
      <x:c r="AJ557" t="str">
        <x:v>HIGH</x:v>
      </x:c>
    </x:row>
    <x:row r="558">
      <x:c r="A558" s="12" t="str">
        <x:v>E01033728</x:v>
      </x:c>
      <x:c r="B558" s="12" t="str">
        <x:v>Greenwich 035C</x:v>
      </x:c>
      <x:c r="C558" s="12" t="str">
        <x:v>Greenwich</x:v>
      </x:c>
      <x:c r="D558" s="44" t="n">
        <x:v>51.48324190289628</x:v>
      </x:c>
      <x:c r="E558" s="44" t="n">
        <x:v>-0.020738382522179168</x:v>
      </x:c>
      <x:c r="F558" s="33" t="n">
        <x:v>864</x:v>
      </x:c>
      <x:c r="G558" s="33" t="n">
        <x:v>150</x:v>
      </x:c>
      <x:c r="H558" s="26" t="n">
        <x:v>0.1736111111111111</x:v>
      </x:c>
      <x:c r="I558" s="12" t="n">
        <x:v>2</x:v>
      </x:c>
      <x:c r="J558" s="12" t="n">
        <x:v>36</x:v>
      </x:c>
      <x:c r="K558" s="12"/>
      <x:c r="L558" s="12"/>
      <x:c r="M558" s="12" t="str">
        <x:f>IF(K558="", "", MAX(0,IF(K558&lt;=20,100,IF(K558&lt;=30,85,IF(K558&lt;=40,70,IF(K558&lt;=50,55,IF(K558&lt;=60,40,20)))))-MIN(L558*5,20)))</x:f>
      </x:c>
      <x:c r="N558" s="12"/>
      <x:c r="O558" s="12"/>
      <x:c r="P558" s="12" t="str">
        <x:f>IF(OR(H558="",J558="",M558=""),"",ROUND(PERCENTRANK.INC($H$2:$H$941,H558)*35+J558*0.35+M558*0.30,0))</x:f>
      </x:c>
      <x:c r="Q558" s="12" t="str">
        <x:f>IF(P558="","",IF(P558&gt;=80,"ATTACK",IF(P558&gt;=65,"GROW",IF(P558&gt;=50,"PARTNER","WATCH"))))</x:f>
      </x:c>
      <x:c r="R558" s="12" t="str">
        <x:f>IF(Q558="","",IF(Q558="ATTACK","Grassroots + family acquisition",IF(Q558="GROW","Test local campaign",IF(Q558="PARTNER","Organisation-first partnership","Low priority / validate"))))</x:f>
      </x:c>
      <x:c r="S558" s="45" t="n">
        <x:v>10.599154607384433</x:v>
      </x:c>
      <x:c r="T558" t="str">
        <x:v>EXTENDED</x:v>
      </x:c>
      <x:c r="U558" s="32" t="n">
        <x:f>PERCENTRANK.INC($G$2:$G$941,G558)</x:f>
        <x:v>0.094</x:v>
      </x:c>
      <x:c r="V558" s="32" t="n">
        <x:f>PERCENTRANK.INC($H$2:$H$941,H558)</x:f>
        <x:v>0.036</x:v>
      </x:c>
      <x:c r="W558" t="n">
        <x:f>ROUND((U558*55+V558*45)*IF(S558&lt;=5,1,IF(S558&lt;=10,0.95,IF(S558&lt;=20,0.85,0.70))),0)</x:f>
        <x:v>6</x:v>
      </x:c>
      <x:c r="X558" t="n">
        <x:v>19</x:v>
      </x:c>
      <x:c r="Y558" t="str">
        <x:v>WATCH</x:v>
      </x:c>
      <x:c r="Z558" s="12" t="str">
        <x:v>Family + verified grassroots + straight-line geo only; transport not yet routed</x:v>
      </x:c>
      <x:c r="AA558" s="12"/>
      <x:c r="AB558" s="12"/>
      <x:c r="AC558" s="12"/>
      <x:c r="AD558" s="12"/>
      <x:c r="AE558" t="str">
        <x:v>Charlton Athletic Women</x:v>
      </x:c>
      <x:c r="AF558" s="45" t="n">
        <x:v>3.9547789668274977</x:v>
      </x:c>
      <x:c r="AG558" t="str">
        <x:v>Millwall Lionesses</x:v>
      </x:c>
      <x:c r="AH558" s="45" t="n">
        <x:v>2.883260457043654</x:v>
      </x:c>
      <x:c r="AI558" t="n">
        <x:v>89</x:v>
      </x:c>
      <x:c r="AJ558" t="str">
        <x:v>HIGH</x:v>
      </x:c>
    </x:row>
    <x:row r="559">
      <x:c r="A559" s="12" t="str">
        <x:v>E01034178</x:v>
      </x:c>
      <x:c r="B559" s="12" t="str">
        <x:v>Greenwich 035E</x:v>
      </x:c>
      <x:c r="C559" s="12" t="str">
        <x:v>Greenwich</x:v>
      </x:c>
      <x:c r="D559" s="44" t="n">
        <x:v>51.482560024259385</x:v>
      </x:c>
      <x:c r="E559" s="44" t="n">
        <x:v>-0.016080127211765792</x:v>
      </x:c>
      <x:c r="F559" s="33" t="n">
        <x:v>862</x:v>
      </x:c>
      <x:c r="G559" s="33" t="n">
        <x:v>198</x:v>
      </x:c>
      <x:c r="H559" s="26" t="n">
        <x:v>0.2296983758700696</x:v>
      </x:c>
      <x:c r="I559" s="12" t="n">
        <x:v>2</x:v>
      </x:c>
      <x:c r="J559" s="12" t="n">
        <x:v>29</x:v>
      </x:c>
      <x:c r="K559" s="12"/>
      <x:c r="L559" s="12"/>
      <x:c r="M559" s="12" t="str">
        <x:f>IF(K559="", "", MAX(0,IF(K559&lt;=20,100,IF(K559&lt;=30,85,IF(K559&lt;=40,70,IF(K559&lt;=50,55,IF(K559&lt;=60,40,20)))))-MIN(L559*5,20)))</x:f>
      </x:c>
      <x:c r="N559" s="12"/>
      <x:c r="O559" s="12"/>
      <x:c r="P559" s="12" t="str">
        <x:f>IF(OR(H559="",J559="",M559=""),"",ROUND(PERCENTRANK.INC($H$2:$H$941,H559)*35+J559*0.35+M559*0.30,0))</x:f>
      </x:c>
      <x:c r="Q559" s="12" t="str">
        <x:f>IF(P559="","",IF(P559&gt;=80,"ATTACK",IF(P559&gt;=65,"GROW",IF(P559&gt;=50,"PARTNER","WATCH"))))</x:f>
      </x:c>
      <x:c r="R559" s="12" t="str">
        <x:f>IF(Q559="","",IF(Q559="ATTACK","Grassroots + family acquisition",IF(Q559="GROW","Test local campaign",IF(Q559="PARTNER","Organisation-first partnership","Low priority / validate"))))</x:f>
      </x:c>
      <x:c r="S559" s="45" t="n">
        <x:v>10.448705646231149</x:v>
      </x:c>
      <x:c r="T559" t="str">
        <x:v>EXTENDED</x:v>
      </x:c>
      <x:c r="U559" s="32" t="n">
        <x:f>PERCENTRANK.INC($G$2:$G$941,G559)</x:f>
        <x:v>0.365</x:v>
      </x:c>
      <x:c r="V559" s="32" t="n">
        <x:f>PERCENTRANK.INC($H$2:$H$941,H559)</x:f>
        <x:v>0.134</x:v>
      </x:c>
      <x:c r="W559" t="n">
        <x:f>ROUND((U559*55+V559*45)*IF(S559&lt;=5,1,IF(S559&lt;=10,0.95,IF(S559&lt;=20,0.85,0.70))),0)</x:f>
        <x:v>22</x:v>
      </x:c>
      <x:c r="X559" t="n">
        <x:v>26</x:v>
      </x:c>
      <x:c r="Y559" t="str">
        <x:v>WATCH</x:v>
      </x:c>
      <x:c r="Z559" s="12" t="str">
        <x:v>Family + verified grassroots + straight-line geo only; transport not yet routed</x:v>
      </x:c>
      <x:c r="AA559" s="12"/>
      <x:c r="AB559" s="12"/>
      <x:c r="AC559" s="12"/>
      <x:c r="AD559" s="12"/>
      <x:c r="AE559" t="str">
        <x:v>Charlton Athletic Women</x:v>
      </x:c>
      <x:c r="AF559" s="45" t="n">
        <x:v>3.64174807646528</x:v>
      </x:c>
      <x:c r="AG559" t="str">
        <x:v>Millwall Lionesses</x:v>
      </x:c>
      <x:c r="AH559" s="45" t="n">
        <x:v>3.1111544984686477</x:v>
      </x:c>
      <x:c r="AI559" t="n">
        <x:v>85</x:v>
      </x:c>
      <x:c r="AJ559" t="str">
        <x:v>HIGH</x:v>
      </x:c>
    </x:row>
    <x:row r="560">
      <x:c r="A560" s="12" t="str">
        <x:v>E01034179</x:v>
      </x:c>
      <x:c r="B560" s="12" t="str">
        <x:v>Greenwich 035F</x:v>
      </x:c>
      <x:c r="C560" s="12" t="str">
        <x:v>Greenwich</x:v>
      </x:c>
      <x:c r="D560" s="44" t="n">
        <x:v>51.482120515192506</x:v>
      </x:c>
      <x:c r="E560" s="44" t="n">
        <x:v>-0.012132724739637677</x:v>
      </x:c>
      <x:c r="F560" s="33" t="n">
        <x:v>557</x:v>
      </x:c>
      <x:c r="G560" s="33" t="n">
        <x:v>140</x:v>
      </x:c>
      <x:c r="H560" s="26" t="n">
        <x:v>0.2513464991023339</x:v>
      </x:c>
      <x:c r="I560" s="12" t="n">
        <x:v>2</x:v>
      </x:c>
      <x:c r="J560" s="12" t="n">
        <x:v>29</x:v>
      </x:c>
      <x:c r="K560" s="12"/>
      <x:c r="L560" s="12"/>
      <x:c r="M560" s="12" t="str">
        <x:f>IF(K560="", "", MAX(0,IF(K560&lt;=20,100,IF(K560&lt;=30,85,IF(K560&lt;=40,70,IF(K560&lt;=50,55,IF(K560&lt;=60,40,20)))))-MIN(L560*5,20)))</x:f>
      </x:c>
      <x:c r="N560" s="12"/>
      <x:c r="O560" s="12"/>
      <x:c r="P560" s="12" t="str">
        <x:f>IF(OR(H560="",J560="",M560=""),"",ROUND(PERCENTRANK.INC($H$2:$H$941,H560)*35+J560*0.35+M560*0.30,0))</x:f>
      </x:c>
      <x:c r="Q560" s="12" t="str">
        <x:f>IF(P560="","",IF(P560&gt;=80,"ATTACK",IF(P560&gt;=65,"GROW",IF(P560&gt;=50,"PARTNER","WATCH"))))</x:f>
      </x:c>
      <x:c r="R560" s="12" t="str">
        <x:f>IF(Q560="","",IF(Q560="ATTACK","Grassroots + family acquisition",IF(Q560="GROW","Test local campaign",IF(Q560="PARTNER","Organisation-first partnership","Low priority / validate"))))</x:f>
      </x:c>
      <x:c r="S560" s="45" t="n">
        <x:v>10.342905823782889</x:v>
      </x:c>
      <x:c r="T560" t="str">
        <x:v>EXTENDED</x:v>
      </x:c>
      <x:c r="U560" s="32" t="n">
        <x:f>PERCENTRANK.INC($G$2:$G$941,G560)</x:f>
        <x:v>0.066</x:v>
      </x:c>
      <x:c r="V560" s="32" t="n">
        <x:f>PERCENTRANK.INC($H$2:$H$941,H560)</x:f>
        <x:v>0.19</x:v>
      </x:c>
      <x:c r="W560" t="n">
        <x:f>ROUND((U560*55+V560*45)*IF(S560&lt;=5,1,IF(S560&lt;=10,0.95,IF(S560&lt;=20,0.85,0.70))),0)</x:f>
        <x:v>10</x:v>
      </x:c>
      <x:c r="X560" t="n">
        <x:v>19</x:v>
      </x:c>
      <x:c r="Y560" t="str">
        <x:v>WATCH</x:v>
      </x:c>
      <x:c r="Z560" s="12" t="str">
        <x:v>Family + verified grassroots + straight-line geo only; transport not yet routed</x:v>
      </x:c>
      <x:c r="AA560" s="12"/>
      <x:c r="AB560" s="12"/>
      <x:c r="AC560" s="12"/>
      <x:c r="AD560" s="12"/>
      <x:c r="AE560" t="str">
        <x:v>Charlton Athletic Women</x:v>
      </x:c>
      <x:c r="AF560" s="45" t="n">
        <x:v>3.3770064450111787</x:v>
      </x:c>
      <x:c r="AG560" t="str">
        <x:v>Millwall Lionesses</x:v>
      </x:c>
      <x:c r="AH560" s="45" t="n">
        <x:v>3.3054905733867637</x:v>
      </x:c>
      <x:c r="AI560" t="n">
        <x:v>85</x:v>
      </x:c>
      <x:c r="AJ560" t="str">
        <x:v>HIGH</x:v>
      </x:c>
    </x:row>
    <x:row r="561">
      <x:c r="A561" s="12" t="str">
        <x:v>E01034180</x:v>
      </x:c>
      <x:c r="B561" s="12" t="str">
        <x:v>Greenwich 035G</x:v>
      </x:c>
      <x:c r="C561" s="12" t="str">
        <x:v>Greenwich</x:v>
      </x:c>
      <x:c r="D561" s="44" t="n">
        <x:v>51.480435699870334</x:v>
      </x:c>
      <x:c r="E561" s="44" t="n">
        <x:v>-0.014903200045814233</x:v>
      </x:c>
      <x:c r="F561" s="33" t="n">
        <x:v>536</x:v>
      </x:c>
      <x:c r="G561" s="33" t="n">
        <x:v>206</x:v>
      </x:c>
      <x:c r="H561" s="26" t="n">
        <x:v>0.3843283582089552</x:v>
      </x:c>
      <x:c r="I561" s="12" t="n">
        <x:v>2</x:v>
      </x:c>
      <x:c r="J561" s="12" t="n">
        <x:v>29</x:v>
      </x:c>
      <x:c r="K561" s="12"/>
      <x:c r="L561" s="12"/>
      <x:c r="M561" s="12" t="str">
        <x:f>IF(K561="", "", MAX(0,IF(K561&lt;=20,100,IF(K561&lt;=30,85,IF(K561&lt;=40,70,IF(K561&lt;=50,55,IF(K561&lt;=60,40,20)))))-MIN(L561*5,20)))</x:f>
      </x:c>
      <x:c r="N561" s="12"/>
      <x:c r="O561" s="12"/>
      <x:c r="P561" s="12" t="str">
        <x:f>IF(OR(H561="",J561="",M561=""),"",ROUND(PERCENTRANK.INC($H$2:$H$941,H561)*35+J561*0.35+M561*0.30,0))</x:f>
      </x:c>
      <x:c r="Q561" s="12" t="str">
        <x:f>IF(P561="","",IF(P561&gt;=80,"ATTACK",IF(P561&gt;=65,"GROW",IF(P561&gt;=50,"PARTNER","WATCH"))))</x:f>
      </x:c>
      <x:c r="R561" s="12" t="str">
        <x:f>IF(Q561="","",IF(Q561="ATTACK","Grassroots + family acquisition",IF(Q561="GROW","Test local campaign",IF(Q561="PARTNER","Organisation-first partnership","Low priority / validate"))))</x:f>
      </x:c>
      <x:c r="S561" s="45" t="n">
        <x:v>10.200261388595502</x:v>
      </x:c>
      <x:c r="T561" t="str">
        <x:v>EXTENDED</x:v>
      </x:c>
      <x:c r="U561" s="32" t="n">
        <x:f>PERCENTRANK.INC($G$2:$G$941,G561)</x:f>
        <x:v>0.437</x:v>
      </x:c>
      <x:c r="V561" s="32" t="n">
        <x:f>PERCENTRANK.INC($H$2:$H$941,H561)</x:f>
        <x:v>0.858</x:v>
      </x:c>
      <x:c r="W561" t="n">
        <x:f>ROUND((U561*55+V561*45)*IF(S561&lt;=5,1,IF(S561&lt;=10,0.95,IF(S561&lt;=20,0.85,0.70))),0)</x:f>
        <x:v>53</x:v>
      </x:c>
      <x:c r="X561" t="n">
        <x:v>42</x:v>
      </x:c>
      <x:c r="Y561" t="str">
        <x:v>WATCH</x:v>
      </x:c>
      <x:c r="Z561" s="12" t="str">
        <x:v>Family + verified grassroots + straight-line geo only; transport not yet routed</x:v>
      </x:c>
      <x:c r="AA561" s="12"/>
      <x:c r="AB561" s="12"/>
      <x:c r="AC561" s="12"/>
      <x:c r="AD561" s="12"/>
      <x:c r="AE561" t="str">
        <x:v>Charlton Athletic Women</x:v>
      </x:c>
      <x:c r="AF561" s="45" t="n">
        <x:v>3.5968867064224495</x:v>
      </x:c>
      <x:c r="AG561" t="str">
        <x:v>Millwall Lionesses</x:v>
      </x:c>
      <x:c r="AH561" s="45" t="n">
        <x:v>3.3546888970862736</x:v>
      </x:c>
      <x:c r="AI561" t="n">
        <x:v>85</x:v>
      </x:c>
      <x:c r="AJ561" t="str">
        <x:v>HIGH</x:v>
      </x:c>
    </x:row>
    <x:row r="562">
      <x:c r="A562" s="12" t="str">
        <x:v>E01034181</x:v>
      </x:c>
      <x:c r="B562" s="12" t="str">
        <x:v>Greenwich 035H</x:v>
      </x:c>
      <x:c r="C562" s="12" t="str">
        <x:v>Greenwich</x:v>
      </x:c>
      <x:c r="D562" s="44" t="n">
        <x:v>51.479487199680975</x:v>
      </x:c>
      <x:c r="E562" s="44" t="n">
        <x:v>-0.0165369234373114</x:v>
      </x:c>
      <x:c r="F562" s="33" t="n">
        <x:v>753</x:v>
      </x:c>
      <x:c r="G562" s="33" t="n">
        <x:v>153</x:v>
      </x:c>
      <x:c r="H562" s="26" t="n">
        <x:v>0.20318725099601595</x:v>
      </x:c>
      <x:c r="I562" s="12" t="n">
        <x:v>2</x:v>
      </x:c>
      <x:c r="J562" s="12" t="n">
        <x:v>29</x:v>
      </x:c>
      <x:c r="K562" s="12"/>
      <x:c r="L562" s="12"/>
      <x:c r="M562" s="12" t="str">
        <x:f>IF(K562="", "", MAX(0,IF(K562&lt;=20,100,IF(K562&lt;=30,85,IF(K562&lt;=40,70,IF(K562&lt;=50,55,IF(K562&lt;=60,40,20)))))-MIN(L562*5,20)))</x:f>
      </x:c>
      <x:c r="N562" s="12"/>
      <x:c r="O562" s="12"/>
      <x:c r="P562" s="12" t="str">
        <x:f>IF(OR(H562="",J562="",M562=""),"",ROUND(PERCENTRANK.INC($H$2:$H$941,H562)*35+J562*0.35+M562*0.30,0))</x:f>
      </x:c>
      <x:c r="Q562" s="12" t="str">
        <x:f>IF(P562="","",IF(P562&gt;=80,"ATTACK",IF(P562&gt;=65,"GROW",IF(P562&gt;=50,"PARTNER","WATCH"))))</x:f>
      </x:c>
      <x:c r="R562" s="12" t="str">
        <x:f>IF(Q562="","",IF(Q562="ATTACK","Grassroots + family acquisition",IF(Q562="GROW","Test local campaign",IF(Q562="PARTNER","Organisation-first partnership","Low priority / validate"))))</x:f>
      </x:c>
      <x:c r="S562" s="45" t="n">
        <x:v>10.123404734732032</x:v>
      </x:c>
      <x:c r="T562" t="str">
        <x:v>EXTENDED</x:v>
      </x:c>
      <x:c r="U562" s="32" t="n">
        <x:f>PERCENTRANK.INC($G$2:$G$941,G562)</x:f>
        <x:v>0.101</x:v>
      </x:c>
      <x:c r="V562" s="32" t="n">
        <x:f>PERCENTRANK.INC($H$2:$H$941,H562)</x:f>
        <x:v>0.071</x:v>
      </x:c>
      <x:c r="W562" t="n">
        <x:f>ROUND((U562*55+V562*45)*IF(S562&lt;=5,1,IF(S562&lt;=10,0.95,IF(S562&lt;=20,0.85,0.70))),0)</x:f>
        <x:v>7</x:v>
      </x:c>
      <x:c r="X562" t="n">
        <x:v>17</x:v>
      </x:c>
      <x:c r="Y562" t="str">
        <x:v>WATCH</x:v>
      </x:c>
      <x:c r="Z562" s="12" t="str">
        <x:v>Family + verified grassroots + straight-line geo only; transport not yet routed</x:v>
      </x:c>
      <x:c r="AA562" s="12"/>
      <x:c r="AB562" s="12"/>
      <x:c r="AC562" s="12"/>
      <x:c r="AD562" s="12"/>
      <x:c r="AE562" t="str">
        <x:v>Charlton Athletic Women</x:v>
      </x:c>
      <x:c r="AF562" s="45" t="n">
        <x:v>3.7284786328149173</x:v>
      </x:c>
      <x:c r="AG562" t="str">
        <x:v>Millwall Lionesses</x:v>
      </x:c>
      <x:c r="AH562" s="45" t="n">
        <x:v>3.3889235605395656</x:v>
      </x:c>
      <x:c r="AI562" t="n">
        <x:v>85</x:v>
      </x:c>
      <x:c r="AJ562" t="str">
        <x:v>HIGH</x:v>
      </x:c>
    </x:row>
    <x:row r="563">
      <x:c r="A563" s="12" t="str">
        <x:v>E01034182</x:v>
      </x:c>
      <x:c r="B563" s="12" t="str">
        <x:v>Greenwich 035I</x:v>
      </x:c>
      <x:c r="C563" s="12" t="str">
        <x:v>Greenwich</x:v>
      </x:c>
      <x:c r="D563" s="44" t="n">
        <x:v>51.47622871398733</x:v>
      </x:c>
      <x:c r="E563" s="44" t="n">
        <x:v>-0.019356061418494216</x:v>
      </x:c>
      <x:c r="F563" s="33" t="n">
        <x:v>727</x:v>
      </x:c>
      <x:c r="G563" s="33" t="n">
        <x:v>142</x:v>
      </x:c>
      <x:c r="H563" s="26" t="n">
        <x:v>0.1953232462173315</x:v>
      </x:c>
      <x:c r="I563" s="12" t="n">
        <x:v>2</x:v>
      </x:c>
      <x:c r="J563" s="12" t="n">
        <x:v>36</x:v>
      </x:c>
      <x:c r="K563" s="12"/>
      <x:c r="L563" s="12"/>
      <x:c r="M563" s="12" t="str">
        <x:f>IF(K563="", "", MAX(0,IF(K563&lt;=20,100,IF(K563&lt;=30,85,IF(K563&lt;=40,70,IF(K563&lt;=50,55,IF(K563&lt;=60,40,20)))))-MIN(L563*5,20)))</x:f>
      </x:c>
      <x:c r="N563" s="12"/>
      <x:c r="O563" s="12"/>
      <x:c r="P563" s="12" t="str">
        <x:f>IF(OR(H563="",J563="",M563=""),"",ROUND(PERCENTRANK.INC($H$2:$H$941,H563)*35+J563*0.35+M563*0.30,0))</x:f>
      </x:c>
      <x:c r="Q563" s="12" t="str">
        <x:f>IF(P563="","",IF(P563&gt;=80,"ATTACK",IF(P563&gt;=65,"GROW",IF(P563&gt;=50,"PARTNER","WATCH"))))</x:f>
      </x:c>
      <x:c r="R563" s="12" t="str">
        <x:f>IF(Q563="","",IF(Q563="ATTACK","Grassroots + family acquisition",IF(Q563="GROW","Test local campaign",IF(Q563="PARTNER","Organisation-first partnership","Low priority / validate"))))</x:f>
      </x:c>
      <x:c r="S563" s="45" t="n">
        <x:v>9.820879838076856</x:v>
      </x:c>
      <x:c r="T563" t="str">
        <x:v>NEAR</x:v>
      </x:c>
      <x:c r="U563" s="32" t="n">
        <x:f>PERCENTRANK.INC($G$2:$G$941,G563)</x:f>
        <x:v>0.071</x:v>
      </x:c>
      <x:c r="V563" s="32" t="n">
        <x:f>PERCENTRANK.INC($H$2:$H$941,H563)</x:f>
        <x:v>0.059</x:v>
      </x:c>
      <x:c r="W563" t="n">
        <x:f>ROUND((U563*55+V563*45)*IF(S563&lt;=5,1,IF(S563&lt;=10,0.95,IF(S563&lt;=20,0.85,0.70))),0)</x:f>
        <x:v>6</x:v>
      </x:c>
      <x:c r="X563" t="n">
        <x:v>20</x:v>
      </x:c>
      <x:c r="Y563" t="str">
        <x:v>WATCH</x:v>
      </x:c>
      <x:c r="Z563" s="12" t="str">
        <x:v>Family + verified grassroots + straight-line geo only; transport not yet routed</x:v>
      </x:c>
      <x:c r="AA563" s="12"/>
      <x:c r="AB563" s="12"/>
      <x:c r="AC563" s="12"/>
      <x:c r="AD563" s="12"/>
      <x:c r="AE563" t="str">
        <x:v>Charlton Athletic Women</x:v>
      </x:c>
      <x:c r="AF563" s="45" t="n">
        <x:v>4.006676881512271</x:v>
      </x:c>
      <x:c r="AG563" t="str">
        <x:v>Millwall Lionesses</x:v>
      </x:c>
      <x:c r="AH563" s="45" t="n">
        <x:v>3.6281609866503333</x:v>
      </x:c>
      <x:c r="AI563" t="n">
        <x:v>85</x:v>
      </x:c>
      <x:c r="AJ563" t="str">
        <x:v>HIGH</x:v>
      </x:c>
    </x:row>
    <x:row r="564">
      <x:c r="A564" s="12" t="str">
        <x:v>E01001664</x:v>
      </x:c>
      <x:c r="B564" s="12" t="str">
        <x:v>Greenwich 037B</x:v>
      </x:c>
      <x:c r="C564" s="12" t="str">
        <x:v>Greenwich</x:v>
      </x:c>
      <x:c r="D564" s="44" t="n">
        <x:v>51.48375640349176</x:v>
      </x:c>
      <x:c r="E564" s="44" t="n">
        <x:v>0.003001638728925128</x:v>
      </x:c>
      <x:c r="F564" s="33" t="n">
        <x:v>883</x:v>
      </x:c>
      <x:c r="G564" s="33" t="n">
        <x:v>201</x:v>
      </x:c>
      <x:c r="H564" s="26" t="n">
        <x:v>0.2276330690826727</x:v>
      </x:c>
      <x:c r="I564" s="12" t="n">
        <x:v>2</x:v>
      </x:c>
      <x:c r="J564" s="12" t="n">
        <x:v>29</x:v>
      </x:c>
      <x:c r="K564" s="12"/>
      <x:c r="L564" s="12"/>
      <x:c r="M564" s="12" t="str">
        <x:f>IF(K564="", "", MAX(0,IF(K564&lt;=20,100,IF(K564&lt;=30,85,IF(K564&lt;=40,70,IF(K564&lt;=50,55,IF(K564&lt;=60,40,20)))))-MIN(L564*5,20)))</x:f>
      </x:c>
      <x:c r="N564" s="12"/>
      <x:c r="O564" s="12"/>
      <x:c r="P564" s="12" t="str">
        <x:f>IF(OR(H564="",J564="",M564=""),"",ROUND(PERCENTRANK.INC($H$2:$H$941,H564)*35+J564*0.35+M564*0.30,0))</x:f>
      </x:c>
      <x:c r="Q564" s="12" t="str">
        <x:f>IF(P564="","",IF(P564&gt;=80,"ATTACK",IF(P564&gt;=65,"GROW",IF(P564&gt;=50,"PARTNER","WATCH"))))</x:f>
      </x:c>
      <x:c r="R564" s="12" t="str">
        <x:f>IF(Q564="","",IF(Q564="ATTACK","Grassroots + family acquisition",IF(Q564="GROW","Test local campaign",IF(Q564="PARTNER","Organisation-first partnership","Low priority / validate"))))</x:f>
      </x:c>
      <x:c r="S564" s="45" t="n">
        <x:v>10.36609220101424</x:v>
      </x:c>
      <x:c r="T564" t="str">
        <x:v>EXTENDED</x:v>
      </x:c>
      <x:c r="U564" s="32" t="n">
        <x:f>PERCENTRANK.INC($G$2:$G$941,G564)</x:f>
        <x:v>0.396</x:v>
      </x:c>
      <x:c r="V564" s="32" t="n">
        <x:f>PERCENTRANK.INC($H$2:$H$941,H564)</x:f>
        <x:v>0.127</x:v>
      </x:c>
      <x:c r="W564" t="n">
        <x:f>ROUND((U564*55+V564*45)*IF(S564&lt;=5,1,IF(S564&lt;=10,0.95,IF(S564&lt;=20,0.85,0.70))),0)</x:f>
        <x:v>23</x:v>
      </x:c>
      <x:c r="X564" t="n">
        <x:v>26</x:v>
      </x:c>
      <x:c r="Y564" t="str">
        <x:v>WATCH</x:v>
      </x:c>
      <x:c r="Z564" s="12" t="str">
        <x:v>Family + verified grassroots + straight-line geo only; transport not yet routed</x:v>
      </x:c>
      <x:c r="AA564" s="12"/>
      <x:c r="AB564" s="12"/>
      <x:c r="AC564" s="12"/>
      <x:c r="AD564" s="12"/>
      <x:c r="AE564" t="str">
        <x:v>Charlton Athletic Women</x:v>
      </x:c>
      <x:c r="AF564" s="45" t="n">
        <x:v>2.3140460442385273</x:v>
      </x:c>
      <x:c r="AG564" t="str">
        <x:v>Millwall Lionesses</x:v>
      </x:c>
      <x:c r="AH564" s="45" t="n">
        <x:v>3.8934471114549933</x:v>
      </x:c>
      <x:c r="AI564" t="n">
        <x:v>96</x:v>
      </x:c>
      <x:c r="AJ564" t="str">
        <x:v>HIGH</x:v>
      </x:c>
    </x:row>
    <x:row r="565">
      <x:c r="A565" s="12" t="str">
        <x:v>E01001665</x:v>
      </x:c>
      <x:c r="B565" s="12" t="str">
        <x:v>Greenwich 037C</x:v>
      </x:c>
      <x:c r="C565" s="12" t="str">
        <x:v>Greenwich</x:v>
      </x:c>
      <x:c r="D565" s="44" t="n">
        <x:v>51.486256986157166</x:v>
      </x:c>
      <x:c r="E565" s="44" t="n">
        <x:v>0.012907070484856037</x:v>
      </x:c>
      <x:c r="F565" s="33" t="n">
        <x:v>773</x:v>
      </x:c>
      <x:c r="G565" s="33" t="n">
        <x:v>209</x:v>
      </x:c>
      <x:c r="H565" s="26" t="n">
        <x:v>0.2703751617076326</x:v>
      </x:c>
      <x:c r="I565" s="12" t="n">
        <x:v>1</x:v>
      </x:c>
      <x:c r="J565" s="12" t="n">
        <x:v>22</x:v>
      </x:c>
      <x:c r="K565" s="12"/>
      <x:c r="L565" s="12"/>
      <x:c r="M565" s="12" t="str">
        <x:f>IF(K565="", "", MAX(0,IF(K565&lt;=20,100,IF(K565&lt;=30,85,IF(K565&lt;=40,70,IF(K565&lt;=50,55,IF(K565&lt;=60,40,20)))))-MIN(L565*5,20)))</x:f>
      </x:c>
      <x:c r="N565" s="12"/>
      <x:c r="O565" s="12"/>
      <x:c r="P565" s="12" t="str">
        <x:f>IF(OR(H565="",J565="",M565=""),"",ROUND(PERCENTRANK.INC($H$2:$H$941,H565)*35+J565*0.35+M565*0.30,0))</x:f>
      </x:c>
      <x:c r="Q565" s="12" t="str">
        <x:f>IF(P565="","",IF(P565&gt;=80,"ATTACK",IF(P565&gt;=65,"GROW",IF(P565&gt;=50,"PARTNER","WATCH"))))</x:f>
      </x:c>
      <x:c r="R565" s="12" t="str">
        <x:f>IF(Q565="","",IF(Q565="ATTACK","Grassroots + family acquisition",IF(Q565="GROW","Test local campaign",IF(Q565="PARTNER","Organisation-first partnership","Low priority / validate"))))</x:f>
      </x:c>
      <x:c r="S565" s="45" t="n">
        <x:v>10.599116815183226</x:v>
      </x:c>
      <x:c r="T565" t="str">
        <x:v>EXTENDED</x:v>
      </x:c>
      <x:c r="U565" s="32" t="n">
        <x:f>PERCENTRANK.INC($G$2:$G$941,G565)</x:f>
        <x:v>0.461</x:v>
      </x:c>
      <x:c r="V565" s="32" t="n">
        <x:f>PERCENTRANK.INC($H$2:$H$941,H565)</x:f>
        <x:v>0.263</x:v>
      </x:c>
      <x:c r="W565" t="n">
        <x:f>ROUND((U565*55+V565*45)*IF(S565&lt;=5,1,IF(S565&lt;=10,0.95,IF(S565&lt;=20,0.85,0.70))),0)</x:f>
        <x:v>32</x:v>
      </x:c>
      <x:c r="X565" t="n">
        <x:v>28</x:v>
      </x:c>
      <x:c r="Y565" t="str">
        <x:v>WATCH</x:v>
      </x:c>
      <x:c r="Z565" s="12" t="str">
        <x:v>Family + verified grassroots + straight-line geo only; transport not yet routed</x:v>
      </x:c>
      <x:c r="AA565" s="12"/>
      <x:c r="AB565" s="12"/>
      <x:c r="AC565" s="12"/>
      <x:c r="AD565" s="12"/>
      <x:c r="AE565" t="str">
        <x:v>Charlton Athletic Women</x:v>
      </x:c>
      <x:c r="AF565" s="45" t="n">
        <x:v>1.6094498554899572</x:v>
      </x:c>
      <x:c r="AG565" t="str">
        <x:v>Millwall Lionesses</x:v>
      </x:c>
      <x:c r="AH565" s="45" t="n">
        <x:v>4.292323231978287</x:v>
      </x:c>
      <x:c r="AI565" t="n">
        <x:v>96</x:v>
      </x:c>
      <x:c r="AJ565" t="str">
        <x:v>HIGH</x:v>
      </x:c>
    </x:row>
    <x:row r="566">
      <x:c r="A566" s="12" t="str">
        <x:v>E01033738</x:v>
      </x:c>
      <x:c r="B566" s="12" t="str">
        <x:v>Greenwich 037D</x:v>
      </x:c>
      <x:c r="C566" s="12" t="str">
        <x:v>Greenwich</x:v>
      </x:c>
      <x:c r="D566" s="44" t="n">
        <x:v>51.48584626711407</x:v>
      </x:c>
      <x:c r="E566" s="44" t="n">
        <x:v>0.020001830098520277</x:v>
      </x:c>
      <x:c r="F566" s="33" t="n">
        <x:v>740</x:v>
      </x:c>
      <x:c r="G566" s="33" t="n">
        <x:v>221</x:v>
      </x:c>
      <x:c r="H566" s="26" t="n">
        <x:v>0.29864864864864865</x:v>
      </x:c>
      <x:c r="I566" s="12" t="n">
        <x:v>1</x:v>
      </x:c>
      <x:c r="J566" s="12" t="n">
        <x:v>22</x:v>
      </x:c>
      <x:c r="K566" s="12"/>
      <x:c r="L566" s="12"/>
      <x:c r="M566" s="12" t="str">
        <x:f>IF(K566="", "", MAX(0,IF(K566&lt;=20,100,IF(K566&lt;=30,85,IF(K566&lt;=40,70,IF(K566&lt;=50,55,IF(K566&lt;=60,40,20)))))-MIN(L566*5,20)))</x:f>
      </x:c>
      <x:c r="N566" s="12"/>
      <x:c r="O566" s="12"/>
      <x:c r="P566" s="12" t="str">
        <x:f>IF(OR(H566="",J566="",M566=""),"",ROUND(PERCENTRANK.INC($H$2:$H$941,H566)*35+J566*0.35+M566*0.30,0))</x:f>
      </x:c>
      <x:c r="Q566" s="12" t="str">
        <x:f>IF(P566="","",IF(P566&gt;=80,"ATTACK",IF(P566&gt;=65,"GROW",IF(P566&gt;=50,"PARTNER","WATCH"))))</x:f>
      </x:c>
      <x:c r="R566" s="12" t="str">
        <x:f>IF(Q566="","",IF(Q566="ATTACK","Grassroots + family acquisition",IF(Q566="GROW","Test local campaign",IF(Q566="PARTNER","Organisation-first partnership","Low priority / validate"))))</x:f>
      </x:c>
      <x:c r="S566" s="45" t="n">
        <x:v>10.549413518812454</x:v>
      </x:c>
      <x:c r="T566" t="str">
        <x:v>EXTENDED</x:v>
      </x:c>
      <x:c r="U566" s="32" t="n">
        <x:f>PERCENTRANK.INC($G$2:$G$941,G566)</x:f>
        <x:v>0.552</x:v>
      </x:c>
      <x:c r="V566" s="32" t="n">
        <x:f>PERCENTRANK.INC($H$2:$H$941,H566)</x:f>
        <x:v>0.385</x:v>
      </x:c>
      <x:c r="W566" t="n">
        <x:f>ROUND((U566*55+V566*45)*IF(S566&lt;=5,1,IF(S566&lt;=10,0.95,IF(S566&lt;=20,0.85,0.70))),0)</x:f>
        <x:v>41</x:v>
      </x:c>
      <x:c r="X566" t="n">
        <x:v>32</x:v>
      </x:c>
      <x:c r="Y566" t="str">
        <x:v>WATCH</x:v>
      </x:c>
      <x:c r="Z566" s="12" t="str">
        <x:v>Family + verified grassroots + straight-line geo only; transport not yet routed</x:v>
      </x:c>
      <x:c r="AA566" s="12"/>
      <x:c r="AB566" s="12"/>
      <x:c r="AC566" s="12"/>
      <x:c r="AD566" s="12"/>
      <x:c r="AE566" t="str">
        <x:v>Charlton Athletic Women</x:v>
      </x:c>
      <x:c r="AF566" s="45" t="n">
        <x:v>1.119819790323293</x:v>
      </x:c>
      <x:c r="AG566" t="str">
        <x:v>Millwall Lionesses</x:v>
      </x:c>
      <x:c r="AH566" s="45" t="n">
        <x:v>4.741550427078023</x:v>
      </x:c>
      <x:c r="AI566" t="n">
        <x:v>96</x:v>
      </x:c>
      <x:c r="AJ566" t="str">
        <x:v>HIGH</x:v>
      </x:c>
    </x:row>
    <x:row r="567">
      <x:c r="A567" s="12" t="str">
        <x:v>E01034183</x:v>
      </x:c>
      <x:c r="B567" s="12" t="str">
        <x:v>Greenwich 037E</x:v>
      </x:c>
      <x:c r="C567" s="12" t="str">
        <x:v>Greenwich</x:v>
      </x:c>
      <x:c r="D567" s="44" t="n">
        <x:v>51.4895463696831</x:v>
      </x:c>
      <x:c r="E567" s="44" t="n">
        <x:v>0.005475102387751098</x:v>
      </x:c>
      <x:c r="F567" s="33" t="n">
        <x:v>695</x:v>
      </x:c>
      <x:c r="G567" s="33" t="n">
        <x:v>201</x:v>
      </x:c>
      <x:c r="H567" s="26" t="n">
        <x:v>0.2892086330935252</x:v>
      </x:c>
      <x:c r="I567" s="12" t="n">
        <x:v>2</x:v>
      </x:c>
      <x:c r="J567" s="12" t="n">
        <x:v>29</x:v>
      </x:c>
      <x:c r="K567" s="12"/>
      <x:c r="L567" s="12"/>
      <x:c r="M567" s="12" t="str">
        <x:f>IF(K567="", "", MAX(0,IF(K567&lt;=20,100,IF(K567&lt;=30,85,IF(K567&lt;=40,70,IF(K567&lt;=50,55,IF(K567&lt;=60,40,20)))))-MIN(L567*5,20)))</x:f>
      </x:c>
      <x:c r="N567" s="12"/>
      <x:c r="O567" s="12"/>
      <x:c r="P567" s="12" t="str">
        <x:f>IF(OR(H567="",J567="",M567=""),"",ROUND(PERCENTRANK.INC($H$2:$H$941,H567)*35+J567*0.35+M567*0.30,0))</x:f>
      </x:c>
      <x:c r="Q567" s="12" t="str">
        <x:f>IF(P567="","",IF(P567&gt;=80,"ATTACK",IF(P567&gt;=65,"GROW",IF(P567&gt;=50,"PARTNER","WATCH"))))</x:f>
      </x:c>
      <x:c r="R567" s="12" t="str">
        <x:f>IF(Q567="","",IF(Q567="ATTACK","Grassroots + family acquisition",IF(Q567="GROW","Test local campaign",IF(Q567="PARTNER","Organisation-first partnership","Low priority / validate"))))</x:f>
      </x:c>
      <x:c r="S567" s="45" t="n">
        <x:v>10.992409729638833</x:v>
      </x:c>
      <x:c r="T567" t="str">
        <x:v>EXTENDED</x:v>
      </x:c>
      <x:c r="U567" s="32" t="n">
        <x:f>PERCENTRANK.INC($G$2:$G$941,G567)</x:f>
        <x:v>0.396</x:v>
      </x:c>
      <x:c r="V567" s="32" t="n">
        <x:f>PERCENTRANK.INC($H$2:$H$941,H567)</x:f>
        <x:v>0.341</x:v>
      </x:c>
      <x:c r="W567" t="n">
        <x:f>ROUND((U567*55+V567*45)*IF(S567&lt;=5,1,IF(S567&lt;=10,0.95,IF(S567&lt;=20,0.85,0.70))),0)</x:f>
        <x:v>32</x:v>
      </x:c>
      <x:c r="X567" t="n">
        <x:v>31</x:v>
      </x:c>
      <x:c r="Y567" t="str">
        <x:v>WATCH</x:v>
      </x:c>
      <x:c r="Z567" s="12" t="str">
        <x:v>Family + verified grassroots + straight-line geo only; transport not yet routed</x:v>
      </x:c>
      <x:c r="AA567" s="12"/>
      <x:c r="AB567" s="12"/>
      <x:c r="AC567" s="12"/>
      <x:c r="AD567" s="12"/>
      <x:c r="AE567" t="str">
        <x:v>Charlton Athletic Women</x:v>
      </x:c>
      <x:c r="AF567" s="45" t="n">
        <x:v>2.15251674716586</x:v>
      </x:c>
      <x:c r="AG567" t="str">
        <x:v>Millwall Lionesses</x:v>
      </x:c>
      <x:c r="AH567" s="45" t="n">
        <x:v>3.6631251137504703</x:v>
      </x:c>
      <x:c r="AI567" t="n">
        <x:v>96</x:v>
      </x:c>
      <x:c r="AJ567" t="str">
        <x:v>HIGH</x:v>
      </x:c>
    </x:row>
    <x:row r="568">
      <x:c r="A568" s="12" t="str">
        <x:v>E01034184</x:v>
      </x:c>
      <x:c r="B568" s="12" t="str">
        <x:v>Greenwich 037F</x:v>
      </x:c>
      <x:c r="C568" s="12" t="str">
        <x:v>Greenwich</x:v>
      </x:c>
      <x:c r="D568" s="44" t="n">
        <x:v>51.48545189930171</x:v>
      </x:c>
      <x:c r="E568" s="44" t="n">
        <x:v>0.00939229550307067</x:v>
      </x:c>
      <x:c r="F568" s="33" t="n">
        <x:v>575</x:v>
      </x:c>
      <x:c r="G568" s="33" t="n">
        <x:v>181</x:v>
      </x:c>
      <x:c r="H568" s="26" t="n">
        <x:v>0.31478260869565217</x:v>
      </x:c>
      <x:c r="I568" s="12" t="n">
        <x:v>2</x:v>
      </x:c>
      <x:c r="J568" s="12" t="n">
        <x:v>29</x:v>
      </x:c>
      <x:c r="K568" s="12"/>
      <x:c r="L568" s="12"/>
      <x:c r="M568" s="12" t="str">
        <x:f>IF(K568="", "", MAX(0,IF(K568&lt;=20,100,IF(K568&lt;=30,85,IF(K568&lt;=40,70,IF(K568&lt;=50,55,IF(K568&lt;=60,40,20)))))-MIN(L568*5,20)))</x:f>
      </x:c>
      <x:c r="N568" s="12"/>
      <x:c r="O568" s="12"/>
      <x:c r="P568" s="12" t="str">
        <x:f>IF(OR(H568="",J568="",M568=""),"",ROUND(PERCENTRANK.INC($H$2:$H$941,H568)*35+J568*0.35+M568*0.30,0))</x:f>
      </x:c>
      <x:c r="Q568" s="12" t="str">
        <x:f>IF(P568="","",IF(P568&gt;=80,"ATTACK",IF(P568&gt;=65,"GROW",IF(P568&gt;=50,"PARTNER","WATCH"))))</x:f>
      </x:c>
      <x:c r="R568" s="12" t="str">
        <x:f>IF(Q568="","",IF(Q568="ATTACK","Grassroots + family acquisition",IF(Q568="GROW","Test local campaign",IF(Q568="PARTNER","Organisation-first partnership","Low priority / validate"))))</x:f>
      </x:c>
      <x:c r="S568" s="45" t="n">
        <x:v>10.520175440691803</x:v>
      </x:c>
      <x:c r="T568" t="str">
        <x:v>EXTENDED</x:v>
      </x:c>
      <x:c r="U568" s="32" t="n">
        <x:f>PERCENTRANK.INC($G$2:$G$941,G568)</x:f>
        <x:v>0.23</x:v>
      </x:c>
      <x:c r="V568" s="32" t="n">
        <x:f>PERCENTRANK.INC($H$2:$H$941,H568)</x:f>
        <x:v>0.483</x:v>
      </x:c>
      <x:c r="W568" t="n">
        <x:f>ROUND((U568*55+V568*45)*IF(S568&lt;=5,1,IF(S568&lt;=10,0.95,IF(S568&lt;=20,0.85,0.70))),0)</x:f>
        <x:v>29</x:v>
      </x:c>
      <x:c r="X568" t="n">
        <x:v>29</x:v>
      </x:c>
      <x:c r="Y568" t="str">
        <x:v>WATCH</x:v>
      </x:c>
      <x:c r="Z568" s="12" t="str">
        <x:v>Family + verified grassroots + straight-line geo only; transport not yet routed</x:v>
      </x:c>
      <x:c r="AA568" s="12"/>
      <x:c r="AB568" s="12"/>
      <x:c r="AC568" s="12"/>
      <x:c r="AD568" s="12"/>
      <x:c r="AE568" t="str">
        <x:v>Charlton Athletic Women</x:v>
      </x:c>
      <x:c r="AF568" s="45" t="n">
        <x:v>1.8557522885444282</x:v>
      </x:c>
      <x:c r="AG568" t="str">
        <x:v>Millwall Lionesses</x:v>
      </x:c>
      <x:c r="AH568" s="45" t="n">
        <x:v>4.134970875235574</x:v>
      </x:c>
      <x:c r="AI568" t="n">
        <x:v>96</x:v>
      </x:c>
      <x:c r="AJ568" t="str">
        <x:v>HIGH</x:v>
      </x:c>
    </x:row>
    <x:row r="569">
      <x:c r="A569" s="12" t="str">
        <x:v>E01034185</x:v>
      </x:c>
      <x:c r="B569" s="12" t="str">
        <x:v>Greenwich 037G</x:v>
      </x:c>
      <x:c r="C569" s="12" t="str">
        <x:v>Greenwich</x:v>
      </x:c>
      <x:c r="D569" s="44" t="n">
        <x:v>51.48492888932601</x:v>
      </x:c>
      <x:c r="E569" s="44" t="n">
        <x:v>0.007560793337804333</x:v>
      </x:c>
      <x:c r="F569" s="33" t="n">
        <x:v>559</x:v>
      </x:c>
      <x:c r="G569" s="33" t="n">
        <x:v>128</x:v>
      </x:c>
      <x:c r="H569" s="26" t="n">
        <x:v>0.22898032200357782</x:v>
      </x:c>
      <x:c r="I569" s="12" t="n">
        <x:v>2</x:v>
      </x:c>
      <x:c r="J569" s="12" t="n">
        <x:v>29</x:v>
      </x:c>
      <x:c r="K569" s="12"/>
      <x:c r="L569" s="12"/>
      <x:c r="M569" s="12" t="str">
        <x:f>IF(K569="", "", MAX(0,IF(K569&lt;=20,100,IF(K569&lt;=30,85,IF(K569&lt;=40,70,IF(K569&lt;=50,55,IF(K569&lt;=60,40,20)))))-MIN(L569*5,20)))</x:f>
      </x:c>
      <x:c r="N569" s="12"/>
      <x:c r="O569" s="12"/>
      <x:c r="P569" s="12" t="str">
        <x:f>IF(OR(H569="",J569="",M569=""),"",ROUND(PERCENTRANK.INC($H$2:$H$941,H569)*35+J569*0.35+M569*0.30,0))</x:f>
      </x:c>
      <x:c r="Q569" s="12" t="str">
        <x:f>IF(P569="","",IF(P569&gt;=80,"ATTACK",IF(P569&gt;=65,"GROW",IF(P569&gt;=50,"PARTNER","WATCH"))))</x:f>
      </x:c>
      <x:c r="R569" s="12" t="str">
        <x:f>IF(Q569="","",IF(Q569="ATTACK","Grassroots + family acquisition",IF(Q569="GROW","Test local campaign",IF(Q569="PARTNER","Organisation-first partnership","Low priority / validate"))))</x:f>
      </x:c>
      <x:c r="S569" s="45" t="n">
        <x:v>10.4698705965666</x:v>
      </x:c>
      <x:c r="T569" t="str">
        <x:v>EXTENDED</x:v>
      </x:c>
      <x:c r="U569" s="32" t="n">
        <x:f>PERCENTRANK.INC($G$2:$G$941,G569)</x:f>
        <x:v>0.046</x:v>
      </x:c>
      <x:c r="V569" s="32" t="n">
        <x:f>PERCENTRANK.INC($H$2:$H$941,H569)</x:f>
        <x:v>0.128</x:v>
      </x:c>
      <x:c r="W569" t="n">
        <x:f>ROUND((U569*55+V569*45)*IF(S569&lt;=5,1,IF(S569&lt;=10,0.95,IF(S569&lt;=20,0.85,0.70))),0)</x:f>
        <x:v>7</x:v>
      </x:c>
      <x:c r="X569" t="n">
        <x:v>17</x:v>
      </x:c>
      <x:c r="Y569" t="str">
        <x:v>WATCH</x:v>
      </x:c>
      <x:c r="Z569" s="12" t="str">
        <x:v>Family + verified grassroots + straight-line geo only; transport not yet routed</x:v>
      </x:c>
      <x:c r="AA569" s="12"/>
      <x:c r="AB569" s="12"/>
      <x:c r="AC569" s="12"/>
      <x:c r="AD569" s="12"/>
      <x:c r="AE569" t="str">
        <x:v>Charlton Athletic Women</x:v>
      </x:c>
      <x:c r="AF569" s="45" t="n">
        <x:v>1.986330561923438</x:v>
      </x:c>
      <x:c r="AG569" t="str">
        <x:v>Millwall Lionesses</x:v>
      </x:c>
      <x:c r="AH569" s="45" t="n">
        <x:v>4.063800585432446</x:v>
      </x:c>
      <x:c r="AI569" t="n">
        <x:v>96</x:v>
      </x:c>
      <x:c r="AJ569" t="str">
        <x:v>HIGH</x:v>
      </x:c>
    </x:row>
    <x:row r="570">
      <x:c r="A570" s="12" t="str">
        <x:v>E01001638</x:v>
      </x:c>
      <x:c r="B570" s="12" t="str">
        <x:v>Greenwich 038A</x:v>
      </x:c>
      <x:c r="C570" s="12" t="str">
        <x:v>Greenwich</x:v>
      </x:c>
      <x:c r="D570" s="44" t="n">
        <x:v>51.46998214913426</x:v>
      </x:c>
      <x:c r="E570" s="44" t="n">
        <x:v>-0.01637774112043406</x:v>
      </x:c>
      <x:c r="F570" s="33" t="n">
        <x:v>682</x:v>
      </x:c>
      <x:c r="G570" s="33" t="n">
        <x:v>228</x:v>
      </x:c>
      <x:c r="H570" s="26" t="n">
        <x:v>0.3343108504398827</x:v>
      </x:c>
      <x:c r="I570" s="12" t="n">
        <x:v>2</x:v>
      </x:c>
      <x:c r="J570" s="12" t="n">
        <x:v>36</x:v>
      </x:c>
      <x:c r="K570" s="12"/>
      <x:c r="L570" s="12"/>
      <x:c r="M570" s="12" t="str">
        <x:f>IF(K570="", "", MAX(0,IF(K570&lt;=20,100,IF(K570&lt;=30,85,IF(K570&lt;=40,70,IF(K570&lt;=50,55,IF(K570&lt;=60,40,20)))))-MIN(L570*5,20)))</x:f>
      </x:c>
      <x:c r="N570" s="12"/>
      <x:c r="O570" s="12"/>
      <x:c r="P570" s="12" t="str">
        <x:f>IF(OR(H570="",J570="",M570=""),"",ROUND(PERCENTRANK.INC($H$2:$H$941,H570)*35+J570*0.35+M570*0.30,0))</x:f>
      </x:c>
      <x:c r="Q570" s="12" t="str">
        <x:f>IF(P570="","",IF(P570&gt;=80,"ATTACK",IF(P570&gt;=65,"GROW",IF(P570&gt;=50,"PARTNER","WATCH"))))</x:f>
      </x:c>
      <x:c r="R570" s="12" t="str">
        <x:f>IF(Q570="","",IF(Q570="ATTACK","Grassroots + family acquisition",IF(Q570="GROW","Test local campaign",IF(Q570="PARTNER","Organisation-first partnership","Low priority / validate"))))</x:f>
      </x:c>
      <x:c r="S570" s="45" t="n">
        <x:v>9.096528704939722</x:v>
      </x:c>
      <x:c r="T570" t="str">
        <x:v>NEAR</x:v>
      </x:c>
      <x:c r="U570" s="32" t="n">
        <x:f>PERCENTRANK.INC($G$2:$G$941,G570)</x:f>
        <x:v>0.616</x:v>
      </x:c>
      <x:c r="V570" s="32" t="n">
        <x:f>PERCENTRANK.INC($H$2:$H$941,H570)</x:f>
        <x:v>0.597</x:v>
      </x:c>
      <x:c r="W570" t="n">
        <x:f>ROUND((U570*55+V570*45)*IF(S570&lt;=5,1,IF(S570&lt;=10,0.95,IF(S570&lt;=20,0.85,0.70))),0)</x:f>
        <x:v>58</x:v>
      </x:c>
      <x:c r="X570" t="n">
        <x:v>48</x:v>
      </x:c>
      <x:c r="Y570" t="str">
        <x:v>WATCH</x:v>
      </x:c>
      <x:c r="Z570" s="12" t="str">
        <x:v>Family + verified grassroots + straight-line geo only; transport not yet routed</x:v>
      </x:c>
      <x:c r="AA570" s="12"/>
      <x:c r="AB570" s="12"/>
      <x:c r="AC570" s="12"/>
      <x:c r="AD570" s="12"/>
      <x:c r="AE570" t="str">
        <x:v>Charlton Athletic Women</x:v>
      </x:c>
      <x:c r="AF570" s="45" t="n">
        <x:v>4.070123582885076</x:v>
      </x:c>
      <x:c r="AG570" t="str">
        <x:v>Millwall Lionesses</x:v>
      </x:c>
      <x:c r="AH570" s="45" t="n">
        <x:v>4.348341501012946</x:v>
      </x:c>
      <x:c r="AI570" t="n">
        <x:v>85</x:v>
      </x:c>
      <x:c r="AJ570" t="str">
        <x:v>HIGH</x:v>
      </x:c>
    </x:row>
    <x:row r="571">
      <x:c r="A571" s="12" t="str">
        <x:v>E01001641</x:v>
      </x:c>
      <x:c r="B571" s="12" t="str">
        <x:v>Greenwich 038B</x:v>
      </x:c>
      <x:c r="C571" s="12" t="str">
        <x:v>Greenwich</x:v>
      </x:c>
      <x:c r="D571" s="44" t="n">
        <x:v>51.4792613234493</x:v>
      </x:c>
      <x:c r="E571" s="44" t="n">
        <x:v>-0.011291854540974871</x:v>
      </x:c>
      <x:c r="F571" s="33" t="n">
        <x:v>818</x:v>
      </x:c>
      <x:c r="G571" s="33" t="n">
        <x:v>177</x:v>
      </x:c>
      <x:c r="H571" s="26" t="n">
        <x:v>0.21638141809290953</x:v>
      </x:c>
      <x:c r="I571" s="12" t="n">
        <x:v>2</x:v>
      </x:c>
      <x:c r="J571" s="12" t="n">
        <x:v>29</x:v>
      </x:c>
      <x:c r="K571" s="12"/>
      <x:c r="L571" s="12"/>
      <x:c r="M571" s="12" t="str">
        <x:f>IF(K571="", "", MAX(0,IF(K571&lt;=20,100,IF(K571&lt;=30,85,IF(K571&lt;=40,70,IF(K571&lt;=50,55,IF(K571&lt;=60,40,20)))))-MIN(L571*5,20)))</x:f>
      </x:c>
      <x:c r="N571" s="12"/>
      <x:c r="O571" s="12"/>
      <x:c r="P571" s="12" t="str">
        <x:f>IF(OR(H571="",J571="",M571=""),"",ROUND(PERCENTRANK.INC($H$2:$H$941,H571)*35+J571*0.35+M571*0.30,0))</x:f>
      </x:c>
      <x:c r="Q571" s="12" t="str">
        <x:f>IF(P571="","",IF(P571&gt;=80,"ATTACK",IF(P571&gt;=65,"GROW",IF(P571&gt;=50,"PARTNER","WATCH"))))</x:f>
      </x:c>
      <x:c r="R571" s="12" t="str">
        <x:f>IF(Q571="","",IF(Q571="ATTACK","Grassroots + family acquisition",IF(Q571="GROW","Test local campaign",IF(Q571="PARTNER","Organisation-first partnership","Low priority / validate"))))</x:f>
      </x:c>
      <x:c r="S571" s="45" t="n">
        <x:v>10.019758672166759</x:v>
      </x:c>
      <x:c r="T571" t="str">
        <x:v>EXTENDED</x:v>
      </x:c>
      <x:c r="U571" s="32" t="n">
        <x:f>PERCENTRANK.INC($G$2:$G$941,G571)</x:f>
        <x:v>0.202</x:v>
      </x:c>
      <x:c r="V571" s="32" t="n">
        <x:f>PERCENTRANK.INC($H$2:$H$941,H571)</x:f>
        <x:v>0.094</x:v>
      </x:c>
      <x:c r="W571" t="n">
        <x:f>ROUND((U571*55+V571*45)*IF(S571&lt;=5,1,IF(S571&lt;=10,0.95,IF(S571&lt;=20,0.85,0.70))),0)</x:f>
        <x:v>13</x:v>
      </x:c>
      <x:c r="X571" t="n">
        <x:v>20</x:v>
      </x:c>
      <x:c r="Y571" t="str">
        <x:v>WATCH</x:v>
      </x:c>
      <x:c r="Z571" s="12" t="str">
        <x:v>Family + verified grassroots + straight-line geo only; transport not yet routed</x:v>
      </x:c>
      <x:c r="AA571" s="12"/>
      <x:c r="AB571" s="12"/>
      <x:c r="AC571" s="12"/>
      <x:c r="AD571" s="12"/>
      <x:c r="AE571" t="str">
        <x:v>Charlton Athletic Women</x:v>
      </x:c>
      <x:c r="AF571" s="45" t="n">
        <x:v>3.3797280831767367</x:v>
      </x:c>
      <x:c r="AG571" t="str">
        <x:v>Millwall Lionesses</x:v>
      </x:c>
      <x:c r="AH571" s="45" t="n">
        <x:v>3.599591966534542</x:v>
      </x:c>
      <x:c r="AI571" t="n">
        <x:v>85</x:v>
      </x:c>
      <x:c r="AJ571" t="str">
        <x:v>HIGH</x:v>
      </x:c>
    </x:row>
    <x:row r="572">
      <x:c r="A572" s="12" t="str">
        <x:v>E01001642</x:v>
      </x:c>
      <x:c r="B572" s="12" t="str">
        <x:v>Greenwich 038C</x:v>
      </x:c>
      <x:c r="C572" s="12" t="str">
        <x:v>Greenwich</x:v>
      </x:c>
      <x:c r="D572" s="44" t="n">
        <x:v>51.47536432699692</x:v>
      </x:c>
      <x:c r="E572" s="44" t="n">
        <x:v>-0.008528207350116668</x:v>
      </x:c>
      <x:c r="F572" s="33" t="n">
        <x:v>758</x:v>
      </x:c>
      <x:c r="G572" s="33" t="n">
        <x:v>196</x:v>
      </x:c>
      <x:c r="H572" s="26" t="n">
        <x:v>0.25857519788918204</x:v>
      </x:c>
      <x:c r="I572" s="12" t="n">
        <x:v>2</x:v>
      </x:c>
      <x:c r="J572" s="12" t="n">
        <x:v>36</x:v>
      </x:c>
      <x:c r="K572" s="12"/>
      <x:c r="L572" s="12"/>
      <x:c r="M572" s="12" t="str">
        <x:f>IF(K572="", "", MAX(0,IF(K572&lt;=20,100,IF(K572&lt;=30,85,IF(K572&lt;=40,70,IF(K572&lt;=50,55,IF(K572&lt;=60,40,20)))))-MIN(L572*5,20)))</x:f>
      </x:c>
      <x:c r="N572" s="12"/>
      <x:c r="O572" s="12"/>
      <x:c r="P572" s="12" t="str">
        <x:f>IF(OR(H572="",J572="",M572=""),"",ROUND(PERCENTRANK.INC($H$2:$H$941,H572)*35+J572*0.35+M572*0.30,0))</x:f>
      </x:c>
      <x:c r="Q572" s="12" t="str">
        <x:f>IF(P572="","",IF(P572&gt;=80,"ATTACK",IF(P572&gt;=65,"GROW",IF(P572&gt;=50,"PARTNER","WATCH"))))</x:f>
      </x:c>
      <x:c r="R572" s="12" t="str">
        <x:f>IF(Q572="","",IF(Q572="ATTACK","Grassroots + family acquisition",IF(Q572="GROW","Test local campaign",IF(Q572="PARTNER","Organisation-first partnership","Low priority / validate"))))</x:f>
      </x:c>
      <x:c r="S572" s="45" t="n">
        <x:v>9.557351757811848</x:v>
      </x:c>
      <x:c r="T572" t="str">
        <x:v>NEAR</x:v>
      </x:c>
      <x:c r="U572" s="32" t="n">
        <x:f>PERCENTRANK.INC($G$2:$G$941,G572)</x:f>
        <x:v>0.351</x:v>
      </x:c>
      <x:c r="V572" s="32" t="n">
        <x:f>PERCENTRANK.INC($H$2:$H$941,H572)</x:f>
        <x:v>0.211</x:v>
      </x:c>
      <x:c r="W572" t="n">
        <x:f>ROUND((U572*55+V572*45)*IF(S572&lt;=5,1,IF(S572&lt;=10,0.95,IF(S572&lt;=20,0.85,0.70))),0)</x:f>
        <x:v>27</x:v>
      </x:c>
      <x:c r="X572" t="n">
        <x:v>31</x:v>
      </x:c>
      <x:c r="Y572" t="str">
        <x:v>WATCH</x:v>
      </x:c>
      <x:c r="Z572" s="12" t="str">
        <x:v>Family + verified grassroots + straight-line geo only; transport not yet routed</x:v>
      </x:c>
      <x:c r="AA572" s="12"/>
      <x:c r="AB572" s="12"/>
      <x:c r="AC572" s="12"/>
      <x:c r="AD572" s="12"/>
      <x:c r="AE572" t="str">
        <x:v>Charlton Athletic Women</x:v>
      </x:c>
      <x:c r="AF572" s="45" t="n">
        <x:v>3.3284107702359513</x:v>
      </x:c>
      <x:c r="AG572" t="str">
        <x:v>Millwall Lionesses</x:v>
      </x:c>
      <x:c r="AH572" s="45" t="n">
        <x:v>4.0669880722706315</x:v>
      </x:c>
      <x:c r="AI572" t="n">
        <x:v>85</x:v>
      </x:c>
      <x:c r="AJ572" t="str">
        <x:v>HIGH</x:v>
      </x:c>
    </x:row>
    <x:row r="573">
      <x:c r="A573" s="12" t="str">
        <x:v>E01001644</x:v>
      </x:c>
      <x:c r="B573" s="12" t="str">
        <x:v>Greenwich 038D</x:v>
      </x:c>
      <x:c r="C573" s="12" t="str">
        <x:v>Greenwich</x:v>
      </x:c>
      <x:c r="D573" s="44" t="n">
        <x:v>51.47354251437834</x:v>
      </x:c>
      <x:c r="E573" s="44" t="n">
        <x:v>-0.01703924188714637</x:v>
      </x:c>
      <x:c r="F573" s="33" t="n">
        <x:v>1181</x:v>
      </x:c>
      <x:c r="G573" s="33" t="n">
        <x:v>248</x:v>
      </x:c>
      <x:c r="H573" s="26" t="n">
        <x:v>0.20999153259949196</x:v>
      </x:c>
      <x:c r="I573" s="12" t="n">
        <x:v>2</x:v>
      </x:c>
      <x:c r="J573" s="12" t="n">
        <x:v>36</x:v>
      </x:c>
      <x:c r="K573" s="12"/>
      <x:c r="L573" s="12"/>
      <x:c r="M573" s="12" t="str">
        <x:f>IF(K573="", "", MAX(0,IF(K573&lt;=20,100,IF(K573&lt;=30,85,IF(K573&lt;=40,70,IF(K573&lt;=50,55,IF(K573&lt;=60,40,20)))))-MIN(L573*5,20)))</x:f>
      </x:c>
      <x:c r="N573" s="12"/>
      <x:c r="O573" s="12"/>
      <x:c r="P573" s="12" t="str">
        <x:f>IF(OR(H573="",J573="",M573=""),"",ROUND(PERCENTRANK.INC($H$2:$H$941,H573)*35+J573*0.35+M573*0.30,0))</x:f>
      </x:c>
      <x:c r="Q573" s="12" t="str">
        <x:f>IF(P573="","",IF(P573&gt;=80,"ATTACK",IF(P573&gt;=65,"GROW",IF(P573&gt;=50,"PARTNER","WATCH"))))</x:f>
      </x:c>
      <x:c r="R573" s="12" t="str">
        <x:f>IF(Q573="","",IF(Q573="ATTACK","Grassroots + family acquisition",IF(Q573="GROW","Test local campaign",IF(Q573="PARTNER","Organisation-first partnership","Low priority / validate"))))</x:f>
      </x:c>
      <x:c r="S573" s="45" t="n">
        <x:v>9.490901531705578</x:v>
      </x:c>
      <x:c r="T573" t="str">
        <x:v>NEAR</x:v>
      </x:c>
      <x:c r="U573" s="32" t="n">
        <x:f>PERCENTRANK.INC($G$2:$G$941,G573)</x:f>
        <x:v>0.757</x:v>
      </x:c>
      <x:c r="V573" s="32" t="n">
        <x:f>PERCENTRANK.INC($H$2:$H$941,H573)</x:f>
        <x:v>0.082</x:v>
      </x:c>
      <x:c r="W573" t="n">
        <x:f>ROUND((U573*55+V573*45)*IF(S573&lt;=5,1,IF(S573&lt;=10,0.95,IF(S573&lt;=20,0.85,0.70))),0)</x:f>
        <x:v>43</x:v>
      </x:c>
      <x:c r="X573" t="n">
        <x:v>40</x:v>
      </x:c>
      <x:c r="Y573" t="str">
        <x:v>WATCH</x:v>
      </x:c>
      <x:c r="Z573" s="12" t="str">
        <x:v>Family + verified grassroots + straight-line geo only; transport not yet routed</x:v>
      </x:c>
      <x:c r="AA573" s="12"/>
      <x:c r="AB573" s="12"/>
      <x:c r="AC573" s="12"/>
      <x:c r="AD573" s="12"/>
      <x:c r="AE573" t="str">
        <x:v>Charlton Athletic Women</x:v>
      </x:c>
      <x:c r="AF573" s="45" t="n">
        <x:v>3.951138889523021</x:v>
      </x:c>
      <x:c r="AG573" t="str">
        <x:v>Millwall Lionesses</x:v>
      </x:c>
      <x:c r="AH573" s="45" t="n">
        <x:v>3.9661406934284495</x:v>
      </x:c>
      <x:c r="AI573" t="n">
        <x:v>85</x:v>
      </x:c>
      <x:c r="AJ573" t="str">
        <x:v>HIGH</x:v>
      </x:c>
    </x:row>
    <x:row r="574">
      <x:c r="A574" s="12" t="str">
        <x:v>E01033746</x:v>
      </x:c>
      <x:c r="B574" s="12" t="str">
        <x:v>Greenwich 038E</x:v>
      </x:c>
      <x:c r="C574" s="12" t="str">
        <x:v>Greenwich</x:v>
      </x:c>
      <x:c r="D574" s="44" t="n">
        <x:v>51.47572520933904</x:v>
      </x:c>
      <x:c r="E574" s="44" t="n">
        <x:v>-0.013589697893715889</x:v>
      </x:c>
      <x:c r="F574" s="33" t="n">
        <x:v>704</x:v>
      </x:c>
      <x:c r="G574" s="33" t="n">
        <x:v>162</x:v>
      </x:c>
      <x:c r="H574" s="26" t="n">
        <x:v>0.23011363636363635</x:v>
      </x:c>
      <x:c r="I574" s="12" t="n">
        <x:v>2</x:v>
      </x:c>
      <x:c r="J574" s="12" t="n">
        <x:v>36</x:v>
      </x:c>
      <x:c r="K574" s="12"/>
      <x:c r="L574" s="12"/>
      <x:c r="M574" s="12" t="str">
        <x:f>IF(K574="", "", MAX(0,IF(K574&lt;=20,100,IF(K574&lt;=30,85,IF(K574&lt;=40,70,IF(K574&lt;=50,55,IF(K574&lt;=60,40,20)))))-MIN(L574*5,20)))</x:f>
      </x:c>
      <x:c r="N574" s="12"/>
      <x:c r="O574" s="12"/>
      <x:c r="P574" s="12" t="str">
        <x:f>IF(OR(H574="",J574="",M574=""),"",ROUND(PERCENTRANK.INC($H$2:$H$941,H574)*35+J574*0.35+M574*0.30,0))</x:f>
      </x:c>
      <x:c r="Q574" s="12" t="str">
        <x:f>IF(P574="","",IF(P574&gt;=80,"ATTACK",IF(P574&gt;=65,"GROW",IF(P574&gt;=50,"PARTNER","WATCH"))))</x:f>
      </x:c>
      <x:c r="R574" s="12" t="str">
        <x:f>IF(Q574="","",IF(Q574="ATTACK","Grassroots + family acquisition",IF(Q574="GROW","Test local campaign",IF(Q574="PARTNER","Organisation-first partnership","Low priority / validate"))))</x:f>
      </x:c>
      <x:c r="S574" s="45" t="n">
        <x:v>9.66938844670806</x:v>
      </x:c>
      <x:c r="T574" t="str">
        <x:v>NEAR</x:v>
      </x:c>
      <x:c r="U574" s="32" t="n">
        <x:f>PERCENTRANK.INC($G$2:$G$941,G574)</x:f>
        <x:v>0.134</x:v>
      </x:c>
      <x:c r="V574" s="32" t="n">
        <x:f>PERCENTRANK.INC($H$2:$H$941,H574)</x:f>
        <x:v>0.136</x:v>
      </x:c>
      <x:c r="W574" t="n">
        <x:f>ROUND((U574*55+V574*45)*IF(S574&lt;=5,1,IF(S574&lt;=10,0.95,IF(S574&lt;=20,0.85,0.70))),0)</x:f>
        <x:v>13</x:v>
      </x:c>
      <x:c r="X574" t="n">
        <x:v>23</x:v>
      </x:c>
      <x:c r="Y574" t="str">
        <x:v>WATCH</x:v>
      </x:c>
      <x:c r="Z574" s="12" t="str">
        <x:v>Family + verified grassroots + straight-line geo only; transport not yet routed</x:v>
      </x:c>
      <x:c r="AA574" s="12"/>
      <x:c r="AB574" s="12"/>
      <x:c r="AC574" s="12"/>
      <x:c r="AD574" s="12"/>
      <x:c r="AE574" t="str">
        <x:v>Charlton Athletic Women</x:v>
      </x:c>
      <x:c r="AF574" s="45" t="n">
        <x:v>3.6432267030470773</x:v>
      </x:c>
      <x:c r="AG574" t="str">
        <x:v>Millwall Lionesses</x:v>
      </x:c>
      <x:c r="AH574" s="45" t="n">
        <x:v>3.8538481868375665</x:v>
      </x:c>
      <x:c r="AI574" t="n">
        <x:v>85</x:v>
      </x:c>
      <x:c r="AJ574" t="str">
        <x:v>HIGH</x:v>
      </x:c>
    </x:row>
    <x:row r="575">
      <x:c r="A575" s="12" t="str">
        <x:v>E01033736</x:v>
      </x:c>
      <x:c r="B575" s="12" t="str">
        <x:v>Greenwich 039A</x:v>
      </x:c>
      <x:c r="C575" s="12" t="str">
        <x:v>Greenwich</x:v>
      </x:c>
      <x:c r="D575" s="44" t="n">
        <x:v>51.49434145649594</x:v>
      </x:c>
      <x:c r="E575" s="44" t="n">
        <x:v>0.06896682201627256</x:v>
      </x:c>
      <x:c r="F575" s="33" t="n">
        <x:v>1166</x:v>
      </x:c>
      <x:c r="G575" s="33" t="n">
        <x:v>167</x:v>
      </x:c>
      <x:c r="H575" s="26" t="n">
        <x:v>0.1432246998284734</x:v>
      </x:c>
      <x:c r="I575" s="12" t="n">
        <x:v>0</x:v>
      </x:c>
      <x:c r="J575" s="12" t="n">
        <x:v>0</x:v>
      </x:c>
      <x:c r="K575" s="12"/>
      <x:c r="L575" s="12"/>
      <x:c r="M575" s="12" t="str">
        <x:f>IF(K575="", "", MAX(0,IF(K575&lt;=20,100,IF(K575&lt;=30,85,IF(K575&lt;=40,70,IF(K575&lt;=50,55,IF(K575&lt;=60,40,20)))))-MIN(L575*5,20)))</x:f>
      </x:c>
      <x:c r="N575" s="12"/>
      <x:c r="O575" s="12"/>
      <x:c r="P575" s="12" t="str">
        <x:f>IF(OR(H575="",J575="",M575=""),"",ROUND(PERCENTRANK.INC($H$2:$H$941,H575)*35+J575*0.35+M575*0.30,0))</x:f>
      </x:c>
      <x:c r="Q575" s="12" t="str">
        <x:f>IF(P575="","",IF(P575&gt;=80,"ATTACK",IF(P575&gt;=65,"GROW",IF(P575&gt;=50,"PARTNER","WATCH"))))</x:f>
      </x:c>
      <x:c r="R575" s="12" t="str">
        <x:f>IF(Q575="","",IF(Q575="ATTACK","Grassroots + family acquisition",IF(Q575="GROW","Test local campaign",IF(Q575="PARTNER","Organisation-first partnership","Low priority / validate"))))</x:f>
      </x:c>
      <x:c r="S575" s="45" t="n">
        <x:v>12.029361508420939</x:v>
      </x:c>
      <x:c r="T575" t="str">
        <x:v>EXTENDED</x:v>
      </x:c>
      <x:c r="U575" s="32" t="n">
        <x:f>PERCENTRANK.INC($G$2:$G$941,G575)</x:f>
        <x:v>0.156</x:v>
      </x:c>
      <x:c r="V575" s="32" t="n">
        <x:f>PERCENTRANK.INC($H$2:$H$941,H575)</x:f>
        <x:v>0.022</x:v>
      </x:c>
      <x:c r="W575" t="n">
        <x:f>ROUND((U575*55+V575*45)*IF(S575&lt;=5,1,IF(S575&lt;=10,0.95,IF(S575&lt;=20,0.85,0.70))),0)</x:f>
        <x:v>8</x:v>
      </x:c>
      <x:c r="X575" t="n">
        <x:v>5</x:v>
      </x:c>
      <x:c r="Y575" t="str">
        <x:v>WATCH</x:v>
      </x:c>
      <x:c r="Z575" s="12" t="str">
        <x:v>Family + verified grassroots + straight-line geo only; transport not yet routed</x:v>
      </x:c>
      <x:c r="AA575" s="12"/>
      <x:c r="AB575" s="12"/>
      <x:c r="AC575" s="12"/>
      <x:c r="AD575" s="12"/>
      <x:c r="AE575" t="str">
        <x:v>Charlton Athletic Women</x:v>
      </x:c>
      <x:c r="AF575" s="45" t="n">
        <x:v>2.4376466479321874</x:v>
      </x:c>
      <x:c r="AG575" t="str">
        <x:v>Millwall Lionesses</x:v>
      </x:c>
      <x:c r="AH575" s="45" t="n">
        <x:v>7.671333000478979</x:v>
      </x:c>
      <x:c r="AI575" t="n">
        <x:v>92</x:v>
      </x:c>
      <x:c r="AJ575" t="str">
        <x:v>HIGH</x:v>
      </x:c>
    </x:row>
    <x:row r="576">
      <x:c r="A576" s="12" t="str">
        <x:v>E01033734</x:v>
      </x:c>
      <x:c r="B576" s="12" t="str">
        <x:v>Greenwich 039B</x:v>
      </x:c>
      <x:c r="C576" s="12" t="str">
        <x:v>Greenwich</x:v>
      </x:c>
      <x:c r="D576" s="44" t="n">
        <x:v>51.49410411662302</x:v>
      </x:c>
      <x:c r="E576" s="44" t="n">
        <x:v>0.07439012150645527</x:v>
      </x:c>
      <x:c r="F576" s="33" t="n">
        <x:v>633</x:v>
      </x:c>
      <x:c r="G576" s="33" t="n">
        <x:v>165</x:v>
      </x:c>
      <x:c r="H576" s="26" t="n">
        <x:v>0.26066350710900477</x:v>
      </x:c>
      <x:c r="I576" s="12" t="n">
        <x:v>0</x:v>
      </x:c>
      <x:c r="J576" s="12" t="n">
        <x:v>0</x:v>
      </x:c>
      <x:c r="K576" s="12"/>
      <x:c r="L576" s="12"/>
      <x:c r="M576" s="12" t="str">
        <x:f>IF(K576="", "", MAX(0,IF(K576&lt;=20,100,IF(K576&lt;=30,85,IF(K576&lt;=40,70,IF(K576&lt;=50,55,IF(K576&lt;=60,40,20)))))-MIN(L576*5,20)))</x:f>
      </x:c>
      <x:c r="N576" s="12"/>
      <x:c r="O576" s="12"/>
      <x:c r="P576" s="12" t="str">
        <x:f>IF(OR(H576="",J576="",M576=""),"",ROUND(PERCENTRANK.INC($H$2:$H$941,H576)*35+J576*0.35+M576*0.30,0))</x:f>
      </x:c>
      <x:c r="Q576" s="12" t="str">
        <x:f>IF(P576="","",IF(P576&gt;=80,"ATTACK",IF(P576&gt;=65,"GROW",IF(P576&gt;=50,"PARTNER","WATCH"))))</x:f>
      </x:c>
      <x:c r="R576" s="12" t="str">
        <x:f>IF(Q576="","",IF(Q576="ATTACK","Grassroots + family acquisition",IF(Q576="GROW","Test local campaign",IF(Q576="PARTNER","Organisation-first partnership","Low priority / validate"))))</x:f>
      </x:c>
      <x:c r="S576" s="45" t="n">
        <x:v>12.120708198049336</x:v>
      </x:c>
      <x:c r="T576" t="str">
        <x:v>EXTENDED</x:v>
      </x:c>
      <x:c r="U576" s="32" t="n">
        <x:f>PERCENTRANK.INC($G$2:$G$941,G576)</x:f>
        <x:v>0.145</x:v>
      </x:c>
      <x:c r="V576" s="32" t="n">
        <x:f>PERCENTRANK.INC($H$2:$H$941,H576)</x:f>
        <x:v>0.222</x:v>
      </x:c>
      <x:c r="W576" t="n">
        <x:f>ROUND((U576*55+V576*45)*IF(S576&lt;=5,1,IF(S576&lt;=10,0.95,IF(S576&lt;=20,0.85,0.70))),0)</x:f>
        <x:v>15</x:v>
      </x:c>
      <x:c r="X576" t="n">
        <x:v>9</x:v>
      </x:c>
      <x:c r="Y576" t="str">
        <x:v>WATCH</x:v>
      </x:c>
      <x:c r="Z576" s="12" t="str">
        <x:v>Family + verified grassroots + straight-line geo only; transport not yet routed</x:v>
      </x:c>
      <x:c r="AA576" s="12"/>
      <x:c r="AB576" s="12"/>
      <x:c r="AC576" s="12"/>
      <x:c r="AD576" s="12"/>
      <x:c r="AE576" t="str">
        <x:v>Charlton Athletic Women</x:v>
      </x:c>
      <x:c r="AF576" s="45" t="n">
        <x:v>2.7827121991595796</x:v>
      </x:c>
      <x:c r="AG576" t="str">
        <x:v>Millwall Lionesses</x:v>
      </x:c>
      <x:c r="AH576" s="45" t="n">
        <x:v>8.04581785322524</x:v>
      </x:c>
      <x:c r="AI576" t="n">
        <x:v>92</x:v>
      </x:c>
      <x:c r="AJ576" t="str">
        <x:v>HIGH</x:v>
      </x:c>
    </x:row>
    <x:row r="577">
      <x:c r="A577" s="12" t="str">
        <x:v>E01034186</x:v>
      </x:c>
      <x:c r="B577" s="12" t="str">
        <x:v>Greenwich 039C</x:v>
      </x:c>
      <x:c r="C577" s="12" t="str">
        <x:v>Greenwich</x:v>
      </x:c>
      <x:c r="D577" s="44" t="n">
        <x:v>51.492722333463945</x:v>
      </x:c>
      <x:c r="E577" s="44" t="n">
        <x:v>0.0706113834659239</x:v>
      </x:c>
      <x:c r="F577" s="33" t="n">
        <x:v>733</x:v>
      </x:c>
      <x:c r="G577" s="33" t="n">
        <x:v>88</x:v>
      </x:c>
      <x:c r="H577" s="26" t="n">
        <x:v>0.12005457025920874</x:v>
      </x:c>
      <x:c r="I577" s="12" t="n">
        <x:v>0</x:v>
      </x:c>
      <x:c r="J577" s="12" t="n">
        <x:v>0</x:v>
      </x:c>
      <x:c r="K577" s="12"/>
      <x:c r="L577" s="12"/>
      <x:c r="M577" s="12" t="str">
        <x:f>IF(K577="", "", MAX(0,IF(K577&lt;=20,100,IF(K577&lt;=30,85,IF(K577&lt;=40,70,IF(K577&lt;=50,55,IF(K577&lt;=60,40,20)))))-MIN(L577*5,20)))</x:f>
      </x:c>
      <x:c r="N577" s="12"/>
      <x:c r="O577" s="12"/>
      <x:c r="P577" s="12" t="str">
        <x:f>IF(OR(H577="",J577="",M577=""),"",ROUND(PERCENTRANK.INC($H$2:$H$941,H577)*35+J577*0.35+M577*0.30,0))</x:f>
      </x:c>
      <x:c r="Q577" s="12" t="str">
        <x:f>IF(P577="","",IF(P577&gt;=80,"ATTACK",IF(P577&gt;=65,"GROW",IF(P577&gt;=50,"PARTNER","WATCH"))))</x:f>
      </x:c>
      <x:c r="R577" s="12" t="str">
        <x:f>IF(Q577="","",IF(Q577="ATTACK","Grassroots + family acquisition",IF(Q577="GROW","Test local campaign",IF(Q577="PARTNER","Organisation-first partnership","Low priority / validate"))))</x:f>
      </x:c>
      <x:c r="S577" s="45" t="n">
        <x:v>11.892137797661574</x:v>
      </x:c>
      <x:c r="T577" t="str">
        <x:v>EXTENDED</x:v>
      </x:c>
      <x:c r="U577" s="32" t="n">
        <x:f>PERCENTRANK.INC($G$2:$G$941,G577)</x:f>
        <x:v>0.012</x:v>
      </x:c>
      <x:c r="V577" s="32" t="n">
        <x:f>PERCENTRANK.INC($H$2:$H$941,H577)</x:f>
        <x:v>0.014</x:v>
      </x:c>
      <x:c r="W577" t="n">
        <x:f>ROUND((U577*55+V577*45)*IF(S577&lt;=5,1,IF(S577&lt;=10,0.95,IF(S577&lt;=20,0.85,0.70))),0)</x:f>
        <x:v>1</x:v>
      </x:c>
      <x:c r="X577" t="n">
        <x:v>1</x:v>
      </x:c>
      <x:c r="Y577" t="str">
        <x:v>WATCH</x:v>
      </x:c>
      <x:c r="Z577" s="12" t="str">
        <x:v>Family + verified grassroots + straight-line geo only; transport not yet routed</x:v>
      </x:c>
      <x:c r="AA577" s="12"/>
      <x:c r="AB577" s="12"/>
      <x:c r="AC577" s="12"/>
      <x:c r="AD577" s="12"/>
      <x:c r="AE577" t="str">
        <x:v>Charlton Athletic Women</x:v>
      </x:c>
      <x:c r="AF577" s="45" t="n">
        <x:v>2.487396237458622</x:v>
      </x:c>
      <x:c r="AG577" t="str">
        <x:v>Millwall Lionesses</x:v>
      </x:c>
      <x:c r="AH577" s="45" t="n">
        <x:v>7.816057518814334</x:v>
      </x:c>
      <x:c r="AI577" t="n">
        <x:v>92</x:v>
      </x:c>
      <x:c r="AJ577" t="str">
        <x:v>HIGH</x:v>
      </x:c>
    </x:row>
    <x:row r="578">
      <x:c r="A578" s="12" t="str">
        <x:v>E01034187</x:v>
      </x:c>
      <x:c r="B578" s="12" t="str">
        <x:v>Greenwich 039D</x:v>
      </x:c>
      <x:c r="C578" s="12" t="str">
        <x:v>Greenwich</x:v>
      </x:c>
      <x:c r="D578" s="44" t="n">
        <x:v>51.49191209503559</x:v>
      </x:c>
      <x:c r="E578" s="44" t="n">
        <x:v>0.07222547260242307</x:v>
      </x:c>
      <x:c r="F578" s="33" t="n">
        <x:v>695</x:v>
      </x:c>
      <x:c r="G578" s="33" t="n">
        <x:v>98</x:v>
      </x:c>
      <x:c r="H578" s="26" t="n">
        <x:v>0.1410071942446043</x:v>
      </x:c>
      <x:c r="I578" s="12" t="n">
        <x:v>0</x:v>
      </x:c>
      <x:c r="J578" s="12" t="n">
        <x:v>0</x:v>
      </x:c>
      <x:c r="K578" s="12"/>
      <x:c r="L578" s="12"/>
      <x:c r="M578" s="12" t="str">
        <x:f>IF(K578="", "", MAX(0,IF(K578&lt;=20,100,IF(K578&lt;=30,85,IF(K578&lt;=40,70,IF(K578&lt;=50,55,IF(K578&lt;=60,40,20)))))-MIN(L578*5,20)))</x:f>
      </x:c>
      <x:c r="N578" s="12"/>
      <x:c r="O578" s="12"/>
      <x:c r="P578" s="12" t="str">
        <x:f>IF(OR(H578="",J578="",M578=""),"",ROUND(PERCENTRANK.INC($H$2:$H$941,H578)*35+J578*0.35+M578*0.30,0))</x:f>
      </x:c>
      <x:c r="Q578" s="12" t="str">
        <x:f>IF(P578="","",IF(P578&gt;=80,"ATTACK",IF(P578&gt;=65,"GROW",IF(P578&gt;=50,"PARTNER","WATCH"))))</x:f>
      </x:c>
      <x:c r="R578" s="12" t="str">
        <x:f>IF(Q578="","",IF(Q578="ATTACK","Grassroots + family acquisition",IF(Q578="GROW","Test local campaign",IF(Q578="PARTNER","Organisation-first partnership","Low priority / validate"))))</x:f>
      </x:c>
      <x:c r="S578" s="45" t="n">
        <x:v>11.841694882086836</x:v>
      </x:c>
      <x:c r="T578" t="str">
        <x:v>EXTENDED</x:v>
      </x:c>
      <x:c r="U578" s="32" t="n">
        <x:f>PERCENTRANK.INC($G$2:$G$941,G578)</x:f>
        <x:v>0.018</x:v>
      </x:c>
      <x:c r="V578" s="32" t="n">
        <x:f>PERCENTRANK.INC($H$2:$H$941,H578)</x:f>
        <x:v>0.021</x:v>
      </x:c>
      <x:c r="W578" t="n">
        <x:f>ROUND((U578*55+V578*45)*IF(S578&lt;=5,1,IF(S578&lt;=10,0.95,IF(S578&lt;=20,0.85,0.70))),0)</x:f>
        <x:v>2</x:v>
      </x:c>
      <x:c r="X578" t="n">
        <x:v>1</x:v>
      </x:c>
      <x:c r="Y578" t="str">
        <x:v>WATCH</x:v>
      </x:c>
      <x:c r="Z578" s="12" t="str">
        <x:v>Family + verified grassroots + straight-line geo only; transport not yet routed</x:v>
      </x:c>
      <x:c r="AA578" s="12"/>
      <x:c r="AB578" s="12"/>
      <x:c r="AC578" s="12"/>
      <x:c r="AD578" s="12"/>
      <x:c r="AE578" t="str">
        <x:v>Charlton Athletic Women</x:v>
      </x:c>
      <x:c r="AF578" s="45" t="n">
        <x:v>2.5718605591385604</x:v>
      </x:c>
      <x:c r="AG578" t="str">
        <x:v>Millwall Lionesses</x:v>
      </x:c>
      <x:c r="AH578" s="45" t="n">
        <x:v>7.943300790007948</x:v>
      </x:c>
      <x:c r="AI578" t="n">
        <x:v>92</x:v>
      </x:c>
      <x:c r="AJ578" t="str">
        <x:v>HIGH</x:v>
      </x:c>
    </x:row>
    <x:row r="579">
      <x:c r="A579" s="12" t="str">
        <x:v>E01034188</x:v>
      </x:c>
      <x:c r="B579" s="12" t="str">
        <x:v>Greenwich 040A</x:v>
      </x:c>
      <x:c r="C579" s="12" t="str">
        <x:v>Greenwich</x:v>
      </x:c>
      <x:c r="D579" s="44" t="n">
        <x:v>51.50199598840853</x:v>
      </x:c>
      <x:c r="E579" s="44" t="n">
        <x:v>0.006289705938352574</x:v>
      </x:c>
      <x:c r="F579" s="33" t="n">
        <x:v>672</x:v>
      </x:c>
      <x:c r="G579" s="33" t="n">
        <x:v>144</x:v>
      </x:c>
      <x:c r="H579" s="26" t="n">
        <x:v>0.21428571428571427</x:v>
      </x:c>
      <x:c r="I579" s="12" t="n">
        <x:v>0</x:v>
      </x:c>
      <x:c r="J579" s="12" t="n">
        <x:v>14</x:v>
      </x:c>
      <x:c r="K579" s="12"/>
      <x:c r="L579" s="12"/>
      <x:c r="M579" s="12" t="str">
        <x:f>IF(K579="", "", MAX(0,IF(K579&lt;=20,100,IF(K579&lt;=30,85,IF(K579&lt;=40,70,IF(K579&lt;=50,55,IF(K579&lt;=60,40,20)))))-MIN(L579*5,20)))</x:f>
      </x:c>
      <x:c r="N579" s="12"/>
      <x:c r="O579" s="12"/>
      <x:c r="P579" s="12" t="str">
        <x:f>IF(OR(H579="",J579="",M579=""),"",ROUND(PERCENTRANK.INC($H$2:$H$941,H579)*35+J579*0.35+M579*0.30,0))</x:f>
      </x:c>
      <x:c r="Q579" s="12" t="str">
        <x:f>IF(P579="","",IF(P579&gt;=80,"ATTACK",IF(P579&gt;=65,"GROW",IF(P579&gt;=50,"PARTNER","WATCH"))))</x:f>
      </x:c>
      <x:c r="R579" s="12" t="str">
        <x:f>IF(Q579="","",IF(Q579="ATTACK","Grassroots + family acquisition",IF(Q579="GROW","Test local campaign",IF(Q579="PARTNER","Organisation-first partnership","Low priority / validate"))))</x:f>
      </x:c>
      <x:c r="S579" s="45" t="n">
        <x:v>12.369333097367543</x:v>
      </x:c>
      <x:c r="T579" t="str">
        <x:v>EXTENDED</x:v>
      </x:c>
      <x:c r="U579" s="32" t="n">
        <x:f>PERCENTRANK.INC($G$2:$G$941,G579)</x:f>
        <x:v>0.076</x:v>
      </x:c>
      <x:c r="V579" s="32" t="n">
        <x:f>PERCENTRANK.INC($H$2:$H$941,H579)</x:f>
        <x:v>0.092</x:v>
      </x:c>
      <x:c r="W579" t="n">
        <x:f>ROUND((U579*55+V579*45)*IF(S579&lt;=5,1,IF(S579&lt;=10,0.95,IF(S579&lt;=20,0.85,0.70))),0)</x:f>
        <x:v>7</x:v>
      </x:c>
      <x:c r="X579" t="n">
        <x:v>10</x:v>
      </x:c>
      <x:c r="Y579" t="str">
        <x:v>WATCH</x:v>
      </x:c>
      <x:c r="Z579" s="12" t="str">
        <x:v>Family + verified grassroots + straight-line geo only; transport not yet routed</x:v>
      </x:c>
      <x:c r="AA579" s="12"/>
      <x:c r="AB579" s="12"/>
      <x:c r="AC579" s="12"/>
      <x:c r="AD579" s="12"/>
      <x:c r="AE579" t="str">
        <x:v>Charlton Athletic Women</x:v>
      </x:c>
      <x:c r="AF579" s="45" t="n">
        <x:v>2.6982948283021972</x:v>
      </x:c>
      <x:c r="AG579" t="str">
        <x:v>Millwall Lionesses</x:v>
      </x:c>
      <x:c r="AH579" s="45" t="n">
        <x:v>3.252268061984374</x:v>
      </x:c>
      <x:c r="AI579" t="n">
        <x:v>96</x:v>
      </x:c>
      <x:c r="AJ579" t="str">
        <x:v>HIGH</x:v>
      </x:c>
    </x:row>
    <x:row r="580">
      <x:c r="A580" s="12" t="str">
        <x:v>E01034189</x:v>
      </x:c>
      <x:c r="B580" s="12" t="str">
        <x:v>Greenwich 040B</x:v>
      </x:c>
      <x:c r="C580" s="12" t="str">
        <x:v>Greenwich</x:v>
      </x:c>
      <x:c r="D580" s="44" t="n">
        <x:v>51.49265084384434</x:v>
      </x:c>
      <x:c r="E580" s="44" t="n">
        <x:v>0.01774713863748034</x:v>
      </x:c>
      <x:c r="F580" s="33" t="n">
        <x:v>560</x:v>
      </x:c>
      <x:c r="G580" s="33" t="n">
        <x:v>170</x:v>
      </x:c>
      <x:c r="H580" s="26" t="n">
        <x:v>0.30357142857142855</x:v>
      </x:c>
      <x:c r="I580" s="12" t="n">
        <x:v>0</x:v>
      </x:c>
      <x:c r="J580" s="12" t="n">
        <x:v>14</x:v>
      </x:c>
      <x:c r="K580" s="12"/>
      <x:c r="L580" s="12"/>
      <x:c r="M580" s="12" t="str">
        <x:f>IF(K580="", "", MAX(0,IF(K580&lt;=20,100,IF(K580&lt;=30,85,IF(K580&lt;=40,70,IF(K580&lt;=50,55,IF(K580&lt;=60,40,20)))))-MIN(L580*5,20)))</x:f>
      </x:c>
      <x:c r="N580" s="12"/>
      <x:c r="O580" s="12"/>
      <x:c r="P580" s="12" t="str">
        <x:f>IF(OR(H580="",J580="",M580=""),"",ROUND(PERCENTRANK.INC($H$2:$H$941,H580)*35+J580*0.35+M580*0.30,0))</x:f>
      </x:c>
      <x:c r="Q580" s="12" t="str">
        <x:f>IF(P580="","",IF(P580&gt;=80,"ATTACK",IF(P580&gt;=65,"GROW",IF(P580&gt;=50,"PARTNER","WATCH"))))</x:f>
      </x:c>
      <x:c r="R580" s="12" t="str">
        <x:f>IF(Q580="","",IF(Q580="ATTACK","Grassroots + family acquisition",IF(Q580="GROW","Test local campaign",IF(Q580="PARTNER","Organisation-first partnership","Low priority / validate"))))</x:f>
      </x:c>
      <x:c r="S580" s="45" t="n">
        <x:v>11.304853151405883</x:v>
      </x:c>
      <x:c r="T580" t="str">
        <x:v>EXTENDED</x:v>
      </x:c>
      <x:c r="U580" s="32" t="n">
        <x:f>PERCENTRANK.INC($G$2:$G$941,G580)</x:f>
        <x:v>0.172</x:v>
      </x:c>
      <x:c r="V580" s="32" t="n">
        <x:f>PERCENTRANK.INC($H$2:$H$941,H580)</x:f>
        <x:v>0.416</x:v>
      </x:c>
      <x:c r="W580" t="n">
        <x:f>ROUND((U580*55+V580*45)*IF(S580&lt;=5,1,IF(S580&lt;=10,0.95,IF(S580&lt;=20,0.85,0.70))),0)</x:f>
        <x:v>24</x:v>
      </x:c>
      <x:c r="X580" t="n">
        <x:v>20</x:v>
      </x:c>
      <x:c r="Y580" t="str">
        <x:v>WATCH</x:v>
      </x:c>
      <x:c r="Z580" s="12" t="str">
        <x:v>Family + verified grassroots + straight-line geo only; transport not yet routed</x:v>
      </x:c>
      <x:c r="AA580" s="12"/>
      <x:c r="AB580" s="12"/>
      <x:c r="AC580" s="12"/>
      <x:c r="AD580" s="12"/>
      <x:c r="AE580" t="str">
        <x:v>Charlton Athletic Women</x:v>
      </x:c>
      <x:c r="AF580" s="45" t="n">
        <x:v>1.4514023850111804</x:v>
      </x:c>
      <x:c r="AG580" t="str">
        <x:v>Millwall Lionesses</x:v>
      </x:c>
      <x:c r="AH580" s="45" t="n">
        <x:v>4.284527973148909</x:v>
      </x:c>
      <x:c r="AI580" t="n">
        <x:v>96</x:v>
      </x:c>
      <x:c r="AJ580" t="str">
        <x:v>HIGH</x:v>
      </x:c>
    </x:row>
    <x:row r="581">
      <x:c r="A581" s="12" t="str">
        <x:v>E01034190</x:v>
      </x:c>
      <x:c r="B581" s="12" t="str">
        <x:v>Greenwich 040C</x:v>
      </x:c>
      <x:c r="C581" s="12" t="str">
        <x:v>Greenwich</x:v>
      </x:c>
      <x:c r="D581" s="44" t="n">
        <x:v>51.48803922066103</x:v>
      </x:c>
      <x:c r="E581" s="44" t="n">
        <x:v>0.009437192370878169</x:v>
      </x:c>
      <x:c r="F581" s="33" t="n">
        <x:v>721</x:v>
      </x:c>
      <x:c r="G581" s="33" t="n">
        <x:v>216</x:v>
      </x:c>
      <x:c r="H581" s="26" t="n">
        <x:v>0.29958391123439665</x:v>
      </x:c>
      <x:c r="I581" s="12" t="n">
        <x:v>2</x:v>
      </x:c>
      <x:c r="J581" s="12" t="n">
        <x:v>29</x:v>
      </x:c>
      <x:c r="K581" s="12"/>
      <x:c r="L581" s="12"/>
      <x:c r="M581" s="12" t="str">
        <x:f>IF(K581="", "", MAX(0,IF(K581&lt;=20,100,IF(K581&lt;=30,85,IF(K581&lt;=40,70,IF(K581&lt;=50,55,IF(K581&lt;=60,40,20)))))-MIN(L581*5,20)))</x:f>
      </x:c>
      <x:c r="N581" s="12"/>
      <x:c r="O581" s="12"/>
      <x:c r="P581" s="12" t="str">
        <x:f>IF(OR(H581="",J581="",M581=""),"",ROUND(PERCENTRANK.INC($H$2:$H$941,H581)*35+J581*0.35+M581*0.30,0))</x:f>
      </x:c>
      <x:c r="Q581" s="12" t="str">
        <x:f>IF(P581="","",IF(P581&gt;=80,"ATTACK",IF(P581&gt;=65,"GROW",IF(P581&gt;=50,"PARTNER","WATCH"))))</x:f>
      </x:c>
      <x:c r="R581" s="12" t="str">
        <x:f>IF(Q581="","",IF(Q581="ATTACK","Grassroots + family acquisition",IF(Q581="GROW","Test local campaign",IF(Q581="PARTNER","Organisation-first partnership","Low priority / validate"))))</x:f>
      </x:c>
      <x:c r="S581" s="45" t="n">
        <x:v>10.80728556472298</x:v>
      </x:c>
      <x:c r="T581" t="str">
        <x:v>EXTENDED</x:v>
      </x:c>
      <x:c r="U581" s="32" t="n">
        <x:f>PERCENTRANK.INC($G$2:$G$941,G581)</x:f>
        <x:v>0.523</x:v>
      </x:c>
      <x:c r="V581" s="32" t="n">
        <x:f>PERCENTRANK.INC($H$2:$H$941,H581)</x:f>
        <x:v>0.389</x:v>
      </x:c>
      <x:c r="W581" t="n">
        <x:f>ROUND((U581*55+V581*45)*IF(S581&lt;=5,1,IF(S581&lt;=10,0.95,IF(S581&lt;=20,0.85,0.70))),0)</x:f>
        <x:v>39</x:v>
      </x:c>
      <x:c r="X581" t="n">
        <x:v>35</x:v>
      </x:c>
      <x:c r="Y581" t="str">
        <x:v>WATCH</x:v>
      </x:c>
      <x:c r="Z581" s="12" t="str">
        <x:v>Family + verified grassroots + straight-line geo only; transport not yet routed</x:v>
      </x:c>
      <x:c r="AA581" s="12"/>
      <x:c r="AB581" s="12"/>
      <x:c r="AC581" s="12"/>
      <x:c r="AD581" s="12"/>
      <x:c r="AE581" t="str">
        <x:v>Charlton Athletic Women</x:v>
      </x:c>
      <x:c r="AF581" s="45" t="n">
        <x:v>1.8585537125104339</x:v>
      </x:c>
      <x:c r="AG581" t="str">
        <x:v>Millwall Lionesses</x:v>
      </x:c>
      <x:c r="AH581" s="45" t="n">
        <x:v>3.984534591308795</x:v>
      </x:c>
      <x:c r="AI581" t="n">
        <x:v>96</x:v>
      </x:c>
      <x:c r="AJ581" t="str">
        <x:v>HIGH</x:v>
      </x:c>
    </x:row>
    <x:row r="582">
      <x:c r="A582" s="12" t="str">
        <x:v>E01034191</x:v>
      </x:c>
      <x:c r="B582" s="12" t="str">
        <x:v>Greenwich 040D</x:v>
      </x:c>
      <x:c r="C582" s="12" t="str">
        <x:v>Greenwich</x:v>
      </x:c>
      <x:c r="D582" s="44" t="n">
        <x:v>51.48867605984735</x:v>
      </x:c>
      <x:c r="E582" s="44" t="n">
        <x:v>0.003179688793528572</x:v>
      </x:c>
      <x:c r="F582" s="33" t="n">
        <x:v>760</x:v>
      </x:c>
      <x:c r="G582" s="33" t="n">
        <x:v>198</x:v>
      </x:c>
      <x:c r="H582" s="26" t="n">
        <x:v>0.26052631578947366</x:v>
      </x:c>
      <x:c r="I582" s="12" t="n">
        <x:v>2</x:v>
      </x:c>
      <x:c r="J582" s="12" t="n">
        <x:v>29</x:v>
      </x:c>
      <x:c r="K582" s="12"/>
      <x:c r="L582" s="12"/>
      <x:c r="M582" s="12" t="str">
        <x:f>IF(K582="", "", MAX(0,IF(K582&lt;=20,100,IF(K582&lt;=30,85,IF(K582&lt;=40,70,IF(K582&lt;=50,55,IF(K582&lt;=60,40,20)))))-MIN(L582*5,20)))</x:f>
      </x:c>
      <x:c r="N582" s="12"/>
      <x:c r="O582" s="12"/>
      <x:c r="P582" s="12" t="str">
        <x:f>IF(OR(H582="",J582="",M582=""),"",ROUND(PERCENTRANK.INC($H$2:$H$941,H582)*35+J582*0.35+M582*0.30,0))</x:f>
      </x:c>
      <x:c r="Q582" s="12" t="str">
        <x:f>IF(P582="","",IF(P582&gt;=80,"ATTACK",IF(P582&gt;=65,"GROW",IF(P582&gt;=50,"PARTNER","WATCH"))))</x:f>
      </x:c>
      <x:c r="R582" s="12" t="str">
        <x:f>IF(Q582="","",IF(Q582="ATTACK","Grassroots + family acquisition",IF(Q582="GROW","Test local campaign",IF(Q582="PARTNER","Organisation-first partnership","Low priority / validate"))))</x:f>
      </x:c>
      <x:c r="S582" s="45" t="n">
        <x:v>10.909462915552966</x:v>
      </x:c>
      <x:c r="T582" t="str">
        <x:v>EXTENDED</x:v>
      </x:c>
      <x:c r="U582" s="32" t="n">
        <x:f>PERCENTRANK.INC($G$2:$G$941,G582)</x:f>
        <x:v>0.365</x:v>
      </x:c>
      <x:c r="V582" s="32" t="n">
        <x:f>PERCENTRANK.INC($H$2:$H$941,H582)</x:f>
        <x:v>0.221</x:v>
      </x:c>
      <x:c r="W582" t="n">
        <x:f>ROUND((U582*55+V582*45)*IF(S582&lt;=5,1,IF(S582&lt;=10,0.95,IF(S582&lt;=20,0.85,0.70))),0)</x:f>
        <x:v>26</x:v>
      </x:c>
      <x:c r="X582" t="n">
        <x:v>27</x:v>
      </x:c>
      <x:c r="Y582" t="str">
        <x:v>WATCH</x:v>
      </x:c>
      <x:c r="Z582" s="12" t="str">
        <x:v>Family + verified grassroots + straight-line geo only; transport not yet routed</x:v>
      </x:c>
      <x:c r="AA582" s="12"/>
      <x:c r="AB582" s="12"/>
      <x:c r="AC582" s="12"/>
      <x:c r="AD582" s="12"/>
      <x:c r="AE582" t="str">
        <x:v>Charlton Athletic Women</x:v>
      </x:c>
      <x:c r="AF582" s="45" t="n">
        <x:v>2.2968338541018007</x:v>
      </x:c>
      <x:c r="AG582" t="str">
        <x:v>Millwall Lionesses</x:v>
      </x:c>
      <x:c r="AH582" s="45" t="n">
        <x:v>3.5784883957441616</x:v>
      </x:c>
      <x:c r="AI582" t="n">
        <x:v>96</x:v>
      </x:c>
      <x:c r="AJ582" t="str">
        <x:v>HIGH</x:v>
      </x:c>
    </x:row>
    <x:row r="583">
      <x:c r="A583" s="12" t="str">
        <x:v>E01034192</x:v>
      </x:c>
      <x:c r="B583" s="12" t="str">
        <x:v>Greenwich 040E</x:v>
      </x:c>
      <x:c r="C583" s="12" t="str">
        <x:v>Greenwich</x:v>
      </x:c>
      <x:c r="D583" s="44" t="n">
        <x:v>51.486161480803915</x:v>
      </x:c>
      <x:c r="E583" s="44" t="n">
        <x:v>0.0013475076870353678</x:v>
      </x:c>
      <x:c r="F583" s="33" t="n">
        <x:v>1061</x:v>
      </x:c>
      <x:c r="G583" s="33" t="n">
        <x:v>246</x:v>
      </x:c>
      <x:c r="H583" s="26" t="n">
        <x:v>0.23185673892554196</x:v>
      </x:c>
      <x:c r="I583" s="12" t="n">
        <x:v>2</x:v>
      </x:c>
      <x:c r="J583" s="12" t="n">
        <x:v>29</x:v>
      </x:c>
      <x:c r="K583" s="12"/>
      <x:c r="L583" s="12"/>
      <x:c r="M583" s="12" t="str">
        <x:f>IF(K583="", "", MAX(0,IF(K583&lt;=20,100,IF(K583&lt;=30,85,IF(K583&lt;=40,70,IF(K583&lt;=50,55,IF(K583&lt;=60,40,20)))))-MIN(L583*5,20)))</x:f>
      </x:c>
      <x:c r="N583" s="12"/>
      <x:c r="O583" s="12"/>
      <x:c r="P583" s="12" t="str">
        <x:f>IF(OR(H583="",J583="",M583=""),"",ROUND(PERCENTRANK.INC($H$2:$H$941,H583)*35+J583*0.35+M583*0.30,0))</x:f>
      </x:c>
      <x:c r="Q583" s="12" t="str">
        <x:f>IF(P583="","",IF(P583&gt;=80,"ATTACK",IF(P583&gt;=65,"GROW",IF(P583&gt;=50,"PARTNER","WATCH"))))</x:f>
      </x:c>
      <x:c r="R583" s="12" t="str">
        <x:f>IF(Q583="","",IF(Q583="ATTACK","Grassroots + family acquisition",IF(Q583="GROW","Test local campaign",IF(Q583="PARTNER","Organisation-first partnership","Low priority / validate"))))</x:f>
      </x:c>
      <x:c r="S583" s="45" t="n">
        <x:v>10.643864000349993</x:v>
      </x:c>
      <x:c r="T583" t="str">
        <x:v>EXTENDED</x:v>
      </x:c>
      <x:c r="U583" s="32" t="n">
        <x:f>PERCENTRANK.INC($G$2:$G$941,G583)</x:f>
        <x:v>0.749</x:v>
      </x:c>
      <x:c r="V583" s="32" t="n">
        <x:f>PERCENTRANK.INC($H$2:$H$941,H583)</x:f>
        <x:v>0.141</x:v>
      </x:c>
      <x:c r="W583" t="n">
        <x:f>ROUND((U583*55+V583*45)*IF(S583&lt;=5,1,IF(S583&lt;=10,0.95,IF(S583&lt;=20,0.85,0.70))),0)</x:f>
        <x:v>40</x:v>
      </x:c>
      <x:c r="X583" t="n">
        <x:v>35</x:v>
      </x:c>
      <x:c r="Y583" t="str">
        <x:v>WATCH</x:v>
      </x:c>
      <x:c r="Z583" s="12" t="str">
        <x:v>Family + verified grassroots + straight-line geo only; transport not yet routed</x:v>
      </x:c>
      <x:c r="AA583" s="12"/>
      <x:c r="AB583" s="12"/>
      <x:c r="AC583" s="12"/>
      <x:c r="AD583" s="12"/>
      <x:c r="AE583" t="str">
        <x:v>Charlton Athletic Women</x:v>
      </x:c>
      <x:c r="AF583" s="45" t="n">
        <x:v>2.4099192207302793</x:v>
      </x:c>
      <x:c r="AG583" t="str">
        <x:v>Millwall Lionesses</x:v>
      </x:c>
      <x:c r="AH583" s="45" t="n">
        <x:v>3.636675294008471</x:v>
      </x:c>
      <x:c r="AI583" t="n">
        <x:v>96</x:v>
      </x:c>
      <x:c r="AJ583" t="str">
        <x:v>HIGH</x:v>
      </x:c>
    </x:row>
    <x:row r="584">
      <x:c r="A584" s="12" t="str">
        <x:v>E01034193</x:v>
      </x:c>
      <x:c r="B584" s="12" t="str">
        <x:v>Greenwich 041A</x:v>
      </x:c>
      <x:c r="C584" s="12" t="str">
        <x:v>Greenwich</x:v>
      </x:c>
      <x:c r="D584" s="44" t="n">
        <x:v>51.497937073659024</x:v>
      </x:c>
      <x:c r="E584" s="44" t="n">
        <x:v>0.01136097521399683</x:v>
      </x:c>
      <x:c r="F584" s="33" t="n">
        <x:v>735</x:v>
      </x:c>
      <x:c r="G584" s="33" t="n">
        <x:v>170</x:v>
      </x:c>
      <x:c r="H584" s="26" t="n">
        <x:v>0.23129251700680273</x:v>
      </x:c>
      <x:c r="I584" s="12" t="n">
        <x:v>0</x:v>
      </x:c>
      <x:c r="J584" s="12" t="n">
        <x:v>14</x:v>
      </x:c>
      <x:c r="K584" s="12"/>
      <x:c r="L584" s="12"/>
      <x:c r="M584" s="12" t="str">
        <x:f>IF(K584="", "", MAX(0,IF(K584&lt;=20,100,IF(K584&lt;=30,85,IF(K584&lt;=40,70,IF(K584&lt;=50,55,IF(K584&lt;=60,40,20)))))-MIN(L584*5,20)))</x:f>
      </x:c>
      <x:c r="N584" s="12"/>
      <x:c r="O584" s="12"/>
      <x:c r="P584" s="12" t="str">
        <x:f>IF(OR(H584="",J584="",M584=""),"",ROUND(PERCENTRANK.INC($H$2:$H$941,H584)*35+J584*0.35+M584*0.30,0))</x:f>
      </x:c>
      <x:c r="Q584" s="12" t="str">
        <x:f>IF(P584="","",IF(P584&gt;=80,"ATTACK",IF(P584&gt;=65,"GROW",IF(P584&gt;=50,"PARTNER","WATCH"))))</x:f>
      </x:c>
      <x:c r="R584" s="12" t="str">
        <x:f>IF(Q584="","",IF(Q584="ATTACK","Grassroots + family acquisition",IF(Q584="GROW","Test local campaign",IF(Q584="PARTNER","Organisation-first partnership","Low priority / validate"))))</x:f>
      </x:c>
      <x:c r="S584" s="45" t="n">
        <x:v>11.900792969012222</x:v>
      </x:c>
      <x:c r="T584" t="str">
        <x:v>EXTENDED</x:v>
      </x:c>
      <x:c r="U584" s="32" t="n">
        <x:f>PERCENTRANK.INC($G$2:$G$941,G584)</x:f>
        <x:v>0.172</x:v>
      </x:c>
      <x:c r="V584" s="32" t="n">
        <x:f>PERCENTRANK.INC($H$2:$H$941,H584)</x:f>
        <x:v>0.14</x:v>
      </x:c>
      <x:c r="W584" t="n">
        <x:f>ROUND((U584*55+V584*45)*IF(S584&lt;=5,1,IF(S584&lt;=10,0.95,IF(S584&lt;=20,0.85,0.70))),0)</x:f>
        <x:v>13</x:v>
      </x:c>
      <x:c r="X584" t="n">
        <x:v>14</x:v>
      </x:c>
      <x:c r="Y584" t="str">
        <x:v>WATCH</x:v>
      </x:c>
      <x:c r="Z584" s="12" t="str">
        <x:v>Family + verified grassroots + straight-line geo only; transport not yet routed</x:v>
      </x:c>
      <x:c r="AA584" s="12"/>
      <x:c r="AB584" s="12"/>
      <x:c r="AC584" s="12"/>
      <x:c r="AD584" s="12"/>
      <x:c r="AE584" t="str">
        <x:v>Charlton Athletic Women</x:v>
      </x:c>
      <x:c r="AF584" s="45" t="n">
        <x:v>2.1426863372007974</x:v>
      </x:c>
      <x:c r="AG584" t="str">
        <x:v>Millwall Lionesses</x:v>
      </x:c>
      <x:c r="AH584" s="45" t="n">
        <x:v>3.6855260505836966</x:v>
      </x:c>
      <x:c r="AI584" t="n">
        <x:v>96</x:v>
      </x:c>
      <x:c r="AJ584" t="str">
        <x:v>HIGH</x:v>
      </x:c>
    </x:row>
    <x:row r="585">
      <x:c r="A585" s="12" t="str">
        <x:v>E01034194</x:v>
      </x:c>
      <x:c r="B585" s="12" t="str">
        <x:v>Greenwich 041B</x:v>
      </x:c>
      <x:c r="C585" s="12" t="str">
        <x:v>Greenwich</x:v>
      </x:c>
      <x:c r="D585" s="44" t="n">
        <x:v>51.496421648753206</x:v>
      </x:c>
      <x:c r="E585" s="44" t="n">
        <x:v>0.013772201165243877</x:v>
      </x:c>
      <x:c r="F585" s="33" t="n">
        <x:v>607</x:v>
      </x:c>
      <x:c r="G585" s="33" t="n">
        <x:v>134</x:v>
      </x:c>
      <x:c r="H585" s="26" t="n">
        <x:v>0.22075782537067545</x:v>
      </x:c>
      <x:c r="I585" s="12" t="n">
        <x:v>0</x:v>
      </x:c>
      <x:c r="J585" s="12" t="n">
        <x:v>14</x:v>
      </x:c>
      <x:c r="K585" s="12"/>
      <x:c r="L585" s="12"/>
      <x:c r="M585" s="12" t="str">
        <x:f>IF(K585="", "", MAX(0,IF(K585&lt;=20,100,IF(K585&lt;=30,85,IF(K585&lt;=40,70,IF(K585&lt;=50,55,IF(K585&lt;=60,40,20)))))-MIN(L585*5,20)))</x:f>
      </x:c>
      <x:c r="N585" s="12"/>
      <x:c r="O585" s="12"/>
      <x:c r="P585" s="12" t="str">
        <x:f>IF(OR(H585="",J585="",M585=""),"",ROUND(PERCENTRANK.INC($H$2:$H$941,H585)*35+J585*0.35+M585*0.30,0))</x:f>
      </x:c>
      <x:c r="Q585" s="12" t="str">
        <x:f>IF(P585="","",IF(P585&gt;=80,"ATTACK",IF(P585&gt;=65,"GROW",IF(P585&gt;=50,"PARTNER","WATCH"))))</x:f>
      </x:c>
      <x:c r="R585" s="12" t="str">
        <x:f>IF(Q585="","",IF(Q585="ATTACK","Grassroots + family acquisition",IF(Q585="GROW","Test local campaign",IF(Q585="PARTNER","Organisation-first partnership","Low priority / validate"))))</x:f>
      </x:c>
      <x:c r="S585" s="45" t="n">
        <x:v>11.72732379730943</x:v>
      </x:c>
      <x:c r="T585" t="str">
        <x:v>EXTENDED</x:v>
      </x:c>
      <x:c r="U585" s="32" t="n">
        <x:f>PERCENTRANK.INC($G$2:$G$941,G585)</x:f>
        <x:v>0.056</x:v>
      </x:c>
      <x:c r="V585" s="32" t="n">
        <x:f>PERCENTRANK.INC($H$2:$H$941,H585)</x:f>
        <x:v>0.106</x:v>
      </x:c>
      <x:c r="W585" t="n">
        <x:f>ROUND((U585*55+V585*45)*IF(S585&lt;=5,1,IF(S585&lt;=10,0.95,IF(S585&lt;=20,0.85,0.70))),0)</x:f>
        <x:v>7</x:v>
      </x:c>
      <x:c r="X585" t="n">
        <x:v>10</x:v>
      </x:c>
      <x:c r="Y585" t="str">
        <x:v>WATCH</x:v>
      </x:c>
      <x:c r="Z585" s="12" t="str">
        <x:v>Family + verified grassroots + straight-line geo only; transport not yet routed</x:v>
      </x:c>
      <x:c r="AA585" s="12"/>
      <x:c r="AB585" s="12"/>
      <x:c r="AC585" s="12"/>
      <x:c r="AD585" s="12"/>
      <x:c r="AE585" t="str">
        <x:v>Charlton Athletic Women</x:v>
      </x:c>
      <x:c r="AF585" s="45" t="n">
        <x:v>1.9084316133556891</x:v>
      </x:c>
      <x:c r="AG585" t="str">
        <x:v>Millwall Lionesses</x:v>
      </x:c>
      <x:c r="AH585" s="45" t="n">
        <x:v>3.8909801080011635</x:v>
      </x:c>
      <x:c r="AI585" t="n">
        <x:v>96</x:v>
      </x:c>
      <x:c r="AJ585" t="str">
        <x:v>HIGH</x:v>
      </x:c>
    </x:row>
    <x:row r="586">
      <x:c r="A586" s="12" t="str">
        <x:v>E01034195</x:v>
      </x:c>
      <x:c r="B586" s="12" t="str">
        <x:v>Greenwich 041C</x:v>
      </x:c>
      <x:c r="C586" s="12" t="str">
        <x:v>Greenwich</x:v>
      </x:c>
      <x:c r="D586" s="44" t="n">
        <x:v>51.496267016898635</x:v>
      </x:c>
      <x:c r="E586" s="44" t="n">
        <x:v>0.012355186658050861</x:v>
      </x:c>
      <x:c r="F586" s="33" t="n">
        <x:v>508</x:v>
      </x:c>
      <x:c r="G586" s="33" t="n">
        <x:v>159</x:v>
      </x:c>
      <x:c r="H586" s="26" t="n">
        <x:v>0.31299212598425197</x:v>
      </x:c>
      <x:c r="I586" s="12" t="n">
        <x:v>0</x:v>
      </x:c>
      <x:c r="J586" s="12" t="n">
        <x:v>14</x:v>
      </x:c>
      <x:c r="K586" s="12"/>
      <x:c r="L586" s="12"/>
      <x:c r="M586" s="12" t="str">
        <x:f>IF(K586="", "", MAX(0,IF(K586&lt;=20,100,IF(K586&lt;=30,85,IF(K586&lt;=40,70,IF(K586&lt;=50,55,IF(K586&lt;=60,40,20)))))-MIN(L586*5,20)))</x:f>
      </x:c>
      <x:c r="N586" s="12"/>
      <x:c r="O586" s="12"/>
      <x:c r="P586" s="12" t="str">
        <x:f>IF(OR(H586="",J586="",M586=""),"",ROUND(PERCENTRANK.INC($H$2:$H$941,H586)*35+J586*0.35+M586*0.30,0))</x:f>
      </x:c>
      <x:c r="Q586" s="12" t="str">
        <x:f>IF(P586="","",IF(P586&gt;=80,"ATTACK",IF(P586&gt;=65,"GROW",IF(P586&gt;=50,"PARTNER","WATCH"))))</x:f>
      </x:c>
      <x:c r="R586" s="12" t="str">
        <x:f>IF(Q586="","",IF(Q586="ATTACK","Grassroots + family acquisition",IF(Q586="GROW","Test local campaign",IF(Q586="PARTNER","Organisation-first partnership","Low priority / validate"))))</x:f>
      </x:c>
      <x:c r="S586" s="45" t="n">
        <x:v>11.71283447658396</x:v>
      </x:c>
      <x:c r="T586" t="str">
        <x:v>EXTENDED</x:v>
      </x:c>
      <x:c r="U586" s="32" t="n">
        <x:f>PERCENTRANK.INC($G$2:$G$941,G586)</x:f>
        <x:v>0.123</x:v>
      </x:c>
      <x:c r="V586" s="32" t="n">
        <x:f>PERCENTRANK.INC($H$2:$H$941,H586)</x:f>
        <x:v>0.467</x:v>
      </x:c>
      <x:c r="W586" t="n">
        <x:f>ROUND((U586*55+V586*45)*IF(S586&lt;=5,1,IF(S586&lt;=10,0.95,IF(S586&lt;=20,0.85,0.70))),0)</x:f>
        <x:v>24</x:v>
      </x:c>
      <x:c r="X586" t="n">
        <x:v>19</x:v>
      </x:c>
      <x:c r="Y586" t="str">
        <x:v>WATCH</x:v>
      </x:c>
      <x:c r="Z586" s="12" t="str">
        <x:v>Family + verified grassroots + straight-line geo only; transport not yet routed</x:v>
      </x:c>
      <x:c r="AA586" s="12"/>
      <x:c r="AB586" s="12"/>
      <x:c r="AC586" s="12"/>
      <x:c r="AD586" s="12"/>
      <x:c r="AE586" t="str">
        <x:v>Charlton Athletic Women</x:v>
      </x:c>
      <x:c r="AF586" s="45" t="n">
        <x:v>1.97931979769602</x:v>
      </x:c>
      <x:c r="AG586" t="str">
        <x:v>Millwall Lionesses</x:v>
      </x:c>
      <x:c r="AH586" s="45" t="n">
        <x:v>3.8018147226977423</x:v>
      </x:c>
      <x:c r="AI586" t="n">
        <x:v>96</x:v>
      </x:c>
      <x:c r="AJ586" t="str">
        <x:v>HIGH</x:v>
      </x:c>
    </x:row>
    <x:row r="587">
      <x:c r="A587" s="12" t="str">
        <x:v>E01034196</x:v>
      </x:c>
      <x:c r="B587" s="12" t="str">
        <x:v>Greenwich 041D</x:v>
      </x:c>
      <x:c r="C587" s="12" t="str">
        <x:v>Greenwich</x:v>
      </x:c>
      <x:c r="D587" s="44" t="n">
        <x:v>51.49391537542013</x:v>
      </x:c>
      <x:c r="E587" s="44" t="n">
        <x:v>0.014789595047173594</x:v>
      </x:c>
      <x:c r="F587" s="33" t="n">
        <x:v>577</x:v>
      </x:c>
      <x:c r="G587" s="33" t="n">
        <x:v>145</x:v>
      </x:c>
      <x:c r="H587" s="26" t="n">
        <x:v>0.2512998266897747</x:v>
      </x:c>
      <x:c r="I587" s="12" t="n">
        <x:v>0</x:v>
      </x:c>
      <x:c r="J587" s="12" t="n">
        <x:v>14</x:v>
      </x:c>
      <x:c r="K587" s="12"/>
      <x:c r="L587" s="12"/>
      <x:c r="M587" s="12" t="str">
        <x:f>IF(K587="", "", MAX(0,IF(K587&lt;=20,100,IF(K587&lt;=30,85,IF(K587&lt;=40,70,IF(K587&lt;=50,55,IF(K587&lt;=60,40,20)))))-MIN(L587*5,20)))</x:f>
      </x:c>
      <x:c r="N587" s="12"/>
      <x:c r="O587" s="12"/>
      <x:c r="P587" s="12" t="str">
        <x:f>IF(OR(H587="",J587="",M587=""),"",ROUND(PERCENTRANK.INC($H$2:$H$941,H587)*35+J587*0.35+M587*0.30,0))</x:f>
      </x:c>
      <x:c r="Q587" s="12" t="str">
        <x:f>IF(P587="","",IF(P587&gt;=80,"ATTACK",IF(P587&gt;=65,"GROW",IF(P587&gt;=50,"PARTNER","WATCH"))))</x:f>
      </x:c>
      <x:c r="R587" s="12" t="str">
        <x:f>IF(Q587="","",IF(Q587="ATTACK","Grassroots + family acquisition",IF(Q587="GROW","Test local campaign",IF(Q587="PARTNER","Organisation-first partnership","Low priority / validate"))))</x:f>
      </x:c>
      <x:c r="S587" s="45" t="n">
        <x:v>11.447252140905288</x:v>
      </x:c>
      <x:c r="T587" t="str">
        <x:v>EXTENDED</x:v>
      </x:c>
      <x:c r="U587" s="32" t="n">
        <x:f>PERCENTRANK.INC($G$2:$G$941,G587)</x:f>
        <x:v>0.077</x:v>
      </x:c>
      <x:c r="V587" s="32" t="n">
        <x:f>PERCENTRANK.INC($H$2:$H$941,H587)</x:f>
        <x:v>0.187</x:v>
      </x:c>
      <x:c r="W587" t="n">
        <x:f>ROUND((U587*55+V587*45)*IF(S587&lt;=5,1,IF(S587&lt;=10,0.95,IF(S587&lt;=20,0.85,0.70))),0)</x:f>
        <x:v>11</x:v>
      </x:c>
      <x:c r="X587" t="n">
        <x:v>12</x:v>
      </x:c>
      <x:c r="Y587" t="str">
        <x:v>WATCH</x:v>
      </x:c>
      <x:c r="Z587" s="12" t="str">
        <x:v>Family + verified grassroots + straight-line geo only; transport not yet routed</x:v>
      </x:c>
      <x:c r="AA587" s="12"/>
      <x:c r="AB587" s="12"/>
      <x:c r="AC587" s="12"/>
      <x:c r="AD587" s="12"/>
      <x:c r="AE587" t="str">
        <x:v>Charlton Athletic Women</x:v>
      </x:c>
      <x:c r="AF587" s="45" t="n">
        <x:v>1.698673006584415</x:v>
      </x:c>
      <x:c r="AG587" t="str">
        <x:v>Millwall Lionesses</x:v>
      </x:c>
      <x:c r="AH587" s="45" t="n">
        <x:v>4.043893708074224</x:v>
      </x:c>
      <x:c r="AI587" t="n">
        <x:v>96</x:v>
      </x:c>
      <x:c r="AJ587" t="str">
        <x:v>HIGH</x:v>
      </x:c>
    </x:row>
    <x:row r="588">
      <x:c r="A588" s="12" t="str">
        <x:v>E01033732</x:v>
      </x:c>
      <x:c r="B588" s="12" t="str">
        <x:v>Greenwich 041E</x:v>
      </x:c>
      <x:c r="C588" s="12" t="str">
        <x:v>Greenwich</x:v>
      </x:c>
      <x:c r="D588" s="44" t="n">
        <x:v>51.49410793893863</x:v>
      </x:c>
      <x:c r="E588" s="44" t="n">
        <x:v>0.012538654272617406</x:v>
      </x:c>
      <x:c r="F588" s="33" t="n">
        <x:v>452</x:v>
      </x:c>
      <x:c r="G588" s="33" t="n">
        <x:v>129</x:v>
      </x:c>
      <x:c r="H588" s="26" t="n">
        <x:v>0.2853982300884956</x:v>
      </x:c>
      <x:c r="I588" s="12" t="n">
        <x:v>0</x:v>
      </x:c>
      <x:c r="J588" s="12" t="n">
        <x:v>14</x:v>
      </x:c>
      <x:c r="K588" s="12"/>
      <x:c r="L588" s="12"/>
      <x:c r="M588" s="12" t="str">
        <x:f>IF(K588="", "", MAX(0,IF(K588&lt;=20,100,IF(K588&lt;=30,85,IF(K588&lt;=40,70,IF(K588&lt;=50,55,IF(K588&lt;=60,40,20)))))-MIN(L588*5,20)))</x:f>
      </x:c>
      <x:c r="N588" s="12"/>
      <x:c r="O588" s="12"/>
      <x:c r="P588" s="12" t="str">
        <x:f>IF(OR(H588="",J588="",M588=""),"",ROUND(PERCENTRANK.INC($H$2:$H$941,H588)*35+J588*0.35+M588*0.30,0))</x:f>
      </x:c>
      <x:c r="Q588" s="12" t="str">
        <x:f>IF(P588="","",IF(P588&gt;=80,"ATTACK",IF(P588&gt;=65,"GROW",IF(P588&gt;=50,"PARTNER","WATCH"))))</x:f>
      </x:c>
      <x:c r="R588" s="12" t="str">
        <x:f>IF(Q588="","",IF(Q588="ATTACK","Grassroots + family acquisition",IF(Q588="GROW","Test local campaign",IF(Q588="PARTNER","Organisation-first partnership","Low priority / validate"))))</x:f>
      </x:c>
      <x:c r="S588" s="45" t="n">
        <x:v>11.47247468347057</x:v>
      </x:c>
      <x:c r="T588" t="str">
        <x:v>EXTENDED</x:v>
      </x:c>
      <x:c r="U588" s="32" t="n">
        <x:f>PERCENTRANK.INC($G$2:$G$941,G588)</x:f>
        <x:v>0.048</x:v>
      </x:c>
      <x:c r="V588" s="32" t="n">
        <x:f>PERCENTRANK.INC($H$2:$H$941,H588)</x:f>
        <x:v>0.315</x:v>
      </x:c>
      <x:c r="W588" t="n">
        <x:f>ROUND((U588*55+V588*45)*IF(S588&lt;=5,1,IF(S588&lt;=10,0.95,IF(S588&lt;=20,0.85,0.70))),0)</x:f>
        <x:v>14</x:v>
      </x:c>
      <x:c r="X588" t="n">
        <x:v>14</x:v>
      </x:c>
      <x:c r="Y588" t="str">
        <x:v>WATCH</x:v>
      </x:c>
      <x:c r="Z588" s="12" t="str">
        <x:v>Family + verified grassroots + straight-line geo only; transport not yet routed</x:v>
      </x:c>
      <x:c r="AA588" s="12"/>
      <x:c r="AB588" s="12"/>
      <x:c r="AC588" s="12"/>
      <x:c r="AD588" s="12"/>
      <x:c r="AE588" t="str">
        <x:v>Charlton Athletic Women</x:v>
      </x:c>
      <x:c r="AF588" s="45" t="n">
        <x:v>1.845797902619401</x:v>
      </x:c>
      <x:c r="AG588" t="str">
        <x:v>Millwall Lionesses</x:v>
      </x:c>
      <x:c r="AH588" s="45" t="n">
        <x:v>3.8900970365393936</x:v>
      </x:c>
      <x:c r="AI588" t="n">
        <x:v>96</x:v>
      </x:c>
      <x:c r="AJ588" t="str">
        <x:v>HIGH</x:v>
      </x:c>
    </x:row>
    <x:row r="589">
      <x:c r="A589" s="12" t="str">
        <x:v>E01001666</x:v>
      </x:c>
      <x:c r="B589" s="12" t="str">
        <x:v>Greenwich 041G</x:v>
      </x:c>
      <x:c r="C589" s="12" t="str">
        <x:v>Greenwich</x:v>
      </x:c>
      <x:c r="D589" s="44" t="n">
        <x:v>51.48667070353512</x:v>
      </x:c>
      <x:c r="E589" s="44" t="n">
        <x:v>0.027257059332714474</x:v>
      </x:c>
      <x:c r="F589" s="33" t="n">
        <x:v>744</x:v>
      </x:c>
      <x:c r="G589" s="33" t="n">
        <x:v>234</x:v>
      </x:c>
      <x:c r="H589" s="26" t="n">
        <x:v>0.31451612903225806</x:v>
      </x:c>
      <x:c r="I589" s="12" t="n">
        <x:v>0</x:v>
      </x:c>
      <x:c r="J589" s="12" t="n">
        <x:v>14</x:v>
      </x:c>
      <x:c r="K589" s="12"/>
      <x:c r="L589" s="12"/>
      <x:c r="M589" s="12" t="str">
        <x:f>IF(K589="", "", MAX(0,IF(K589&lt;=20,100,IF(K589&lt;=30,85,IF(K589&lt;=40,70,IF(K589&lt;=50,55,IF(K589&lt;=60,40,20)))))-MIN(L589*5,20)))</x:f>
      </x:c>
      <x:c r="N589" s="12"/>
      <x:c r="O589" s="12"/>
      <x:c r="P589" s="12" t="str">
        <x:f>IF(OR(H589="",J589="",M589=""),"",ROUND(PERCENTRANK.INC($H$2:$H$941,H589)*35+J589*0.35+M589*0.30,0))</x:f>
      </x:c>
      <x:c r="Q589" s="12" t="str">
        <x:f>IF(P589="","",IF(P589&gt;=80,"ATTACK",IF(P589&gt;=65,"GROW",IF(P589&gt;=50,"PARTNER","WATCH"))))</x:f>
      </x:c>
      <x:c r="R589" s="12" t="str">
        <x:f>IF(Q589="","",IF(Q589="ATTACK","Grassroots + family acquisition",IF(Q589="GROW","Test local campaign",IF(Q589="PARTNER","Organisation-first partnership","Low priority / validate"))))</x:f>
      </x:c>
      <x:c r="S589" s="45" t="n">
        <x:v>10.660448967078223</x:v>
      </x:c>
      <x:c r="T589" t="str">
        <x:v>EXTENDED</x:v>
      </x:c>
      <x:c r="U589" s="32" t="n">
        <x:f>PERCENTRANK.INC($G$2:$G$941,G589)</x:f>
        <x:v>0.658</x:v>
      </x:c>
      <x:c r="V589" s="32" t="n">
        <x:f>PERCENTRANK.INC($H$2:$H$941,H589)</x:f>
        <x:v>0.48</x:v>
      </x:c>
      <x:c r="W589" t="n">
        <x:f>ROUND((U589*55+V589*45)*IF(S589&lt;=5,1,IF(S589&lt;=10,0.95,IF(S589&lt;=20,0.85,0.70))),0)</x:f>
        <x:v>49</x:v>
      </x:c>
      <x:c r="X589" t="n">
        <x:v>34</x:v>
      </x:c>
      <x:c r="Y589" t="str">
        <x:v>WATCH</x:v>
      </x:c>
      <x:c r="Z589" s="12" t="str">
        <x:v>Family + verified grassroots + straight-line geo only; transport not yet routed</x:v>
      </x:c>
      <x:c r="AA589" s="12"/>
      <x:c r="AB589" s="12"/>
      <x:c r="AC589" s="12"/>
      <x:c r="AD589" s="12"/>
      <x:c r="AE589" t="str">
        <x:v>Charlton Athletic Women</x:v>
      </x:c>
      <x:c r="AF589" s="45" t="n">
        <x:v>0.6164915181489979</x:v>
      </x:c>
      <x:c r="AG589" t="str">
        <x:v>Millwall Lionesses</x:v>
      </x:c>
      <x:c r="AH589" s="45" t="n">
        <x:v>5.149386951837568</x:v>
      </x:c>
      <x:c r="AI589" t="n">
        <x:v>96</x:v>
      </x:c>
      <x:c r="AJ589" t="str">
        <x:v>HIGH</x:v>
      </x:c>
    </x:row>
    <x:row r="590">
      <x:c r="A590" s="12" t="str">
        <x:v>E01001712</x:v>
      </x:c>
      <x:c r="B590" s="12" t="str">
        <x:v>Greenwich 042A</x:v>
      </x:c>
      <x:c r="C590" s="12" t="str">
        <x:v>Greenwich</x:v>
      </x:c>
      <x:c r="D590" s="44" t="n">
        <x:v>51.492874351060905</x:v>
      </x:c>
      <x:c r="E590" s="44" t="n">
        <x:v>0.05641080569970591</x:v>
      </x:c>
      <x:c r="F590" s="33" t="n">
        <x:v>913</x:v>
      </x:c>
      <x:c r="G590" s="33" t="n">
        <x:v>333</x:v>
      </x:c>
      <x:c r="H590" s="26" t="n">
        <x:v>0.3647316538882804</x:v>
      </x:c>
      <x:c r="I590" s="12" t="n">
        <x:v>0</x:v>
      </x:c>
      <x:c r="J590" s="12" t="n">
        <x:v>7</x:v>
      </x:c>
      <x:c r="K590" s="12"/>
      <x:c r="L590" s="12"/>
      <x:c r="M590" s="12" t="str">
        <x:f>IF(K590="", "", MAX(0,IF(K590&lt;=20,100,IF(K590&lt;=30,85,IF(K590&lt;=40,70,IF(K590&lt;=50,55,IF(K590&lt;=60,40,20)))))-MIN(L590*5,20)))</x:f>
      </x:c>
      <x:c r="N590" s="12"/>
      <x:c r="O590" s="12"/>
      <x:c r="P590" s="12" t="str">
        <x:f>IF(OR(H590="",J590="",M590=""),"",ROUND(PERCENTRANK.INC($H$2:$H$941,H590)*35+J590*0.35+M590*0.30,0))</x:f>
      </x:c>
      <x:c r="Q590" s="12" t="str">
        <x:f>IF(P590="","",IF(P590&gt;=80,"ATTACK",IF(P590&gt;=65,"GROW",IF(P590&gt;=50,"PARTNER","WATCH"))))</x:f>
      </x:c>
      <x:c r="R590" s="12" t="str">
        <x:f>IF(Q590="","",IF(Q590="ATTACK","Grassroots + family acquisition",IF(Q590="GROW","Test local campaign",IF(Q590="PARTNER","Organisation-first partnership","Low priority / validate"))))</x:f>
      </x:c>
      <x:c r="S590" s="45" t="n">
        <x:v>11.642893732169933</x:v>
      </x:c>
      <x:c r="T590" t="str">
        <x:v>EXTENDED</x:v>
      </x:c>
      <x:c r="U590" s="32" t="n">
        <x:f>PERCENTRANK.INC($G$2:$G$941,G590)</x:f>
        <x:v>0.978</x:v>
      </x:c>
      <x:c r="V590" s="32" t="n">
        <x:f>PERCENTRANK.INC($H$2:$H$941,H590)</x:f>
        <x:v>0.768</x:v>
      </x:c>
      <x:c r="W590" t="n">
        <x:f>ROUND((U590*55+V590*45)*IF(S590&lt;=5,1,IF(S590&lt;=10,0.95,IF(S590&lt;=20,0.85,0.70))),0)</x:f>
        <x:v>75</x:v>
      </x:c>
      <x:c r="X590" t="n">
        <x:v>44</x:v>
      </x:c>
      <x:c r="Y590" t="str">
        <x:v>WATCH</x:v>
      </x:c>
      <x:c r="Z590" s="12" t="str">
        <x:v>Family + verified grassroots + straight-line geo only; transport not yet routed</x:v>
      </x:c>
      <x:c r="AA590" s="12"/>
      <x:c r="AB590" s="12"/>
      <x:c r="AC590" s="12"/>
      <x:c r="AD590" s="12"/>
      <x:c r="AE590" t="str">
        <x:v>Charlton Athletic Women</x:v>
      </x:c>
      <x:c r="AF590" s="45" t="n">
        <x:v>1.5767307782709752</x:v>
      </x:c>
      <x:c r="AG590" t="str">
        <x:v>Millwall Lionesses</x:v>
      </x:c>
      <x:c r="AH590" s="45" t="n">
        <x:v>6.8501035575557845</x:v>
      </x:c>
      <x:c r="AI590" t="n">
        <x:v>92</x:v>
      </x:c>
      <x:c r="AJ590" t="str">
        <x:v>HIGH</x:v>
      </x:c>
    </x:row>
    <x:row r="591">
      <x:c r="A591" s="12" t="str">
        <x:v>E01033737</x:v>
      </x:c>
      <x:c r="B591" s="12" t="str">
        <x:v>Greenwich 042B</x:v>
      </x:c>
      <x:c r="C591" s="12" t="str">
        <x:v>Greenwich</x:v>
      </x:c>
      <x:c r="D591" s="44" t="n">
        <x:v>51.490936143258395</x:v>
      </x:c>
      <x:c r="E591" s="44" t="n">
        <x:v>0.06172363439274145</x:v>
      </x:c>
      <x:c r="F591" s="33" t="n">
        <x:v>814</x:v>
      </x:c>
      <x:c r="G591" s="33" t="n">
        <x:v>248</x:v>
      </x:c>
      <x:c r="H591" s="26" t="n">
        <x:v>0.3046683046683047</x:v>
      </x:c>
      <x:c r="I591" s="12" t="n">
        <x:v>0</x:v>
      </x:c>
      <x:c r="J591" s="12" t="n">
        <x:v>7</x:v>
      </x:c>
      <x:c r="K591" s="12"/>
      <x:c r="L591" s="12"/>
      <x:c r="M591" s="12" t="str">
        <x:f>IF(K591="", "", MAX(0,IF(K591&lt;=20,100,IF(K591&lt;=30,85,IF(K591&lt;=40,70,IF(K591&lt;=50,55,IF(K591&lt;=60,40,20)))))-MIN(L591*5,20)))</x:f>
      </x:c>
      <x:c r="N591" s="12"/>
      <x:c r="O591" s="12"/>
      <x:c r="P591" s="12" t="str">
        <x:f>IF(OR(H591="",J591="",M591=""),"",ROUND(PERCENTRANK.INC($H$2:$H$941,H591)*35+J591*0.35+M591*0.30,0))</x:f>
      </x:c>
      <x:c r="Q591" s="12" t="str">
        <x:f>IF(P591="","",IF(P591&gt;=80,"ATTACK",IF(P591&gt;=65,"GROW",IF(P591&gt;=50,"PARTNER","WATCH"))))</x:f>
      </x:c>
      <x:c r="R591" s="12" t="str">
        <x:f>IF(Q591="","",IF(Q591="ATTACK","Grassroots + family acquisition",IF(Q591="GROW","Test local campaign",IF(Q591="PARTNER","Organisation-first partnership","Low priority / validate"))))</x:f>
      </x:c>
      <x:c r="S591" s="45" t="n">
        <x:v>11.52524412542743</x:v>
      </x:c>
      <x:c r="T591" t="str">
        <x:v>EXTENDED</x:v>
      </x:c>
      <x:c r="U591" s="32" t="n">
        <x:f>PERCENTRANK.INC($G$2:$G$941,G591)</x:f>
        <x:v>0.757</x:v>
      </x:c>
      <x:c r="V591" s="32" t="n">
        <x:f>PERCENTRANK.INC($H$2:$H$941,H591)</x:f>
        <x:v>0.418</x:v>
      </x:c>
      <x:c r="W591" t="n">
        <x:f>ROUND((U591*55+V591*45)*IF(S591&lt;=5,1,IF(S591&lt;=10,0.95,IF(S591&lt;=20,0.85,0.70))),0)</x:f>
        <x:v>51</x:v>
      </x:c>
      <x:c r="X591" t="n">
        <x:v>32</x:v>
      </x:c>
      <x:c r="Y591" t="str">
        <x:v>WATCH</x:v>
      </x:c>
      <x:c r="Z591" s="12" t="str">
        <x:v>Family + verified grassroots + straight-line geo only; transport not yet routed</x:v>
      </x:c>
      <x:c r="AA591" s="12"/>
      <x:c r="AB591" s="12"/>
      <x:c r="AC591" s="12"/>
      <x:c r="AD591" s="12"/>
      <x:c r="AE591" t="str">
        <x:v>Charlton Athletic Women</x:v>
      </x:c>
      <x:c r="AF591" s="45" t="n">
        <x:v>1.8411024932820692</x:v>
      </x:c>
      <x:c r="AG591" t="str">
        <x:v>Millwall Lionesses</x:v>
      </x:c>
      <x:c r="AH591" s="45" t="n">
        <x:v>7.257020214217924</x:v>
      </x:c>
      <x:c r="AI591" t="n">
        <x:v>92</x:v>
      </x:c>
      <x:c r="AJ591" t="str">
        <x:v>HIGH</x:v>
      </x:c>
    </x:row>
    <x:row r="592">
      <x:c r="A592" s="12" t="str">
        <x:v>E01034198</x:v>
      </x:c>
      <x:c r="B592" s="12" t="str">
        <x:v>Greenwich 042C</x:v>
      </x:c>
      <x:c r="C592" s="12" t="str">
        <x:v>Greenwich</x:v>
      </x:c>
      <x:c r="D592" s="44" t="n">
        <x:v>51.49379813926093</x:v>
      </x:c>
      <x:c r="E592" s="44" t="n">
        <x:v>0.04783183265168179</x:v>
      </x:c>
      <x:c r="F592" s="33" t="n">
        <x:v>967</x:v>
      </x:c>
      <x:c r="G592" s="33" t="n">
        <x:v>295</x:v>
      </x:c>
      <x:c r="H592" s="26" t="n">
        <x:v>0.3050672182006205</x:v>
      </x:c>
      <x:c r="I592" s="12" t="n">
        <x:v>0</x:v>
      </x:c>
      <x:c r="J592" s="12" t="n">
        <x:v>7</x:v>
      </x:c>
      <x:c r="K592" s="12"/>
      <x:c r="L592" s="12"/>
      <x:c r="M592" s="12" t="str">
        <x:f>IF(K592="", "", MAX(0,IF(K592&lt;=20,100,IF(K592&lt;=30,85,IF(K592&lt;=40,70,IF(K592&lt;=50,55,IF(K592&lt;=60,40,20)))))-MIN(L592*5,20)))</x:f>
      </x:c>
      <x:c r="N592" s="12"/>
      <x:c r="O592" s="12"/>
      <x:c r="P592" s="12" t="str">
        <x:f>IF(OR(H592="",J592="",M592=""),"",ROUND(PERCENTRANK.INC($H$2:$H$941,H592)*35+J592*0.35+M592*0.30,0))</x:f>
      </x:c>
      <x:c r="Q592" s="12" t="str">
        <x:f>IF(P592="","",IF(P592&gt;=80,"ATTACK",IF(P592&gt;=65,"GROW",IF(P592&gt;=50,"PARTNER","WATCH"))))</x:f>
      </x:c>
      <x:c r="R592" s="12" t="str">
        <x:f>IF(Q592="","",IF(Q592="ATTACK","Grassroots + family acquisition",IF(Q592="GROW","Test local campaign",IF(Q592="PARTNER","Organisation-first partnership","Low priority / validate"))))</x:f>
      </x:c>
      <x:c r="S592" s="45" t="n">
        <x:v>11.62147993968366</x:v>
      </x:c>
      <x:c r="T592" t="str">
        <x:v>EXTENDED</x:v>
      </x:c>
      <x:c r="U592" s="32" t="n">
        <x:f>PERCENTRANK.INC($G$2:$G$941,G592)</x:f>
        <x:v>0.937</x:v>
      </x:c>
      <x:c r="V592" s="32" t="n">
        <x:f>PERCENTRANK.INC($H$2:$H$941,H592)</x:f>
        <x:v>0.42</x:v>
      </x:c>
      <x:c r="W592" t="n">
        <x:f>ROUND((U592*55+V592*45)*IF(S592&lt;=5,1,IF(S592&lt;=10,0.95,IF(S592&lt;=20,0.85,0.70))),0)</x:f>
        <x:v>60</x:v>
      </x:c>
      <x:c r="X592" t="n">
        <x:v>36</x:v>
      </x:c>
      <x:c r="Y592" t="str">
        <x:v>WATCH</x:v>
      </x:c>
      <x:c r="Z592" s="12" t="str">
        <x:v>Family + verified grassroots + straight-line geo only; transport not yet routed</x:v>
      </x:c>
      <x:c r="AA592" s="12"/>
      <x:c r="AB592" s="12"/>
      <x:c r="AC592" s="12"/>
      <x:c r="AD592" s="12"/>
      <x:c r="AE592" t="str">
        <x:v>Charlton Athletic Women</x:v>
      </x:c>
      <x:c r="AF592" s="45" t="n">
        <x:v>1.1536405300105061</x:v>
      </x:c>
      <x:c r="AG592" t="str">
        <x:v>Millwall Lionesses</x:v>
      </x:c>
      <x:c r="AH592" s="45" t="n">
        <x:v>6.248078867559939</x:v>
      </x:c>
      <x:c r="AI592" t="n">
        <x:v>92</x:v>
      </x:c>
      <x:c r="AJ592" t="str">
        <x:v>HIGH</x:v>
      </x:c>
    </x:row>
    <x:row r="593">
      <x:c r="A593" s="12" t="str">
        <x:v>E01033735</x:v>
      </x:c>
      <x:c r="B593" s="12" t="str">
        <x:v>Greenwich 042D</x:v>
      </x:c>
      <x:c r="C593" s="12" t="str">
        <x:v>Greenwich</x:v>
      </x:c>
      <x:c r="D593" s="44" t="n">
        <x:v>51.491249325056806</x:v>
      </x:c>
      <x:c r="E593" s="44" t="n">
        <x:v>0.06465672707139908</x:v>
      </x:c>
      <x:c r="F593" s="33" t="n">
        <x:v>590</x:v>
      </x:c>
      <x:c r="G593" s="33" t="n">
        <x:v>162</x:v>
      </x:c>
      <x:c r="H593" s="26" t="n">
        <x:v>0.2745762711864407</x:v>
      </x:c>
      <x:c r="I593" s="12" t="n">
        <x:v>0</x:v>
      </x:c>
      <x:c r="J593" s="12" t="n">
        <x:v>0</x:v>
      </x:c>
      <x:c r="K593" s="12"/>
      <x:c r="L593" s="12"/>
      <x:c r="M593" s="12" t="str">
        <x:f>IF(K593="", "", MAX(0,IF(K593&lt;=20,100,IF(K593&lt;=30,85,IF(K593&lt;=40,70,IF(K593&lt;=50,55,IF(K593&lt;=60,40,20)))))-MIN(L593*5,20)))</x:f>
      </x:c>
      <x:c r="N593" s="12"/>
      <x:c r="O593" s="12"/>
      <x:c r="P593" s="12" t="str">
        <x:f>IF(OR(H593="",J593="",M593=""),"",ROUND(PERCENTRANK.INC($H$2:$H$941,H593)*35+J593*0.35+M593*0.30,0))</x:f>
      </x:c>
      <x:c r="Q593" s="12" t="str">
        <x:f>IF(P593="","",IF(P593&gt;=80,"ATTACK",IF(P593&gt;=65,"GROW",IF(P593&gt;=50,"PARTNER","WATCH"))))</x:f>
      </x:c>
      <x:c r="R593" s="12" t="str">
        <x:f>IF(Q593="","",IF(Q593="ATTACK","Grassroots + family acquisition",IF(Q593="GROW","Test local campaign",IF(Q593="PARTNER","Organisation-first partnership","Low priority / validate"))))</x:f>
      </x:c>
      <x:c r="S593" s="45" t="n">
        <x:v>11.614135161164176</x:v>
      </x:c>
      <x:c r="T593" t="str">
        <x:v>EXTENDED</x:v>
      </x:c>
      <x:c r="U593" s="32" t="n">
        <x:f>PERCENTRANK.INC($G$2:$G$941,G593)</x:f>
        <x:v>0.134</x:v>
      </x:c>
      <x:c r="V593" s="32" t="n">
        <x:f>PERCENTRANK.INC($H$2:$H$941,H593)</x:f>
        <x:v>0.27</x:v>
      </x:c>
      <x:c r="W593" t="n">
        <x:f>ROUND((U593*55+V593*45)*IF(S593&lt;=5,1,IF(S593&lt;=10,0.95,IF(S593&lt;=20,0.85,0.70))),0)</x:f>
        <x:v>17</x:v>
      </x:c>
      <x:c r="X593" t="n">
        <x:v>9</x:v>
      </x:c>
      <x:c r="Y593" t="str">
        <x:v>WATCH</x:v>
      </x:c>
      <x:c r="Z593" s="12" t="str">
        <x:v>Family + verified grassroots + straight-line geo only; transport not yet routed</x:v>
      </x:c>
      <x:c r="AA593" s="12"/>
      <x:c r="AB593" s="12"/>
      <x:c r="AC593" s="12"/>
      <x:c r="AD593" s="12"/>
      <x:c r="AE593" t="str">
        <x:v>Charlton Athletic Women</x:v>
      </x:c>
      <x:c r="AF593" s="45" t="n">
        <x:v>2.046067306689624</x:v>
      </x:c>
      <x:c r="AG593" t="str">
        <x:v>Millwall Lionesses</x:v>
      </x:c>
      <x:c r="AH593" s="45" t="n">
        <x:v>7.446751117899136</x:v>
      </x:c>
      <x:c r="AI593" t="n">
        <x:v>92</x:v>
      </x:c>
      <x:c r="AJ593" t="str">
        <x:v>HIGH</x:v>
      </x:c>
    </x:row>
    <x:row r="594">
      <x:c r="A594" s="12" t="str">
        <x:v>E01003244</x:v>
      </x:c>
      <x:c r="B594" s="12" t="str">
        <x:v>Lewisham 001A</x:v>
      </x:c>
      <x:c r="C594" s="12" t="str">
        <x:v>Lewisham</x:v>
      </x:c>
      <x:c r="D594" s="44" t="n">
        <x:v>51.48909406354395</x:v>
      </x:c>
      <x:c r="E594" s="44" t="n">
        <x:v>-0.03450007982102506</x:v>
      </x:c>
      <x:c r="F594" s="33" t="n">
        <x:v>730</x:v>
      </x:c>
      <x:c r="G594" s="33" t="n">
        <x:v>264</x:v>
      </x:c>
      <x:c r="H594" s="26" t="n">
        <x:v>0.36164383561643837</x:v>
      </x:c>
      <x:c r="I594" s="12" t="n">
        <x:v>2</x:v>
      </x:c>
      <x:c r="J594" s="12" t="n">
        <x:v>36</x:v>
      </x:c>
      <x:c r="K594" s="12"/>
      <x:c r="L594" s="12"/>
      <x:c r="M594" s="12" t="str">
        <x:f>IF(K594="", "", MAX(0,IF(K594&lt;=20,100,IF(K594&lt;=30,85,IF(K594&lt;=40,70,IF(K594&lt;=50,55,IF(K594&lt;=60,40,20)))))-MIN(L594*5,20)))</x:f>
      </x:c>
      <x:c r="N594" s="12"/>
      <x:c r="O594" s="12"/>
      <x:c r="P594" s="12" t="str">
        <x:f>IF(OR(H594="",J594="",M594=""),"",ROUND(PERCENTRANK.INC($H$2:$H$941,H594)*35+J594*0.35+M594*0.30,0))</x:f>
      </x:c>
      <x:c r="Q594" s="12" t="str">
        <x:f>IF(P594="","",IF(P594&gt;=80,"ATTACK",IF(P594&gt;=65,"GROW",IF(P594&gt;=50,"PARTNER","WATCH"))))</x:f>
      </x:c>
      <x:c r="R594" s="12" t="str">
        <x:f>IF(Q594="","",IF(Q594="ATTACK","Grassroots + family acquisition",IF(Q594="GROW","Test local campaign",IF(Q594="PARTNER","Organisation-first partnership","Low priority / validate"))))</x:f>
      </x:c>
      <x:c r="S594" s="45" t="n">
        <x:v>11.493889288147606</x:v>
      </x:c>
      <x:c r="T594" t="str">
        <x:v>EXTENDED</x:v>
      </x:c>
      <x:c r="U594" s="32" t="n">
        <x:f>PERCENTRANK.INC($G$2:$G$941,G594)</x:f>
        <x:v>0.847</x:v>
      </x:c>
      <x:c r="V594" s="32" t="n">
        <x:f>PERCENTRANK.INC($H$2:$H$941,H594)</x:f>
        <x:v>0.744</x:v>
      </x:c>
      <x:c r="W594" t="n">
        <x:f>ROUND((U594*55+V594*45)*IF(S594&lt;=5,1,IF(S594&lt;=10,0.95,IF(S594&lt;=20,0.85,0.70))),0)</x:f>
        <x:v>68</x:v>
      </x:c>
      <x:c r="X594" t="n">
        <x:v>54</x:v>
      </x:c>
      <x:c r="Y594" t="str">
        <x:v>PARTNER</x:v>
      </x:c>
      <x:c r="Z594" s="12" t="str">
        <x:v>Family + verified grassroots + straight-line geo only; transport not yet routed</x:v>
      </x:c>
      <x:c r="AA594" s="12"/>
      <x:c r="AB594" s="12"/>
      <x:c r="AC594" s="12"/>
      <x:c r="AD594" s="12"/>
      <x:c r="AE594" t="str">
        <x:v>Charlton Athletic Women</x:v>
      </x:c>
      <x:c r="AF594" s="45" t="n">
        <x:v>4.900916953894826</x:v>
      </x:c>
      <x:c r="AG594" t="str">
        <x:v>Millwall Lionesses</x:v>
      </x:c>
      <x:c r="AH594" s="45" t="n">
        <x:v>1.9385175544107505</x:v>
      </x:c>
      <x:c r="AI594" t="n">
        <x:v>89</x:v>
      </x:c>
      <x:c r="AJ594" t="str">
        <x:v>HIGH</x:v>
      </x:c>
    </x:row>
    <x:row r="595">
      <x:c r="A595" s="12" t="str">
        <x:v>E01003245</x:v>
      </x:c>
      <x:c r="B595" s="12" t="str">
        <x:v>Lewisham 001B</x:v>
      </x:c>
      <x:c r="C595" s="12" t="str">
        <x:v>Lewisham</x:v>
      </x:c>
      <x:c r="D595" s="44" t="n">
        <x:v>51.489181876262734</x:v>
      </x:c>
      <x:c r="E595" s="44" t="n">
        <x:v>-0.048554232829033546</x:v>
      </x:c>
      <x:c r="F595" s="33" t="n">
        <x:v>637</x:v>
      </x:c>
      <x:c r="G595" s="33" t="n">
        <x:v>286</x:v>
      </x:c>
      <x:c r="H595" s="26" t="n">
        <x:v>0.4489795918367347</x:v>
      </x:c>
      <x:c r="I595" s="12" t="n">
        <x:v>2</x:v>
      </x:c>
      <x:c r="J595" s="12" t="n">
        <x:v>36</x:v>
      </x:c>
      <x:c r="K595" s="12"/>
      <x:c r="L595" s="12"/>
      <x:c r="M595" s="12" t="str">
        <x:f>IF(K595="", "", MAX(0,IF(K595&lt;=20,100,IF(K595&lt;=30,85,IF(K595&lt;=40,70,IF(K595&lt;=50,55,IF(K595&lt;=60,40,20)))))-MIN(L595*5,20)))</x:f>
      </x:c>
      <x:c r="N595" s="12"/>
      <x:c r="O595" s="12"/>
      <x:c r="P595" s="12" t="str">
        <x:f>IF(OR(H595="",J595="",M595=""),"",ROUND(PERCENTRANK.INC($H$2:$H$941,H595)*35+J595*0.35+M595*0.30,0))</x:f>
      </x:c>
      <x:c r="Q595" s="12" t="str">
        <x:f>IF(P595="","",IF(P595&gt;=80,"ATTACK",IF(P595&gt;=65,"GROW",IF(P595&gt;=50,"PARTNER","WATCH"))))</x:f>
      </x:c>
      <x:c r="R595" s="12" t="str">
        <x:f>IF(Q595="","",IF(Q595="ATTACK","Grassroots + family acquisition",IF(Q595="GROW","Test local campaign",IF(Q595="PARTNER","Organisation-first partnership","Low priority / validate"))))</x:f>
      </x:c>
      <x:c r="S595" s="45" t="n">
        <x:v>11.84574484578061</x:v>
      </x:c>
      <x:c r="T595" t="str">
        <x:v>EXTENDED</x:v>
      </x:c>
      <x:c r="U595" s="32" t="n">
        <x:f>PERCENTRANK.INC($G$2:$G$941,G595)</x:f>
        <x:v>0.919</x:v>
      </x:c>
      <x:c r="V595" s="32" t="n">
        <x:f>PERCENTRANK.INC($H$2:$H$941,H595)</x:f>
        <x:v>0.977</x:v>
      </x:c>
      <x:c r="W595" t="n">
        <x:f>ROUND((U595*55+V595*45)*IF(S595&lt;=5,1,IF(S595&lt;=10,0.95,IF(S595&lt;=20,0.85,0.70))),0)</x:f>
        <x:v>80</x:v>
      </x:c>
      <x:c r="X595" t="n">
        <x:v>61</x:v>
      </x:c>
      <x:c r="Y595" t="str">
        <x:v>PARTNER</x:v>
      </x:c>
      <x:c r="Z595" s="12" t="str">
        <x:v>Family + verified grassroots + straight-line geo only; transport not yet routed</x:v>
      </x:c>
      <x:c r="AA595" s="12"/>
      <x:c r="AB595" s="12"/>
      <x:c r="AC595" s="12"/>
      <x:c r="AD595" s="12"/>
      <x:c r="AE595" t="str">
        <x:v>Charlton Athletic Women</x:v>
      </x:c>
      <x:c r="AF595" s="45" t="n">
        <x:v>5.872996987016777</x:v>
      </x:c>
      <x:c r="AG595" t="str">
        <x:v>Millwall Lionesses</x:v>
      </x:c>
      <x:c r="AH595" s="45" t="n">
        <x:v>1.9740702429323749</x:v>
      </x:c>
      <x:c r="AI595" t="n">
        <x:v>89</x:v>
      </x:c>
      <x:c r="AJ595" t="str">
        <x:v>HIGH</x:v>
      </x:c>
    </x:row>
    <x:row r="596">
      <x:c r="A596" s="12" t="str">
        <x:v>E01003247</x:v>
      </x:c>
      <x:c r="B596" s="12" t="str">
        <x:v>Lewisham 001C</x:v>
      </x:c>
      <x:c r="C596" s="12" t="str">
        <x:v>Lewisham</x:v>
      </x:c>
      <x:c r="D596" s="44" t="n">
        <x:v>51.48790327038594</x:v>
      </x:c>
      <x:c r="E596" s="44" t="n">
        <x:v>-0.04325291561554913</x:v>
      </x:c>
      <x:c r="F596" s="33" t="n">
        <x:v>874</x:v>
      </x:c>
      <x:c r="G596" s="33" t="n">
        <x:v>148</x:v>
      </x:c>
      <x:c r="H596" s="26" t="n">
        <x:v>0.16933638443935928</x:v>
      </x:c>
      <x:c r="I596" s="12" t="n">
        <x:v>2</x:v>
      </x:c>
      <x:c r="J596" s="12" t="n">
        <x:v>36</x:v>
      </x:c>
      <x:c r="K596" s="12"/>
      <x:c r="L596" s="12"/>
      <x:c r="M596" s="12" t="str">
        <x:f>IF(K596="", "", MAX(0,IF(K596&lt;=20,100,IF(K596&lt;=30,85,IF(K596&lt;=40,70,IF(K596&lt;=50,55,IF(K596&lt;=60,40,20)))))-MIN(L596*5,20)))</x:f>
      </x:c>
      <x:c r="N596" s="12"/>
      <x:c r="O596" s="12"/>
      <x:c r="P596" s="12" t="str">
        <x:f>IF(OR(H596="",J596="",M596=""),"",ROUND(PERCENTRANK.INC($H$2:$H$941,H596)*35+J596*0.35+M596*0.30,0))</x:f>
      </x:c>
      <x:c r="Q596" s="12" t="str">
        <x:f>IF(P596="","",IF(P596&gt;=80,"ATTACK",IF(P596&gt;=65,"GROW",IF(P596&gt;=50,"PARTNER","WATCH"))))</x:f>
      </x:c>
      <x:c r="R596" s="12" t="str">
        <x:f>IF(Q596="","",IF(Q596="ATTACK","Grassroots + family acquisition",IF(Q596="GROW","Test local campaign",IF(Q596="PARTNER","Organisation-first partnership","Low priority / validate"))))</x:f>
      </x:c>
      <x:c r="S596" s="45" t="n">
        <x:v>11.575721336887108</x:v>
      </x:c>
      <x:c r="T596" t="str">
        <x:v>EXTENDED</x:v>
      </x:c>
      <x:c r="U596" s="32" t="n">
        <x:f>PERCENTRANK.INC($G$2:$G$941,G596)</x:f>
        <x:v>0.086</x:v>
      </x:c>
      <x:c r="V596" s="32" t="n">
        <x:f>PERCENTRANK.INC($H$2:$H$941,H596)</x:f>
        <x:v>0.03</x:v>
      </x:c>
      <x:c r="W596" t="n">
        <x:f>ROUND((U596*55+V596*45)*IF(S596&lt;=5,1,IF(S596&lt;=10,0.95,IF(S596&lt;=20,0.85,0.70))),0)</x:f>
        <x:v>5</x:v>
      </x:c>
      <x:c r="X596" t="n">
        <x:v>19</x:v>
      </x:c>
      <x:c r="Y596" t="str">
        <x:v>WATCH</x:v>
      </x:c>
      <x:c r="Z596" s="12" t="str">
        <x:v>Family + verified grassroots + straight-line geo only; transport not yet routed</x:v>
      </x:c>
      <x:c r="AA596" s="12"/>
      <x:c r="AB596" s="12"/>
      <x:c r="AC596" s="12"/>
      <x:c r="AD596" s="12"/>
      <x:c r="AE596" t="str">
        <x:v>Charlton Athletic Women</x:v>
      </x:c>
      <x:c r="AF596" s="45" t="n">
        <x:v>5.500404281450968</x:v>
      </x:c>
      <x:c r="AG596" t="str">
        <x:v>Millwall Lionesses</x:v>
      </x:c>
      <x:c r="AH596" s="45" t="n">
        <x:v>2.0408866136180053</x:v>
      </x:c>
      <x:c r="AI596" t="n">
        <x:v>89</x:v>
      </x:c>
      <x:c r="AJ596" t="str">
        <x:v>HIGH</x:v>
      </x:c>
    </x:row>
    <x:row r="597">
      <x:c r="A597" s="12" t="str">
        <x:v>E01003249</x:v>
      </x:c>
      <x:c r="B597" s="12" t="str">
        <x:v>Lewisham 001D</x:v>
      </x:c>
      <x:c r="C597" s="12" t="str">
        <x:v>Lewisham</x:v>
      </x:c>
      <x:c r="D597" s="44" t="n">
        <x:v>51.49058223380813</x:v>
      </x:c>
      <x:c r="E597" s="44" t="n">
        <x:v>-0.03220775239910645</x:v>
      </x:c>
      <x:c r="F597" s="33" t="n">
        <x:v>855</x:v>
      </x:c>
      <x:c r="G597" s="33" t="n">
        <x:v>227</x:v>
      </x:c>
      <x:c r="H597" s="26" t="n">
        <x:v>0.2654970760233918</x:v>
      </x:c>
      <x:c r="I597" s="12" t="n">
        <x:v>2</x:v>
      </x:c>
      <x:c r="J597" s="12" t="n">
        <x:v>36</x:v>
      </x:c>
      <x:c r="K597" s="12"/>
      <x:c r="L597" s="12"/>
      <x:c r="M597" s="12" t="str">
        <x:f>IF(K597="", "", MAX(0,IF(K597&lt;=20,100,IF(K597&lt;=30,85,IF(K597&lt;=40,70,IF(K597&lt;=50,55,IF(K597&lt;=60,40,20)))))-MIN(L597*5,20)))</x:f>
      </x:c>
      <x:c r="N597" s="12"/>
      <x:c r="O597" s="12"/>
      <x:c r="P597" s="12" t="str">
        <x:f>IF(OR(H597="",J597="",M597=""),"",ROUND(PERCENTRANK.INC($H$2:$H$941,H597)*35+J597*0.35+M597*0.30,0))</x:f>
      </x:c>
      <x:c r="Q597" s="12" t="str">
        <x:f>IF(P597="","",IF(P597&gt;=80,"ATTACK",IF(P597&gt;=65,"GROW",IF(P597&gt;=50,"PARTNER","WATCH"))))</x:f>
      </x:c>
      <x:c r="R597" s="12" t="str">
        <x:f>IF(Q597="","",IF(Q597="ATTACK","Grassroots + family acquisition",IF(Q597="GROW","Test local campaign",IF(Q597="PARTNER","Organisation-first partnership","Low priority / validate"))))</x:f>
      </x:c>
      <x:c r="S597" s="45" t="n">
        <x:v>11.602684827588044</x:v>
      </x:c>
      <x:c r="T597" t="str">
        <x:v>EXTENDED</x:v>
      </x:c>
      <x:c r="U597" s="32" t="n">
        <x:f>PERCENTRANK.INC($G$2:$G$941,G597)</x:f>
        <x:v>0.605</x:v>
      </x:c>
      <x:c r="V597" s="32" t="n">
        <x:f>PERCENTRANK.INC($H$2:$H$941,H597)</x:f>
        <x:v>0.243</x:v>
      </x:c>
      <x:c r="W597" t="n">
        <x:f>ROUND((U597*55+V597*45)*IF(S597&lt;=5,1,IF(S597&lt;=10,0.95,IF(S597&lt;=20,0.85,0.70))),0)</x:f>
        <x:v>38</x:v>
      </x:c>
      <x:c r="X597" t="n">
        <x:v>37</x:v>
      </x:c>
      <x:c r="Y597" t="str">
        <x:v>WATCH</x:v>
      </x:c>
      <x:c r="Z597" s="12" t="str">
        <x:v>Family + verified grassroots + straight-line geo only; transport not yet routed</x:v>
      </x:c>
      <x:c r="AA597" s="12"/>
      <x:c r="AB597" s="12"/>
      <x:c r="AC597" s="12"/>
      <x:c r="AD597" s="12"/>
      <x:c r="AE597" t="str">
        <x:v>Charlton Athletic Women</x:v>
      </x:c>
      <x:c r="AF597" s="45" t="n">
        <x:v>4.755748772049024</x:v>
      </x:c>
      <x:c r="AG597" t="str">
        <x:v>Millwall Lionesses</x:v>
      </x:c>
      <x:c r="AH597" s="45" t="n">
        <x:v>1.8187998861394041</x:v>
      </x:c>
      <x:c r="AI597" t="n">
        <x:v>89</x:v>
      </x:c>
      <x:c r="AJ597" t="str">
        <x:v>HIGH</x:v>
      </x:c>
    </x:row>
    <x:row r="598">
      <x:c r="A598" s="12" t="str">
        <x:v>E01034387</x:v>
      </x:c>
      <x:c r="B598" s="12" t="str">
        <x:v>Lewisham 001F</x:v>
      </x:c>
      <x:c r="C598" s="12" t="str">
        <x:v>Lewisham</x:v>
      </x:c>
      <x:c r="D598" s="44" t="n">
        <x:v>51.491457476522235</x:v>
      </x:c>
      <x:c r="E598" s="44" t="n">
        <x:v>-0.03858077379049985</x:v>
      </x:c>
      <x:c r="F598" s="33" t="n">
        <x:v>844</x:v>
      </x:c>
      <x:c r="G598" s="33" t="n">
        <x:v>101</x:v>
      </x:c>
      <x:c r="H598" s="26" t="n">
        <x:v>0.11966824644549763</x:v>
      </x:c>
      <x:c r="I598" s="12" t="n">
        <x:v>2</x:v>
      </x:c>
      <x:c r="J598" s="12" t="n">
        <x:v>36</x:v>
      </x:c>
      <x:c r="K598" s="12"/>
      <x:c r="L598" s="12"/>
      <x:c r="M598" s="12" t="str">
        <x:f>IF(K598="", "", MAX(0,IF(K598&lt;=20,100,IF(K598&lt;=30,85,IF(K598&lt;=40,70,IF(K598&lt;=50,55,IF(K598&lt;=60,40,20)))))-MIN(L598*5,20)))</x:f>
      </x:c>
      <x:c r="N598" s="12"/>
      <x:c r="O598" s="12"/>
      <x:c r="P598" s="12" t="str">
        <x:f>IF(OR(H598="",J598="",M598=""),"",ROUND(PERCENTRANK.INC($H$2:$H$941,H598)*35+J598*0.35+M598*0.30,0))</x:f>
      </x:c>
      <x:c r="Q598" s="12" t="str">
        <x:f>IF(P598="","",IF(P598&gt;=80,"ATTACK",IF(P598&gt;=65,"GROW",IF(P598&gt;=50,"PARTNER","WATCH"))))</x:f>
      </x:c>
      <x:c r="R598" s="12" t="str">
        <x:f>IF(Q598="","",IF(Q598="ATTACK","Grassroots + family acquisition",IF(Q598="GROW","Test local campaign",IF(Q598="PARTNER","Organisation-first partnership","Low priority / validate"))))</x:f>
      </x:c>
      <x:c r="S598" s="45" t="n">
        <x:v>11.833797979940787</x:v>
      </x:c>
      <x:c r="T598" t="str">
        <x:v>EXTENDED</x:v>
      </x:c>
      <x:c r="U598" s="32" t="n">
        <x:f>PERCENTRANK.INC($G$2:$G$941,G598)</x:f>
        <x:v>0.021</x:v>
      </x:c>
      <x:c r="V598" s="32" t="n">
        <x:f>PERCENTRANK.INC($H$2:$H$941,H598)</x:f>
        <x:v>0.013</x:v>
      </x:c>
      <x:c r="W598" t="n">
        <x:f>ROUND((U598*55+V598*45)*IF(S598&lt;=5,1,IF(S598&lt;=10,0.95,IF(S598&lt;=20,0.85,0.70))),0)</x:f>
        <x:v>1</x:v>
      </x:c>
      <x:c r="X598" t="n">
        <x:v>17</x:v>
      </x:c>
      <x:c r="Y598" t="str">
        <x:v>WATCH</x:v>
      </x:c>
      <x:c r="Z598" s="12" t="str">
        <x:v>Family + verified grassroots + straight-line geo only; transport not yet routed</x:v>
      </x:c>
      <x:c r="AA598" s="12"/>
      <x:c r="AB598" s="12"/>
      <x:c r="AC598" s="12"/>
      <x:c r="AD598" s="12"/>
      <x:c r="AE598" t="str">
        <x:v>Charlton Athletic Women</x:v>
      </x:c>
      <x:c r="AF598" s="45" t="n">
        <x:v>5.204634034954977</x:v>
      </x:c>
      <x:c r="AG598" t="str">
        <x:v>Millwall Lionesses</x:v>
      </x:c>
      <x:c r="AH598" s="45" t="n">
        <x:v>1.638781433940178</x:v>
      </x:c>
      <x:c r="AI598" t="n">
        <x:v>89</x:v>
      </x:c>
      <x:c r="AJ598" t="str">
        <x:v>HIGH</x:v>
      </x:c>
    </x:row>
    <x:row r="599">
      <x:c r="A599" s="12" t="str">
        <x:v>E01034388</x:v>
      </x:c>
      <x:c r="B599" s="12" t="str">
        <x:v>Lewisham 001G</x:v>
      </x:c>
      <x:c r="C599" s="12" t="str">
        <x:v>Lewisham</x:v>
      </x:c>
      <x:c r="D599" s="44" t="n">
        <x:v>51.491582926787544</x:v>
      </x:c>
      <x:c r="E599" s="44" t="n">
        <x:v>-0.036117602949833294</x:v>
      </x:c>
      <x:c r="F599" s="33" t="n">
        <x:v>617</x:v>
      </x:c>
      <x:c r="G599" s="33" t="n">
        <x:v>98</x:v>
      </x:c>
      <x:c r="H599" s="26" t="n">
        <x:v>0.15883306320907617</x:v>
      </x:c>
      <x:c r="I599" s="12" t="n">
        <x:v>2</x:v>
      </x:c>
      <x:c r="J599" s="12" t="n">
        <x:v>36</x:v>
      </x:c>
      <x:c r="K599" s="12"/>
      <x:c r="L599" s="12"/>
      <x:c r="M599" s="12" t="str">
        <x:f>IF(K599="", "", MAX(0,IF(K599&lt;=20,100,IF(K599&lt;=30,85,IF(K599&lt;=40,70,IF(K599&lt;=50,55,IF(K599&lt;=60,40,20)))))-MIN(L599*5,20)))</x:f>
      </x:c>
      <x:c r="N599" s="12"/>
      <x:c r="O599" s="12"/>
      <x:c r="P599" s="12" t="str">
        <x:f>IF(OR(H599="",J599="",M599=""),"",ROUND(PERCENTRANK.INC($H$2:$H$941,H599)*35+J599*0.35+M599*0.30,0))</x:f>
      </x:c>
      <x:c r="Q599" s="12" t="str">
        <x:f>IF(P599="","",IF(P599&gt;=80,"ATTACK",IF(P599&gt;=65,"GROW",IF(P599&gt;=50,"PARTNER","WATCH"))))</x:f>
      </x:c>
      <x:c r="R599" s="12" t="str">
        <x:f>IF(Q599="","",IF(Q599="ATTACK","Grassroots + family acquisition",IF(Q599="GROW","Test local campaign",IF(Q599="PARTNER","Organisation-first partnership","Low priority / validate"))))</x:f>
      </x:c>
      <x:c r="S599" s="45" t="n">
        <x:v>11.791845746618948</x:v>
      </x:c>
      <x:c r="T599" t="str">
        <x:v>EXTENDED</x:v>
      </x:c>
      <x:c r="U599" s="32" t="n">
        <x:f>PERCENTRANK.INC($G$2:$G$941,G599)</x:f>
        <x:v>0.018</x:v>
      </x:c>
      <x:c r="V599" s="32" t="n">
        <x:f>PERCENTRANK.INC($H$2:$H$941,H599)</x:f>
        <x:v>0.028</x:v>
      </x:c>
      <x:c r="W599" t="n">
        <x:f>ROUND((U599*55+V599*45)*IF(S599&lt;=5,1,IF(S599&lt;=10,0.95,IF(S599&lt;=20,0.85,0.70))),0)</x:f>
        <x:v>2</x:v>
      </x:c>
      <x:c r="X599" t="n">
        <x:v>17</x:v>
      </x:c>
      <x:c r="Y599" t="str">
        <x:v>WATCH</x:v>
      </x:c>
      <x:c r="Z599" s="12" t="str">
        <x:v>Family + verified grassroots + straight-line geo only; transport not yet routed</x:v>
      </x:c>
      <x:c r="AA599" s="12"/>
      <x:c r="AB599" s="12"/>
      <x:c r="AC599" s="12"/>
      <x:c r="AD599" s="12"/>
      <x:c r="AE599" t="str">
        <x:v>Charlton Athletic Women</x:v>
      </x:c>
      <x:c r="AF599" s="45" t="n">
        <x:v>5.036692991780487</x:v>
      </x:c>
      <x:c r="AG599" t="str">
        <x:v>Millwall Lionesses</x:v>
      </x:c>
      <x:c r="AH599" s="45" t="n">
        <x:v>1.6455868532059854</x:v>
      </x:c>
      <x:c r="AI599" t="n">
        <x:v>89</x:v>
      </x:c>
      <x:c r="AJ599" t="str">
        <x:v>HIGH</x:v>
      </x:c>
    </x:row>
    <x:row r="600">
      <x:c r="A600" s="12" t="str">
        <x:v>E01034389</x:v>
      </x:c>
      <x:c r="B600" s="12" t="str">
        <x:v>Lewisham 001H</x:v>
      </x:c>
      <x:c r="C600" s="12" t="str">
        <x:v>Lewisham</x:v>
      </x:c>
      <x:c r="D600" s="44" t="n">
        <x:v>51.489951709923005</x:v>
      </x:c>
      <x:c r="E600" s="44" t="n">
        <x:v>-0.03936438839794616</x:v>
      </x:c>
      <x:c r="F600" s="33" t="n">
        <x:v>731</x:v>
      </x:c>
      <x:c r="G600" s="33" t="n">
        <x:v>177</x:v>
      </x:c>
      <x:c r="H600" s="26" t="n">
        <x:v>0.2421340629274966</x:v>
      </x:c>
      <x:c r="I600" s="12" t="n">
        <x:v>2</x:v>
      </x:c>
      <x:c r="J600" s="12" t="n">
        <x:v>36</x:v>
      </x:c>
      <x:c r="K600" s="12"/>
      <x:c r="L600" s="12"/>
      <x:c r="M600" s="12" t="str">
        <x:f>IF(K600="", "", MAX(0,IF(K600&lt;=20,100,IF(K600&lt;=30,85,IF(K600&lt;=40,70,IF(K600&lt;=50,55,IF(K600&lt;=60,40,20)))))-MIN(L600*5,20)))</x:f>
      </x:c>
      <x:c r="N600" s="12"/>
      <x:c r="O600" s="12"/>
      <x:c r="P600" s="12" t="str">
        <x:f>IF(OR(H600="",J600="",M600=""),"",ROUND(PERCENTRANK.INC($H$2:$H$941,H600)*35+J600*0.35+M600*0.30,0))</x:f>
      </x:c>
      <x:c r="Q600" s="12" t="str">
        <x:f>IF(P600="","",IF(P600&gt;=80,"ATTACK",IF(P600&gt;=65,"GROW",IF(P600&gt;=50,"PARTNER","WATCH"))))</x:f>
      </x:c>
      <x:c r="R600" s="12" t="str">
        <x:f>IF(Q600="","",IF(Q600="ATTACK","Grassroots + family acquisition",IF(Q600="GROW","Test local campaign",IF(Q600="PARTNER","Organisation-first partnership","Low priority / validate"))))</x:f>
      </x:c>
      <x:c r="S600" s="45" t="n">
        <x:v>11.694138644556315</x:v>
      </x:c>
      <x:c r="T600" t="str">
        <x:v>EXTENDED</x:v>
      </x:c>
      <x:c r="U600" s="32" t="n">
        <x:f>PERCENTRANK.INC($G$2:$G$941,G600)</x:f>
        <x:v>0.202</x:v>
      </x:c>
      <x:c r="V600" s="32" t="n">
        <x:f>PERCENTRANK.INC($H$2:$H$941,H600)</x:f>
        <x:v>0.161</x:v>
      </x:c>
      <x:c r="W600" t="n">
        <x:f>ROUND((U600*55+V600*45)*IF(S600&lt;=5,1,IF(S600&lt;=10,0.95,IF(S600&lt;=20,0.85,0.70))),0)</x:f>
        <x:v>16</x:v>
      </x:c>
      <x:c r="X600" t="n">
        <x:v>25</x:v>
      </x:c>
      <x:c r="Y600" t="str">
        <x:v>WATCH</x:v>
      </x:c>
      <x:c r="Z600" s="12" t="str">
        <x:v>Family + verified grassroots + straight-line geo only; transport not yet routed</x:v>
      </x:c>
      <x:c r="AA600" s="12"/>
      <x:c r="AB600" s="12"/>
      <x:c r="AC600" s="12"/>
      <x:c r="AD600" s="12"/>
      <x:c r="AE600" t="str">
        <x:v>Charlton Athletic Women</x:v>
      </x:c>
      <x:c r="AF600" s="45" t="n">
        <x:v>5.243398741233918</x:v>
      </x:c>
      <x:c r="AG600" t="str">
        <x:v>Millwall Lionesses</x:v>
      </x:c>
      <x:c r="AH600" s="45" t="n">
        <x:v>1.8032550658794266</x:v>
      </x:c>
      <x:c r="AI600" t="n">
        <x:v>89</x:v>
      </x:c>
      <x:c r="AJ600" t="str">
        <x:v>HIGH</x:v>
      </x:c>
    </x:row>
    <x:row r="601">
      <x:c r="A601" s="12" t="str">
        <x:v>E01003246</x:v>
      </x:c>
      <x:c r="B601" s="12" t="str">
        <x:v>Lewisham 002A</x:v>
      </x:c>
      <x:c r="C601" s="12" t="str">
        <x:v>Lewisham</x:v>
      </x:c>
      <x:c r="D601" s="44" t="n">
        <x:v>51.48248294503342</x:v>
      </x:c>
      <x:c r="E601" s="44" t="n">
        <x:v>-0.03546688340821874</x:v>
      </x:c>
      <x:c r="F601" s="33" t="n">
        <x:v>1017</x:v>
      </x:c>
      <x:c r="G601" s="33" t="n">
        <x:v>241</x:v>
      </x:c>
      <x:c r="H601" s="26" t="n">
        <x:v>0.23697148475909538</x:v>
      </x:c>
      <x:c r="I601" s="12" t="n">
        <x:v>2</x:v>
      </x:c>
      <x:c r="J601" s="12" t="n">
        <x:v>36</x:v>
      </x:c>
      <x:c r="K601" s="12"/>
      <x:c r="L601" s="12"/>
      <x:c r="M601" s="12" t="str">
        <x:f>IF(K601="", "", MAX(0,IF(K601&lt;=20,100,IF(K601&lt;=30,85,IF(K601&lt;=40,70,IF(K601&lt;=50,55,IF(K601&lt;=60,40,20)))))-MIN(L601*5,20)))</x:f>
      </x:c>
      <x:c r="N601" s="12"/>
      <x:c r="O601" s="12"/>
      <x:c r="P601" s="12" t="str">
        <x:f>IF(OR(H601="",J601="",M601=""),"",ROUND(PERCENTRANK.INC($H$2:$H$941,H601)*35+J601*0.35+M601*0.30,0))</x:f>
      </x:c>
      <x:c r="Q601" s="12" t="str">
        <x:f>IF(P601="","",IF(P601&gt;=80,"ATTACK",IF(P601&gt;=65,"GROW",IF(P601&gt;=50,"PARTNER","WATCH"))))</x:f>
      </x:c>
      <x:c r="R601" s="12" t="str">
        <x:f>IF(Q601="","",IF(Q601="ATTACK","Grassroots + family acquisition",IF(Q601="GROW","Test local campaign",IF(Q601="PARTNER","Organisation-first partnership","Low priority / validate"))))</x:f>
      </x:c>
      <x:c r="S601" s="45" t="n">
        <x:v>10.821362773449234</x:v>
      </x:c>
      <x:c r="T601" t="str">
        <x:v>EXTENDED</x:v>
      </x:c>
      <x:c r="U601" s="32" t="n">
        <x:f>PERCENTRANK.INC($G$2:$G$941,G601)</x:f>
        <x:v>0.714</x:v>
      </x:c>
      <x:c r="V601" s="32" t="n">
        <x:f>PERCENTRANK.INC($H$2:$H$941,H601)</x:f>
        <x:v>0.148</x:v>
      </x:c>
      <x:c r="W601" t="n">
        <x:f>ROUND((U601*55+V601*45)*IF(S601&lt;=5,1,IF(S601&lt;=10,0.95,IF(S601&lt;=20,0.85,0.70))),0)</x:f>
        <x:v>39</x:v>
      </x:c>
      <x:c r="X601" t="n">
        <x:v>38</x:v>
      </x:c>
      <x:c r="Y601" t="str">
        <x:v>WATCH</x:v>
      </x:c>
      <x:c r="Z601" s="12" t="str">
        <x:v>Family + verified grassroots + straight-line geo only; transport not yet routed</x:v>
      </x:c>
      <x:c r="AA601" s="12"/>
      <x:c r="AB601" s="12"/>
      <x:c r="AC601" s="12"/>
      <x:c r="AD601" s="12"/>
      <x:c r="AE601" t="str">
        <x:v>Charlton Athletic Women</x:v>
      </x:c>
      <x:c r="AF601" s="45" t="n">
        <x:v>4.978144006249841</x:v>
      </x:c>
      <x:c r="AG601" t="str">
        <x:v>Millwall Lionesses</x:v>
      </x:c>
      <x:c r="AH601" s="45" t="n">
        <x:v>2.6532556113866352</x:v>
      </x:c>
      <x:c r="AI601" t="n">
        <x:v>89</x:v>
      </x:c>
      <x:c r="AJ601" t="str">
        <x:v>HIGH</x:v>
      </x:c>
    </x:row>
    <x:row r="602">
      <x:c r="A602" s="12" t="str">
        <x:v>E01003248</x:v>
      </x:c>
      <x:c r="B602" s="12" t="str">
        <x:v>Lewisham 002B</x:v>
      </x:c>
      <x:c r="C602" s="12" t="str">
        <x:v>Lewisham</x:v>
      </x:c>
      <x:c r="D602" s="44" t="n">
        <x:v>51.4860377807445</x:v>
      </x:c>
      <x:c r="E602" s="44" t="n">
        <x:v>-0.034059942010013874</x:v>
      </x:c>
      <x:c r="F602" s="33" t="n">
        <x:v>681</x:v>
      </x:c>
      <x:c r="G602" s="33" t="n">
        <x:v>210</x:v>
      </x:c>
      <x:c r="H602" s="26" t="n">
        <x:v>0.30837004405286345</x:v>
      </x:c>
      <x:c r="I602" s="12" t="n">
        <x:v>2</x:v>
      </x:c>
      <x:c r="J602" s="12" t="n">
        <x:v>36</x:v>
      </x:c>
      <x:c r="K602" s="12"/>
      <x:c r="L602" s="12"/>
      <x:c r="M602" s="12" t="str">
        <x:f>IF(K602="", "", MAX(0,IF(K602&lt;=20,100,IF(K602&lt;=30,85,IF(K602&lt;=40,70,IF(K602&lt;=50,55,IF(K602&lt;=60,40,20)))))-MIN(L602*5,20)))</x:f>
      </x:c>
      <x:c r="N602" s="12"/>
      <x:c r="O602" s="12"/>
      <x:c r="P602" s="12" t="str">
        <x:f>IF(OR(H602="",J602="",M602=""),"",ROUND(PERCENTRANK.INC($H$2:$H$941,H602)*35+J602*0.35+M602*0.30,0))</x:f>
      </x:c>
      <x:c r="Q602" s="12" t="str">
        <x:f>IF(P602="","",IF(P602&gt;=80,"ATTACK",IF(P602&gt;=65,"GROW",IF(P602&gt;=50,"PARTNER","WATCH"))))</x:f>
      </x:c>
      <x:c r="R602" s="12" t="str">
        <x:f>IF(Q602="","",IF(Q602="ATTACK","Grassroots + family acquisition",IF(Q602="GROW","Test local campaign",IF(Q602="PARTNER","Organisation-first partnership","Low priority / validate"))))</x:f>
      </x:c>
      <x:c r="S602" s="45" t="n">
        <x:v>11.162035451523895</x:v>
      </x:c>
      <x:c r="T602" t="str">
        <x:v>EXTENDED</x:v>
      </x:c>
      <x:c r="U602" s="32" t="n">
        <x:f>PERCENTRANK.INC($G$2:$G$941,G602)</x:f>
        <x:v>0.471</x:v>
      </x:c>
      <x:c r="V602" s="32" t="n">
        <x:f>PERCENTRANK.INC($H$2:$H$941,H602)</x:f>
        <x:v>0.436</x:v>
      </x:c>
      <x:c r="W602" t="n">
        <x:f>ROUND((U602*55+V602*45)*IF(S602&lt;=5,1,IF(S602&lt;=10,0.95,IF(S602&lt;=20,0.85,0.70))),0)</x:f>
        <x:v>39</x:v>
      </x:c>
      <x:c r="X602" t="n">
        <x:v>38</x:v>
      </x:c>
      <x:c r="Y602" t="str">
        <x:v>WATCH</x:v>
      </x:c>
      <x:c r="Z602" s="12" t="str">
        <x:v>Family + verified grassroots + straight-line geo only; transport not yet routed</x:v>
      </x:c>
      <x:c r="AA602" s="12"/>
      <x:c r="AB602" s="12"/>
      <x:c r="AC602" s="12"/>
      <x:c r="AD602" s="12"/>
      <x:c r="AE602" t="str">
        <x:v>Charlton Athletic Women</x:v>
      </x:c>
      <x:c r="AF602" s="45" t="n">
        <x:v>4.861607939282693</x:v>
      </x:c>
      <x:c r="AG602" t="str">
        <x:v>Millwall Lionesses</x:v>
      </x:c>
      <x:c r="AH602" s="45" t="n">
        <x:v>2.277766419097481</x:v>
      </x:c>
      <x:c r="AI602" t="n">
        <x:v>89</x:v>
      </x:c>
      <x:c r="AJ602" t="str">
        <x:v>HIGH</x:v>
      </x:c>
    </x:row>
    <x:row r="603">
      <x:c r="A603" s="12" t="str">
        <x:v>E01003251</x:v>
      </x:c>
      <x:c r="B603" s="12" t="str">
        <x:v>Lewisham 002C</x:v>
      </x:c>
      <x:c r="C603" s="12" t="str">
        <x:v>Lewisham</x:v>
      </x:c>
      <x:c r="D603" s="44" t="n">
        <x:v>51.48307970370615</x:v>
      </x:c>
      <x:c r="E603" s="44" t="n">
        <x:v>-0.0291893607004384</x:v>
      </x:c>
      <x:c r="F603" s="33" t="n">
        <x:v>642</x:v>
      </x:c>
      <x:c r="G603" s="33" t="n">
        <x:v>239</x:v>
      </x:c>
      <x:c r="H603" s="26" t="n">
        <x:v>0.37227414330218067</x:v>
      </x:c>
      <x:c r="I603" s="12" t="n">
        <x:v>2</x:v>
      </x:c>
      <x:c r="J603" s="12" t="n">
        <x:v>36</x:v>
      </x:c>
      <x:c r="K603" s="12"/>
      <x:c r="L603" s="12"/>
      <x:c r="M603" s="12" t="str">
        <x:f>IF(K603="", "", MAX(0,IF(K603&lt;=20,100,IF(K603&lt;=30,85,IF(K603&lt;=40,70,IF(K603&lt;=50,55,IF(K603&lt;=60,40,20)))))-MIN(L603*5,20)))</x:f>
      </x:c>
      <x:c r="N603" s="12"/>
      <x:c r="O603" s="12"/>
      <x:c r="P603" s="12" t="str">
        <x:f>IF(OR(H603="",J603="",M603=""),"",ROUND(PERCENTRANK.INC($H$2:$H$941,H603)*35+J603*0.35+M603*0.30,0))</x:f>
      </x:c>
      <x:c r="Q603" s="12" t="str">
        <x:f>IF(P603="","",IF(P603&gt;=80,"ATTACK",IF(P603&gt;=65,"GROW",IF(P603&gt;=50,"PARTNER","WATCH"))))</x:f>
      </x:c>
      <x:c r="R603" s="12" t="str">
        <x:f>IF(Q603="","",IF(Q603="ATTACK","Grassroots + family acquisition",IF(Q603="GROW","Test local campaign",IF(Q603="PARTNER","Organisation-first partnership","Low priority / validate"))))</x:f>
      </x:c>
      <x:c r="S603" s="45" t="n">
        <x:v>10.744202964366298</x:v>
      </x:c>
      <x:c r="T603" t="str">
        <x:v>EXTENDED</x:v>
      </x:c>
      <x:c r="U603" s="32" t="n">
        <x:f>PERCENTRANK.INC($G$2:$G$941,G603)</x:f>
        <x:v>0.699</x:v>
      </x:c>
      <x:c r="V603" s="32" t="n">
        <x:f>PERCENTRANK.INC($H$2:$H$941,H603)</x:f>
        <x:v>0.801</x:v>
      </x:c>
      <x:c r="W603" t="n">
        <x:f>ROUND((U603*55+V603*45)*IF(S603&lt;=5,1,IF(S603&lt;=10,0.95,IF(S603&lt;=20,0.85,0.70))),0)</x:f>
        <x:v>63</x:v>
      </x:c>
      <x:c r="X603" t="n">
        <x:v>51</x:v>
      </x:c>
      <x:c r="Y603" t="str">
        <x:v>PARTNER</x:v>
      </x:c>
      <x:c r="Z603" s="12" t="str">
        <x:v>Family + verified grassroots + straight-line geo only; transport not yet routed</x:v>
      </x:c>
      <x:c r="AA603" s="12"/>
      <x:c r="AB603" s="12"/>
      <x:c r="AC603" s="12"/>
      <x:c r="AD603" s="12"/>
      <x:c r="AE603" t="str">
        <x:v>Charlton Athletic Women</x:v>
      </x:c>
      <x:c r="AF603" s="45" t="n">
        <x:v>4.539380524635496</x:v>
      </x:c>
      <x:c r="AG603" t="str">
        <x:v>Millwall Lionesses</x:v>
      </x:c>
      <x:c r="AH603" s="45" t="n">
        <x:v>2.6776164307244374</x:v>
      </x:c>
      <x:c r="AI603" t="n">
        <x:v>89</x:v>
      </x:c>
      <x:c r="AJ603" t="str">
        <x:v>HIGH</x:v>
      </x:c>
    </x:row>
    <x:row r="604">
      <x:c r="A604" s="12" t="str">
        <x:v>E01003252</x:v>
      </x:c>
      <x:c r="B604" s="12" t="str">
        <x:v>Lewisham 002D</x:v>
      </x:c>
      <x:c r="C604" s="12" t="str">
        <x:v>Lewisham</x:v>
      </x:c>
      <x:c r="D604" s="44" t="n">
        <x:v>51.48268354076212</x:v>
      </x:c>
      <x:c r="E604" s="44" t="n">
        <x:v>-0.03285693527908366</x:v>
      </x:c>
      <x:c r="F604" s="33" t="n">
        <x:v>606</x:v>
      </x:c>
      <x:c r="G604" s="33" t="n">
        <x:v>221</x:v>
      </x:c>
      <x:c r="H604" s="26" t="n">
        <x:v>0.36468646864686466</x:v>
      </x:c>
      <x:c r="I604" s="12" t="n">
        <x:v>2</x:v>
      </x:c>
      <x:c r="J604" s="12" t="n">
        <x:v>36</x:v>
      </x:c>
      <x:c r="K604" s="12"/>
      <x:c r="L604" s="12"/>
      <x:c r="M604" s="12" t="str">
        <x:f>IF(K604="", "", MAX(0,IF(K604&lt;=20,100,IF(K604&lt;=30,85,IF(K604&lt;=40,70,IF(K604&lt;=50,55,IF(K604&lt;=60,40,20)))))-MIN(L604*5,20)))</x:f>
      </x:c>
      <x:c r="N604" s="12"/>
      <x:c r="O604" s="12"/>
      <x:c r="P604" s="12" t="str">
        <x:f>IF(OR(H604="",J604="",M604=""),"",ROUND(PERCENTRANK.INC($H$2:$H$941,H604)*35+J604*0.35+M604*0.30,0))</x:f>
      </x:c>
      <x:c r="Q604" s="12" t="str">
        <x:f>IF(P604="","",IF(P604&gt;=80,"ATTACK",IF(P604&gt;=65,"GROW",IF(P604&gt;=50,"PARTNER","WATCH"))))</x:f>
      </x:c>
      <x:c r="R604" s="12" t="str">
        <x:f>IF(Q604="","",IF(Q604="ATTACK","Grassroots + family acquisition",IF(Q604="GROW","Test local campaign",IF(Q604="PARTNER","Organisation-first partnership","Low priority / validate"))))</x:f>
      </x:c>
      <x:c r="S604" s="45" t="n">
        <x:v>10.78217235776569</x:v>
      </x:c>
      <x:c r="T604" t="str">
        <x:v>EXTENDED</x:v>
      </x:c>
      <x:c r="U604" s="32" t="n">
        <x:f>PERCENTRANK.INC($G$2:$G$941,G604)</x:f>
        <x:v>0.552</x:v>
      </x:c>
      <x:c r="V604" s="32" t="n">
        <x:f>PERCENTRANK.INC($H$2:$H$941,H604)</x:f>
        <x:v>0.766</x:v>
      </x:c>
      <x:c r="W604" t="n">
        <x:f>ROUND((U604*55+V604*45)*IF(S604&lt;=5,1,IF(S604&lt;=10,0.95,IF(S604&lt;=20,0.85,0.70))),0)</x:f>
        <x:v>55</x:v>
      </x:c>
      <x:c r="X604" t="n">
        <x:v>47</x:v>
      </x:c>
      <x:c r="Y604" t="str">
        <x:v>WATCH</x:v>
      </x:c>
      <x:c r="Z604" s="12" t="str">
        <x:v>Family + verified grassroots + straight-line geo only; transport not yet routed</x:v>
      </x:c>
      <x:c r="AA604" s="12"/>
      <x:c r="AB604" s="12"/>
      <x:c r="AC604" s="12"/>
      <x:c r="AD604" s="12"/>
      <x:c r="AE604" t="str">
        <x:v>Charlton Athletic Women</x:v>
      </x:c>
      <x:c r="AF604" s="45" t="n">
        <x:v>4.796155576404037</x:v>
      </x:c>
      <x:c r="AG604" t="str">
        <x:v>Millwall Lionesses</x:v>
      </x:c>
      <x:c r="AH604" s="45" t="n">
        <x:v>2.659768680702759</x:v>
      </x:c>
      <x:c r="AI604" t="n">
        <x:v>89</x:v>
      </x:c>
      <x:c r="AJ604" t="str">
        <x:v>HIGH</x:v>
      </x:c>
    </x:row>
    <x:row r="605">
      <x:c r="A605" s="12" t="str">
        <x:v>E01003253</x:v>
      </x:c>
      <x:c r="B605" s="12" t="str">
        <x:v>Lewisham 002E</x:v>
      </x:c>
      <x:c r="C605" s="12" t="str">
        <x:v>Lewisham</x:v>
      </x:c>
      <x:c r="D605" s="44" t="n">
        <x:v>51.48080023879864</x:v>
      </x:c>
      <x:c r="E605" s="44" t="n">
        <x:v>-0.026969502031223593</x:v>
      </x:c>
      <x:c r="F605" s="33" t="n">
        <x:v>651</x:v>
      </x:c>
      <x:c r="G605" s="33" t="n">
        <x:v>147</x:v>
      </x:c>
      <x:c r="H605" s="26" t="n">
        <x:v>0.22580645161290322</x:v>
      </x:c>
      <x:c r="I605" s="12" t="n">
        <x:v>2</x:v>
      </x:c>
      <x:c r="J605" s="12" t="n">
        <x:v>36</x:v>
      </x:c>
      <x:c r="K605" s="12"/>
      <x:c r="L605" s="12"/>
      <x:c r="M605" s="12" t="str">
        <x:f>IF(K605="", "", MAX(0,IF(K605&lt;=20,100,IF(K605&lt;=30,85,IF(K605&lt;=40,70,IF(K605&lt;=50,55,IF(K605&lt;=60,40,20)))))-MIN(L605*5,20)))</x:f>
      </x:c>
      <x:c r="N605" s="12"/>
      <x:c r="O605" s="12"/>
      <x:c r="P605" s="12" t="str">
        <x:f>IF(OR(H605="",J605="",M605=""),"",ROUND(PERCENTRANK.INC($H$2:$H$941,H605)*35+J605*0.35+M605*0.30,0))</x:f>
      </x:c>
      <x:c r="Q605" s="12" t="str">
        <x:f>IF(P605="","",IF(P605&gt;=80,"ATTACK",IF(P605&gt;=65,"GROW",IF(P605&gt;=50,"PARTNER","WATCH"))))</x:f>
      </x:c>
      <x:c r="R605" s="12" t="str">
        <x:f>IF(Q605="","",IF(Q605="ATTACK","Grassroots + family acquisition",IF(Q605="GROW","Test local campaign",IF(Q605="PARTNER","Organisation-first partnership","Low priority / validate"))))</x:f>
      </x:c>
      <x:c r="S605" s="45" t="n">
        <x:v>10.456318232492997</x:v>
      </x:c>
      <x:c r="T605" t="str">
        <x:v>EXTENDED</x:v>
      </x:c>
      <x:c r="U605" s="32" t="n">
        <x:f>PERCENTRANK.INC($G$2:$G$941,G605)</x:f>
        <x:v>0.084</x:v>
      </x:c>
      <x:c r="V605" s="32" t="n">
        <x:f>PERCENTRANK.INC($H$2:$H$941,H605)</x:f>
        <x:v>0.121</x:v>
      </x:c>
      <x:c r="W605" t="n">
        <x:f>ROUND((U605*55+V605*45)*IF(S605&lt;=5,1,IF(S605&lt;=10,0.95,IF(S605&lt;=20,0.85,0.70))),0)</x:f>
        <x:v>9</x:v>
      </x:c>
      <x:c r="X605" t="n">
        <x:v>21</x:v>
      </x:c>
      <x:c r="Y605" t="str">
        <x:v>WATCH</x:v>
      </x:c>
      <x:c r="Z605" s="12" t="str">
        <x:v>Family + verified grassroots + straight-line geo only; transport not yet routed</x:v>
      </x:c>
      <x:c r="AA605" s="12"/>
      <x:c r="AB605" s="12"/>
      <x:c r="AC605" s="12"/>
      <x:c r="AD605" s="12"/>
      <x:c r="AE605" t="str">
        <x:v>Charlton Athletic Women</x:v>
      </x:c>
      <x:c r="AF605" s="45" t="n">
        <x:v>4.414869921511339</x:v>
      </x:c>
      <x:c r="AG605" t="str">
        <x:v>Millwall Lionesses</x:v>
      </x:c>
      <x:c r="AH605" s="45" t="n">
        <x:v>2.9653391513359457</x:v>
      </x:c>
      <x:c r="AI605" t="n">
        <x:v>89</x:v>
      </x:c>
      <x:c r="AJ605" t="str">
        <x:v>HIGH</x:v>
      </x:c>
    </x:row>
    <x:row r="606">
      <x:c r="A606" s="12" t="str">
        <x:v>E01003297</x:v>
      </x:c>
      <x:c r="B606" s="12" t="str">
        <x:v>Lewisham 003A</x:v>
      </x:c>
      <x:c r="C606" s="12" t="str">
        <x:v>Lewisham</x:v>
      </x:c>
      <x:c r="D606" s="44" t="n">
        <x:v>51.48259725181058</x:v>
      </x:c>
      <x:c r="E606" s="44" t="n">
        <x:v>-0.04824698811363385</x:v>
      </x:c>
      <x:c r="F606" s="33" t="n">
        <x:v>787</x:v>
      </x:c>
      <x:c r="G606" s="33" t="n">
        <x:v>171</x:v>
      </x:c>
      <x:c r="H606" s="26" t="n">
        <x:v>0.21728081321473952</x:v>
      </x:c>
      <x:c r="I606" s="12" t="n">
        <x:v>2</x:v>
      </x:c>
      <x:c r="J606" s="12" t="n">
        <x:v>36</x:v>
      </x:c>
      <x:c r="K606" s="12"/>
      <x:c r="L606" s="12"/>
      <x:c r="M606" s="12" t="str">
        <x:f>IF(K606="", "", MAX(0,IF(K606&lt;=20,100,IF(K606&lt;=30,85,IF(K606&lt;=40,70,IF(K606&lt;=50,55,IF(K606&lt;=60,40,20)))))-MIN(L606*5,20)))</x:f>
      </x:c>
      <x:c r="N606" s="12"/>
      <x:c r="O606" s="12"/>
      <x:c r="P606" s="12" t="str">
        <x:f>IF(OR(H606="",J606="",M606=""),"",ROUND(PERCENTRANK.INC($H$2:$H$941,H606)*35+J606*0.35+M606*0.30,0))</x:f>
      </x:c>
      <x:c r="Q606" s="12" t="str">
        <x:f>IF(P606="","",IF(P606&gt;=80,"ATTACK",IF(P606&gt;=65,"GROW",IF(P606&gt;=50,"PARTNER","WATCH"))))</x:f>
      </x:c>
      <x:c r="R606" s="12" t="str">
        <x:f>IF(Q606="","",IF(Q606="ATTACK","Grassroots + family acquisition",IF(Q606="GROW","Test local campaign",IF(Q606="PARTNER","Organisation-first partnership","Low priority / validate"))))</x:f>
      </x:c>
      <x:c r="S606" s="45" t="n">
        <x:v>11.16584673786321</x:v>
      </x:c>
      <x:c r="T606" t="str">
        <x:v>EXTENDED</x:v>
      </x:c>
      <x:c r="U606" s="32" t="n">
        <x:f>PERCENTRANK.INC($G$2:$G$941,G606)</x:f>
        <x:v>0.177</x:v>
      </x:c>
      <x:c r="V606" s="32" t="n">
        <x:f>PERCENTRANK.INC($H$2:$H$941,H606)</x:f>
        <x:v>0.096</x:v>
      </x:c>
      <x:c r="W606" t="n">
        <x:f>ROUND((U606*55+V606*45)*IF(S606&lt;=5,1,IF(S606&lt;=10,0.95,IF(S606&lt;=20,0.85,0.70))),0)</x:f>
        <x:v>12</x:v>
      </x:c>
      <x:c r="X606" t="n">
        <x:v>23</x:v>
      </x:c>
      <x:c r="Y606" t="str">
        <x:v>WATCH</x:v>
      </x:c>
      <x:c r="Z606" s="12" t="str">
        <x:v>Family + verified grassroots + straight-line geo only; transport not yet routed</x:v>
      </x:c>
      <x:c r="AA606" s="12"/>
      <x:c r="AB606" s="12"/>
      <x:c r="AC606" s="12"/>
      <x:c r="AD606" s="12"/>
      <x:c r="AE606" t="str">
        <x:v>Charlton Athletic Women</x:v>
      </x:c>
      <x:c r="AF606" s="45" t="n">
        <x:v>5.85927142982763</x:v>
      </x:c>
      <x:c r="AG606" t="str">
        <x:v>Millwall Lionesses</x:v>
      </x:c>
      <x:c r="AH606" s="45" t="n">
        <x:v>2.678344070986965</x:v>
      </x:c>
      <x:c r="AI606" t="n">
        <x:v>89</x:v>
      </x:c>
      <x:c r="AJ606" t="str">
        <x:v>HIGH</x:v>
      </x:c>
    </x:row>
    <x:row r="607">
      <x:c r="A607" s="12" t="str">
        <x:v>E01003299</x:v>
      </x:c>
      <x:c r="B607" s="12" t="str">
        <x:v>Lewisham 003B</x:v>
      </x:c>
      <x:c r="C607" s="12" t="str">
        <x:v>Lewisham</x:v>
      </x:c>
      <x:c r="D607" s="44" t="n">
        <x:v>51.47622635647904</x:v>
      </x:c>
      <x:c r="E607" s="44" t="n">
        <x:v>-0.045108707863194875</x:v>
      </x:c>
      <x:c r="F607" s="33" t="n">
        <x:v>701</x:v>
      </x:c>
      <x:c r="G607" s="33" t="n">
        <x:v>178</x:v>
      </x:c>
      <x:c r="H607" s="26" t="n">
        <x:v>0.25392296718972895</x:v>
      </x:c>
      <x:c r="I607" s="12" t="n">
        <x:v>2</x:v>
      </x:c>
      <x:c r="J607" s="12" t="n">
        <x:v>36</x:v>
      </x:c>
      <x:c r="K607" s="12"/>
      <x:c r="L607" s="12"/>
      <x:c r="M607" s="12" t="str">
        <x:f>IF(K607="", "", MAX(0,IF(K607&lt;=20,100,IF(K607&lt;=30,85,IF(K607&lt;=40,70,IF(K607&lt;=50,55,IF(K607&lt;=60,40,20)))))-MIN(L607*5,20)))</x:f>
      </x:c>
      <x:c r="N607" s="12"/>
      <x:c r="O607" s="12"/>
      <x:c r="P607" s="12" t="str">
        <x:f>IF(OR(H607="",J607="",M607=""),"",ROUND(PERCENTRANK.INC($H$2:$H$941,H607)*35+J607*0.35+M607*0.30,0))</x:f>
      </x:c>
      <x:c r="Q607" s="12" t="str">
        <x:f>IF(P607="","",IF(P607&gt;=80,"ATTACK",IF(P607&gt;=65,"GROW",IF(P607&gt;=50,"PARTNER","WATCH"))))</x:f>
      </x:c>
      <x:c r="R607" s="12" t="str">
        <x:f>IF(Q607="","",IF(Q607="ATTACK","Grassroots + family acquisition",IF(Q607="GROW","Test local campaign",IF(Q607="PARTNER","Organisation-first partnership","Low priority / validate"))))</x:f>
      </x:c>
      <x:c r="S607" s="45" t="n">
        <x:v>10.430999256741643</x:v>
      </x:c>
      <x:c r="T607" t="str">
        <x:v>EXTENDED</x:v>
      </x:c>
      <x:c r="U607" s="32" t="n">
        <x:f>PERCENTRANK.INC($G$2:$G$941,G607)</x:f>
        <x:v>0.21</x:v>
      </x:c>
      <x:c r="V607" s="32" t="n">
        <x:f>PERCENTRANK.INC($H$2:$H$941,H607)</x:f>
        <x:v>0.199</x:v>
      </x:c>
      <x:c r="W607" t="n">
        <x:f>ROUND((U607*55+V607*45)*IF(S607&lt;=5,1,IF(S607&lt;=10,0.95,IF(S607&lt;=20,0.85,0.70))),0)</x:f>
        <x:v>17</x:v>
      </x:c>
      <x:c r="X607" t="n">
        <x:v>26</x:v>
      </x:c>
      <x:c r="Y607" t="str">
        <x:v>WATCH</x:v>
      </x:c>
      <x:c r="Z607" s="12" t="str">
        <x:v>Family + verified grassroots + straight-line geo only; transport not yet routed</x:v>
      </x:c>
      <x:c r="AA607" s="12"/>
      <x:c r="AB607" s="12"/>
      <x:c r="AC607" s="12"/>
      <x:c r="AD607" s="12"/>
      <x:c r="AE607" t="str">
        <x:v>Charlton Athletic Women</x:v>
      </x:c>
      <x:c r="AF607" s="45" t="n">
        <x:v>5.739666265634186</x:v>
      </x:c>
      <x:c r="AG607" t="str">
        <x:v>Dulwich Hamlet Women</x:v>
      </x:c>
      <x:c r="AH607" s="45" t="n">
        <x:v>3.161819204374498</x:v>
      </x:c>
      <x:c r="AI607" t="n">
        <x:v>85</x:v>
      </x:c>
      <x:c r="AJ607" t="str">
        <x:v>HIGH</x:v>
      </x:c>
    </x:row>
    <x:row r="608">
      <x:c r="A608" s="12" t="str">
        <x:v>E01003301</x:v>
      </x:c>
      <x:c r="B608" s="12" t="str">
        <x:v>Lewisham 003C</x:v>
      </x:c>
      <x:c r="C608" s="12" t="str">
        <x:v>Lewisham</x:v>
      </x:c>
      <x:c r="D608" s="44" t="n">
        <x:v>51.478696336989955</x:v>
      </x:c>
      <x:c r="E608" s="44" t="n">
        <x:v>-0.04279845656886488</x:v>
      </x:c>
      <x:c r="F608" s="33" t="n">
        <x:v>935</x:v>
      </x:c>
      <x:c r="G608" s="33" t="n">
        <x:v>235</x:v>
      </x:c>
      <x:c r="H608" s="26" t="n">
        <x:v>0.25133689839572193</x:v>
      </x:c>
      <x:c r="I608" s="12" t="n">
        <x:v>2</x:v>
      </x:c>
      <x:c r="J608" s="12" t="n">
        <x:v>36</x:v>
      </x:c>
      <x:c r="K608" s="12"/>
      <x:c r="L608" s="12"/>
      <x:c r="M608" s="12" t="str">
        <x:f>IF(K608="", "", MAX(0,IF(K608&lt;=20,100,IF(K608&lt;=30,85,IF(K608&lt;=40,70,IF(K608&lt;=50,55,IF(K608&lt;=60,40,20)))))-MIN(L608*5,20)))</x:f>
      </x:c>
      <x:c r="N608" s="12"/>
      <x:c r="O608" s="12"/>
      <x:c r="P608" s="12" t="str">
        <x:f>IF(OR(H608="",J608="",M608=""),"",ROUND(PERCENTRANK.INC($H$2:$H$941,H608)*35+J608*0.35+M608*0.30,0))</x:f>
      </x:c>
      <x:c r="Q608" s="12" t="str">
        <x:f>IF(P608="","",IF(P608&gt;=80,"ATTACK",IF(P608&gt;=65,"GROW",IF(P608&gt;=50,"PARTNER","WATCH"))))</x:f>
      </x:c>
      <x:c r="R608" s="12" t="str">
        <x:f>IF(Q608="","",IF(Q608="ATTACK","Grassroots + family acquisition",IF(Q608="GROW","Test local campaign",IF(Q608="PARTNER","Organisation-first partnership","Low priority / validate"))))</x:f>
      </x:c>
      <x:c r="S608" s="45" t="n">
        <x:v>10.616855683582685</x:v>
      </x:c>
      <x:c r="T608" t="str">
        <x:v>EXTENDED</x:v>
      </x:c>
      <x:c r="U608" s="32" t="n">
        <x:f>PERCENTRANK.INC($G$2:$G$941,G608)</x:f>
        <x:v>0.667</x:v>
      </x:c>
      <x:c r="V608" s="32" t="n">
        <x:f>PERCENTRANK.INC($H$2:$H$941,H608)</x:f>
        <x:v>0.189</x:v>
      </x:c>
      <x:c r="W608" t="n">
        <x:f>ROUND((U608*55+V608*45)*IF(S608&lt;=5,1,IF(S608&lt;=10,0.95,IF(S608&lt;=20,0.85,0.70))),0)</x:f>
        <x:v>38</x:v>
      </x:c>
      <x:c r="X608" t="n">
        <x:v>38</x:v>
      </x:c>
      <x:c r="Y608" t="str">
        <x:v>WATCH</x:v>
      </x:c>
      <x:c r="Z608" s="12" t="str">
        <x:v>Family + verified grassroots + straight-line geo only; transport not yet routed</x:v>
      </x:c>
      <x:c r="AA608" s="12"/>
      <x:c r="AB608" s="12"/>
      <x:c r="AC608" s="12"/>
      <x:c r="AD608" s="12"/>
      <x:c r="AE608" t="str">
        <x:v>Charlton Athletic Women</x:v>
      </x:c>
      <x:c r="AF608" s="45" t="n">
        <x:v>5.533652452798115</x:v>
      </x:c>
      <x:c r="AG608" t="str">
        <x:v>Millwall Lionesses</x:v>
      </x:c>
      <x:c r="AH608" s="45" t="n">
        <x:v>3.0590372345109813</x:v>
      </x:c>
      <x:c r="AI608" t="n">
        <x:v>85</x:v>
      </x:c>
      <x:c r="AJ608" t="str">
        <x:v>HIGH</x:v>
      </x:c>
    </x:row>
    <x:row r="609">
      <x:c r="A609" s="12" t="str">
        <x:v>E01003302</x:v>
      </x:c>
      <x:c r="B609" s="12" t="str">
        <x:v>Lewisham 003D</x:v>
      </x:c>
      <x:c r="C609" s="12" t="str">
        <x:v>Lewisham</x:v>
      </x:c>
      <x:c r="D609" s="44" t="n">
        <x:v>51.4801068506035</x:v>
      </x:c>
      <x:c r="E609" s="44" t="n">
        <x:v>-0.051572455940760875</x:v>
      </x:c>
      <x:c r="F609" s="33" t="n">
        <x:v>801</x:v>
      </x:c>
      <x:c r="G609" s="33" t="n">
        <x:v>235</x:v>
      </x:c>
      <x:c r="H609" s="26" t="n">
        <x:v>0.2933832709113608</x:v>
      </x:c>
      <x:c r="I609" s="12" t="n">
        <x:v>2</x:v>
      </x:c>
      <x:c r="J609" s="12" t="n">
        <x:v>43</x:v>
      </x:c>
      <x:c r="K609" s="12"/>
      <x:c r="L609" s="12"/>
      <x:c r="M609" s="12" t="str">
        <x:f>IF(K609="", "", MAX(0,IF(K609&lt;=20,100,IF(K609&lt;=30,85,IF(K609&lt;=40,70,IF(K609&lt;=50,55,IF(K609&lt;=60,40,20)))))-MIN(L609*5,20)))</x:f>
      </x:c>
      <x:c r="N609" s="12"/>
      <x:c r="O609" s="12"/>
      <x:c r="P609" s="12" t="str">
        <x:f>IF(OR(H609="",J609="",M609=""),"",ROUND(PERCENTRANK.INC($H$2:$H$941,H609)*35+J609*0.35+M609*0.30,0))</x:f>
      </x:c>
      <x:c r="Q609" s="12" t="str">
        <x:f>IF(P609="","",IF(P609&gt;=80,"ATTACK",IF(P609&gt;=65,"GROW",IF(P609&gt;=50,"PARTNER","WATCH"))))</x:f>
      </x:c>
      <x:c r="R609" s="12" t="str">
        <x:f>IF(Q609="","",IF(Q609="ATTACK","Grassroots + family acquisition",IF(Q609="GROW","Test local campaign",IF(Q609="PARTNER","Organisation-first partnership","Low priority / validate"))))</x:f>
      </x:c>
      <x:c r="S609" s="45" t="n">
        <x:v>11.012402361223378</x:v>
      </x:c>
      <x:c r="T609" t="str">
        <x:v>EXTENDED</x:v>
      </x:c>
      <x:c r="U609" s="32" t="n">
        <x:f>PERCENTRANK.INC($G$2:$G$941,G609)</x:f>
        <x:v>0.667</x:v>
      </x:c>
      <x:c r="V609" s="32" t="n">
        <x:f>PERCENTRANK.INC($H$2:$H$941,H609)</x:f>
        <x:v>0.359</x:v>
      </x:c>
      <x:c r="W609" t="n">
        <x:f>ROUND((U609*55+V609*45)*IF(S609&lt;=5,1,IF(S609&lt;=10,0.95,IF(S609&lt;=20,0.85,0.70))),0)</x:f>
        <x:v>45</x:v>
      </x:c>
      <x:c r="X609" t="n">
        <x:v>44</x:v>
      </x:c>
      <x:c r="Y609" t="str">
        <x:v>WATCH</x:v>
      </x:c>
      <x:c r="Z609" s="12" t="str">
        <x:v>Family + verified grassroots + straight-line geo only; transport not yet routed</x:v>
      </x:c>
      <x:c r="AA609" s="12"/>
      <x:c r="AB609" s="12"/>
      <x:c r="AC609" s="12"/>
      <x:c r="AD609" s="12"/>
      <x:c r="AE609" t="str">
        <x:v>Charlton Athletic Women</x:v>
      </x:c>
      <x:c r="AF609" s="45" t="n">
        <x:v>6.114601900797442</x:v>
      </x:c>
      <x:c r="AG609" t="str">
        <x:v>Millwall Lionesses</x:v>
      </x:c>
      <x:c r="AH609" s="45" t="n">
        <x:v>3.0017010815683296</x:v>
      </x:c>
      <x:c r="AI609" t="n">
        <x:v>74</x:v>
      </x:c>
      <x:c r="AJ609" t="str">
        <x:v>MEDIUM</x:v>
      </x:c>
    </x:row>
    <x:row r="610">
      <x:c r="A610" s="12" t="str">
        <x:v>E01003305</x:v>
      </x:c>
      <x:c r="B610" s="12" t="str">
        <x:v>Lewisham 003E</x:v>
      </x:c>
      <x:c r="C610" s="12" t="str">
        <x:v>Lewisham</x:v>
      </x:c>
      <x:c r="D610" s="44" t="n">
        <x:v>51.47841766414174</x:v>
      </x:c>
      <x:c r="E610" s="44" t="n">
        <x:v>-0.04873800723902533</x:v>
      </x:c>
      <x:c r="F610" s="33" t="n">
        <x:v>790</x:v>
      </x:c>
      <x:c r="G610" s="33" t="n">
        <x:v>277</x:v>
      </x:c>
      <x:c r="H610" s="26" t="n">
        <x:v>0.35063291139240504</x:v>
      </x:c>
      <x:c r="I610" s="12" t="n">
        <x:v>2</x:v>
      </x:c>
      <x:c r="J610" s="12" t="n">
        <x:v>36</x:v>
      </x:c>
      <x:c r="K610" s="12"/>
      <x:c r="L610" s="12"/>
      <x:c r="M610" s="12" t="str">
        <x:f>IF(K610="", "", MAX(0,IF(K610&lt;=20,100,IF(K610&lt;=30,85,IF(K610&lt;=40,70,IF(K610&lt;=50,55,IF(K610&lt;=60,40,20)))))-MIN(L610*5,20)))</x:f>
      </x:c>
      <x:c r="N610" s="12"/>
      <x:c r="O610" s="12"/>
      <x:c r="P610" s="12" t="str">
        <x:f>IF(OR(H610="",J610="",M610=""),"",ROUND(PERCENTRANK.INC($H$2:$H$941,H610)*35+J610*0.35+M610*0.30,0))</x:f>
      </x:c>
      <x:c r="Q610" s="12" t="str">
        <x:f>IF(P610="","",IF(P610&gt;=80,"ATTACK",IF(P610&gt;=65,"GROW",IF(P610&gt;=50,"PARTNER","WATCH"))))</x:f>
      </x:c>
      <x:c r="R610" s="12" t="str">
        <x:f>IF(Q610="","",IF(Q610="ATTACK","Grassroots + family acquisition",IF(Q610="GROW","Test local campaign",IF(Q610="PARTNER","Organisation-first partnership","Low priority / validate"))))</x:f>
      </x:c>
      <x:c r="S610" s="45" t="n">
        <x:v>10.758145225449553</x:v>
      </x:c>
      <x:c r="T610" t="str">
        <x:v>EXTENDED</x:v>
      </x:c>
      <x:c r="U610" s="32" t="n">
        <x:f>PERCENTRANK.INC($G$2:$G$941,G610)</x:f>
        <x:v>0.887</x:v>
      </x:c>
      <x:c r="V610" s="32" t="n">
        <x:f>PERCENTRANK.INC($H$2:$H$941,H610)</x:f>
        <x:v>0.691</x:v>
      </x:c>
      <x:c r="W610" t="n">
        <x:f>ROUND((U610*55+V610*45)*IF(S610&lt;=5,1,IF(S610&lt;=10,0.95,IF(S610&lt;=20,0.85,0.70))),0)</x:f>
        <x:v>68</x:v>
      </x:c>
      <x:c r="X610" t="n">
        <x:v>54</x:v>
      </x:c>
      <x:c r="Y610" t="str">
        <x:v>PARTNER</x:v>
      </x:c>
      <x:c r="Z610" s="12" t="str">
        <x:v>Family + verified grassroots + straight-line geo only; transport not yet routed</x:v>
      </x:c>
      <x:c r="AA610" s="12"/>
      <x:c r="AB610" s="12"/>
      <x:c r="AC610" s="12"/>
      <x:c r="AD610" s="12"/>
      <x:c r="AE610" t="str">
        <x:v>Charlton Athletic Women</x:v>
      </x:c>
      <x:c r="AF610" s="45" t="n">
        <x:v>5.944897469270326</x:v>
      </x:c>
      <x:c r="AG610" t="str">
        <x:v>Dulwich Hamlet Women</x:v>
      </x:c>
      <x:c r="AH610" s="45" t="n">
        <x:v>3.0940842183712447</x:v>
      </x:c>
      <x:c r="AI610" t="n">
        <x:v>85</x:v>
      </x:c>
      <x:c r="AJ610" t="str">
        <x:v>HIGH</x:v>
      </x:c>
    </x:row>
    <x:row r="611">
      <x:c r="A611" s="12" t="str">
        <x:v>E01003207</x:v>
      </x:c>
      <x:c r="B611" s="12" t="str">
        <x:v>Lewisham 005A</x:v>
      </x:c>
      <x:c r="C611" s="12" t="str">
        <x:v>Lewisham</x:v>
      </x:c>
      <x:c r="D611" s="44" t="n">
        <x:v>51.473636787222226</x:v>
      </x:c>
      <x:c r="E611" s="44" t="n">
        <x:v>-0.025935059643015266</x:v>
      </x:c>
      <x:c r="F611" s="33" t="n">
        <x:v>998</x:v>
      </x:c>
      <x:c r="G611" s="33" t="n">
        <x:v>225</x:v>
      </x:c>
      <x:c r="H611" s="26" t="n">
        <x:v>0.22545090180360722</x:v>
      </x:c>
      <x:c r="I611" s="12" t="n">
        <x:v>2</x:v>
      </x:c>
      <x:c r="J611" s="12" t="n">
        <x:v>43</x:v>
      </x:c>
      <x:c r="K611" s="12"/>
      <x:c r="L611" s="12"/>
      <x:c r="M611" s="12" t="str">
        <x:f>IF(K611="", "", MAX(0,IF(K611&lt;=20,100,IF(K611&lt;=30,85,IF(K611&lt;=40,70,IF(K611&lt;=50,55,IF(K611&lt;=60,40,20)))))-MIN(L611*5,20)))</x:f>
      </x:c>
      <x:c r="N611" s="12"/>
      <x:c r="O611" s="12"/>
      <x:c r="P611" s="12" t="str">
        <x:f>IF(OR(H611="",J611="",M611=""),"",ROUND(PERCENTRANK.INC($H$2:$H$941,H611)*35+J611*0.35+M611*0.30,0))</x:f>
      </x:c>
      <x:c r="Q611" s="12" t="str">
        <x:f>IF(P611="","",IF(P611&gt;=80,"ATTACK",IF(P611&gt;=65,"GROW",IF(P611&gt;=50,"PARTNER","WATCH"))))</x:f>
      </x:c>
      <x:c r="R611" s="12" t="str">
        <x:f>IF(Q611="","",IF(Q611="ATTACK","Grassroots + family acquisition",IF(Q611="GROW","Test local campaign",IF(Q611="PARTNER","Organisation-first partnership","Low priority / validate"))))</x:f>
      </x:c>
      <x:c r="S611" s="45" t="n">
        <x:v>9.67580449191038</x:v>
      </x:c>
      <x:c r="T611" t="str">
        <x:v>NEAR</x:v>
      </x:c>
      <x:c r="U611" s="32" t="n">
        <x:f>PERCENTRANK.INC($G$2:$G$941,G611)</x:f>
        <x:v>0.586</x:v>
      </x:c>
      <x:c r="V611" s="32" t="n">
        <x:f>PERCENTRANK.INC($H$2:$H$941,H611)</x:f>
        <x:v>0.119</x:v>
      </x:c>
      <x:c r="W611" t="n">
        <x:f>ROUND((U611*55+V611*45)*IF(S611&lt;=5,1,IF(S611&lt;=10,0.95,IF(S611&lt;=20,0.85,0.70))),0)</x:f>
        <x:v>36</x:v>
      </x:c>
      <x:c r="X611" t="n">
        <x:v>39</x:v>
      </x:c>
      <x:c r="Y611" t="str">
        <x:v>WATCH</x:v>
      </x:c>
      <x:c r="Z611" s="12" t="str">
        <x:v>Family + verified grassroots + straight-line geo only; transport not yet routed</x:v>
      </x:c>
      <x:c r="AA611" s="12"/>
      <x:c r="AB611" s="12"/>
      <x:c r="AC611" s="12"/>
      <x:c r="AD611" s="12"/>
      <x:c r="AE611" t="str">
        <x:v>Charlton Athletic Women</x:v>
      </x:c>
      <x:c r="AF611" s="45" t="n">
        <x:v>4.527625043132527</x:v>
      </x:c>
      <x:c r="AG611" t="str">
        <x:v>Millwall Lionesses</x:v>
      </x:c>
      <x:c r="AH611" s="45" t="n">
        <x:v>3.7492245126714145</x:v>
      </x:c>
      <x:c r="AI611" t="n">
        <x:v>85</x:v>
      </x:c>
      <x:c r="AJ611" t="str">
        <x:v>HIGH</x:v>
      </x:c>
    </x:row>
    <x:row r="612">
      <x:c r="A612" s="12" t="str">
        <x:v>E01003209</x:v>
      </x:c>
      <x:c r="B612" s="12" t="str">
        <x:v>Lewisham 005B</x:v>
      </x:c>
      <x:c r="C612" s="12" t="str">
        <x:v>Lewisham</x:v>
      </x:c>
      <x:c r="D612" s="44" t="n">
        <x:v>51.47165604967782</x:v>
      </x:c>
      <x:c r="E612" s="44" t="n">
        <x:v>-0.034026287135048176</x:v>
      </x:c>
      <x:c r="F612" s="33" t="n">
        <x:v>724</x:v>
      </x:c>
      <x:c r="G612" s="33" t="n">
        <x:v>206</x:v>
      </x:c>
      <x:c r="H612" s="26" t="n">
        <x:v>0.2845303867403315</x:v>
      </x:c>
      <x:c r="I612" s="12" t="n">
        <x:v>2</x:v>
      </x:c>
      <x:c r="J612" s="12" t="n">
        <x:v>43</x:v>
      </x:c>
      <x:c r="K612" s="12"/>
      <x:c r="L612" s="12"/>
      <x:c r="M612" s="12" t="str">
        <x:f>IF(K612="", "", MAX(0,IF(K612&lt;=20,100,IF(K612&lt;=30,85,IF(K612&lt;=40,70,IF(K612&lt;=50,55,IF(K612&lt;=60,40,20)))))-MIN(L612*5,20)))</x:f>
      </x:c>
      <x:c r="N612" s="12"/>
      <x:c r="O612" s="12"/>
      <x:c r="P612" s="12" t="str">
        <x:f>IF(OR(H612="",J612="",M612=""),"",ROUND(PERCENTRANK.INC($H$2:$H$941,H612)*35+J612*0.35+M612*0.30,0))</x:f>
      </x:c>
      <x:c r="Q612" s="12" t="str">
        <x:f>IF(P612="","",IF(P612&gt;=80,"ATTACK",IF(P612&gt;=65,"GROW",IF(P612&gt;=50,"PARTNER","WATCH"))))</x:f>
      </x:c>
      <x:c r="R612" s="12" t="str">
        <x:f>IF(Q612="","",IF(Q612="ATTACK","Grassroots + family acquisition",IF(Q612="GROW","Test local campaign",IF(Q612="PARTNER","Organisation-first partnership","Low priority / validate"))))</x:f>
      </x:c>
      <x:c r="S612" s="45" t="n">
        <x:v>9.66077965668552</x:v>
      </x:c>
      <x:c r="T612" t="str">
        <x:v>NEAR</x:v>
      </x:c>
      <x:c r="U612" s="32" t="n">
        <x:f>PERCENTRANK.INC($G$2:$G$941,G612)</x:f>
        <x:v>0.437</x:v>
      </x:c>
      <x:c r="V612" s="32" t="n">
        <x:f>PERCENTRANK.INC($H$2:$H$941,H612)</x:f>
        <x:v>0.313</x:v>
      </x:c>
      <x:c r="W612" t="n">
        <x:f>ROUND((U612*55+V612*45)*IF(S612&lt;=5,1,IF(S612&lt;=10,0.95,IF(S612&lt;=20,0.85,0.70))),0)</x:f>
        <x:v>36</x:v>
      </x:c>
      <x:c r="X612" t="n">
        <x:v>39</x:v>
      </x:c>
      <x:c r="Y612" t="str">
        <x:v>WATCH</x:v>
      </x:c>
      <x:c r="Z612" s="12" t="str">
        <x:v>Family + verified grassroots + straight-line geo only; transport not yet routed</x:v>
      </x:c>
      <x:c r="AA612" s="12"/>
      <x:c r="AB612" s="12"/>
      <x:c r="AC612" s="12"/>
      <x:c r="AD612" s="12"/>
      <x:c r="AE612" t="str">
        <x:v>Charlton Athletic Women</x:v>
      </x:c>
      <x:c r="AF612" s="45" t="n">
        <x:v>5.128958560473993</x:v>
      </x:c>
      <x:c r="AG612" t="str">
        <x:v>Dulwich Hamlet Women</x:v>
      </x:c>
      <x:c r="AH612" s="45" t="n">
        <x:v>3.646239883200268</x:v>
      </x:c>
      <x:c r="AI612" t="n">
        <x:v>85</x:v>
      </x:c>
      <x:c r="AJ612" t="str">
        <x:v>HIGH</x:v>
      </x:c>
    </x:row>
    <x:row r="613">
      <x:c r="A613" s="12" t="str">
        <x:v>E01003210</x:v>
      </x:c>
      <x:c r="B613" s="12" t="str">
        <x:v>Lewisham 005C</x:v>
      </x:c>
      <x:c r="C613" s="12" t="str">
        <x:v>Lewisham</x:v>
      </x:c>
      <x:c r="D613" s="44" t="n">
        <x:v>51.46990528403299</x:v>
      </x:c>
      <x:c r="E613" s="44" t="n">
        <x:v>-0.030140352604061137</x:v>
      </x:c>
      <x:c r="F613" s="33" t="n">
        <x:v>805</x:v>
      </x:c>
      <x:c r="G613" s="33" t="n">
        <x:v>192</x:v>
      </x:c>
      <x:c r="H613" s="26" t="n">
        <x:v>0.23850931677018633</x:v>
      </x:c>
      <x:c r="I613" s="12" t="n">
        <x:v>2</x:v>
      </x:c>
      <x:c r="J613" s="12" t="n">
        <x:v>43</x:v>
      </x:c>
      <x:c r="K613" s="12"/>
      <x:c r="L613" s="12"/>
      <x:c r="M613" s="12" t="str">
        <x:f>IF(K613="", "", MAX(0,IF(K613&lt;=20,100,IF(K613&lt;=30,85,IF(K613&lt;=40,70,IF(K613&lt;=50,55,IF(K613&lt;=60,40,20)))))-MIN(L613*5,20)))</x:f>
      </x:c>
      <x:c r="N613" s="12"/>
      <x:c r="O613" s="12"/>
      <x:c r="P613" s="12" t="str">
        <x:f>IF(OR(H613="",J613="",M613=""),"",ROUND(PERCENTRANK.INC($H$2:$H$941,H613)*35+J613*0.35+M613*0.30,0))</x:f>
      </x:c>
      <x:c r="Q613" s="12" t="str">
        <x:f>IF(P613="","",IF(P613&gt;=80,"ATTACK",IF(P613&gt;=65,"GROW",IF(P613&gt;=50,"PARTNER","WATCH"))))</x:f>
      </x:c>
      <x:c r="R613" s="12" t="str">
        <x:f>IF(Q613="","",IF(Q613="ATTACK","Grassroots + family acquisition",IF(Q613="GROW","Test local campaign",IF(Q613="PARTNER","Organisation-first partnership","Low priority / validate"))))</x:f>
      </x:c>
      <x:c r="S613" s="45" t="n">
        <x:v>9.381712280875727</x:v>
      </x:c>
      <x:c r="T613" t="str">
        <x:v>NEAR</x:v>
      </x:c>
      <x:c r="U613" s="32" t="n">
        <x:f>PERCENTRANK.INC($G$2:$G$941,G613)</x:f>
        <x:v>0.325</x:v>
      </x:c>
      <x:c r="V613" s="32" t="n">
        <x:f>PERCENTRANK.INC($H$2:$H$941,H613)</x:f>
        <x:v>0.151</x:v>
      </x:c>
      <x:c r="W613" t="n">
        <x:f>ROUND((U613*55+V613*45)*IF(S613&lt;=5,1,IF(S613&lt;=10,0.95,IF(S613&lt;=20,0.85,0.70))),0)</x:f>
        <x:v>23</x:v>
      </x:c>
      <x:c r="X613" t="n">
        <x:v>32</x:v>
      </x:c>
      <x:c r="Y613" t="str">
        <x:v>WATCH</x:v>
      </x:c>
      <x:c r="Z613" s="12" t="str">
        <x:v>Family + verified grassroots + straight-line geo only; transport not yet routed</x:v>
      </x:c>
      <x:c r="AA613" s="12"/>
      <x:c r="AB613" s="12"/>
      <x:c r="AC613" s="12"/>
      <x:c r="AD613" s="12"/>
      <x:c r="AE613" t="str">
        <x:v>Charlton Athletic Women</x:v>
      </x:c>
      <x:c r="AF613" s="45" t="n">
        <x:v>4.943681297340485</x:v>
      </x:c>
      <x:c r="AG613" t="str">
        <x:v>Dulwich Hamlet Women</x:v>
      </x:c>
      <x:c r="AH613" s="45" t="n">
        <x:v>3.8498597751098633</x:v>
      </x:c>
      <x:c r="AI613" t="n">
        <x:v>85</x:v>
      </x:c>
      <x:c r="AJ613" t="str">
        <x:v>HIGH</x:v>
      </x:c>
    </x:row>
    <x:row r="614">
      <x:c r="A614" s="12" t="str">
        <x:v>E01003212</x:v>
      </x:c>
      <x:c r="B614" s="12" t="str">
        <x:v>Lewisham 005D</x:v>
      </x:c>
      <x:c r="C614" s="12" t="str">
        <x:v>Lewisham</x:v>
      </x:c>
      <x:c r="D614" s="44" t="n">
        <x:v>51.46829683778433</x:v>
      </x:c>
      <x:c r="E614" s="44" t="n">
        <x:v>-0.03501911244987383</x:v>
      </x:c>
      <x:c r="F614" s="33" t="n">
        <x:v>825</x:v>
      </x:c>
      <x:c r="G614" s="33" t="n">
        <x:v>202</x:v>
      </x:c>
      <x:c r="H614" s="26" t="n">
        <x:v>0.24484848484848484</x:v>
      </x:c>
      <x:c r="I614" s="12" t="n">
        <x:v>2</x:v>
      </x:c>
      <x:c r="J614" s="12" t="n">
        <x:v>43</x:v>
      </x:c>
      <x:c r="K614" s="12"/>
      <x:c r="L614" s="12"/>
      <x:c r="M614" s="12" t="str">
        <x:f>IF(K614="", "", MAX(0,IF(K614&lt;=20,100,IF(K614&lt;=30,85,IF(K614&lt;=40,70,IF(K614&lt;=50,55,IF(K614&lt;=60,40,20)))))-MIN(L614*5,20)))</x:f>
      </x:c>
      <x:c r="N614" s="12"/>
      <x:c r="O614" s="12"/>
      <x:c r="P614" s="12" t="str">
        <x:f>IF(OR(H614="",J614="",M614=""),"",ROUND(PERCENTRANK.INC($H$2:$H$941,H614)*35+J614*0.35+M614*0.30,0))</x:f>
      </x:c>
      <x:c r="Q614" s="12" t="str">
        <x:f>IF(P614="","",IF(P614&gt;=80,"ATTACK",IF(P614&gt;=65,"GROW",IF(P614&gt;=50,"PARTNER","WATCH"))))</x:f>
      </x:c>
      <x:c r="R614" s="12" t="str">
        <x:f>IF(Q614="","",IF(Q614="ATTACK","Grassroots + family acquisition",IF(Q614="GROW","Test local campaign",IF(Q614="PARTNER","Organisation-first partnership","Low priority / validate"))))</x:f>
      </x:c>
      <x:c r="S614" s="45" t="n">
        <x:v>9.341749378528569</x:v>
      </x:c>
      <x:c r="T614" t="str">
        <x:v>NEAR</x:v>
      </x:c>
      <x:c r="U614" s="32" t="n">
        <x:f>PERCENTRANK.INC($G$2:$G$941,G614)</x:f>
        <x:v>0.41</x:v>
      </x:c>
      <x:c r="V614" s="32" t="n">
        <x:f>PERCENTRANK.INC($H$2:$H$941,H614)</x:f>
        <x:v>0.168</x:v>
      </x:c>
      <x:c r="W614" t="n">
        <x:f>ROUND((U614*55+V614*45)*IF(S614&lt;=5,1,IF(S614&lt;=10,0.95,IF(S614&lt;=20,0.85,0.70))),0)</x:f>
        <x:v>29</x:v>
      </x:c>
      <x:c r="X614" t="n">
        <x:v>35</x:v>
      </x:c>
      <x:c r="Y614" t="str">
        <x:v>WATCH</x:v>
      </x:c>
      <x:c r="Z614" s="12" t="str">
        <x:v>Family + verified grassroots + straight-line geo only; transport not yet routed</x:v>
      </x:c>
      <x:c r="AA614" s="12"/>
      <x:c r="AB614" s="12"/>
      <x:c r="AC614" s="12"/>
      <x:c r="AD614" s="12"/>
      <x:c r="AE614" t="str">
        <x:v>Charlton Athletic Women</x:v>
      </x:c>
      <x:c r="AF614" s="45" t="n">
        <x:v>5.32403098231184</x:v>
      </x:c>
      <x:c r="AG614" t="str">
        <x:v>Dulwich Hamlet Women</x:v>
      </x:c>
      <x:c r="AH614" s="45" t="n">
        <x:v>3.4793090146573693</x:v>
      </x:c>
      <x:c r="AI614" t="n">
        <x:v>85</x:v>
      </x:c>
      <x:c r="AJ614" t="str">
        <x:v>HIGH</x:v>
      </x:c>
    </x:row>
    <x:row r="615">
      <x:c r="A615" s="12" t="str">
        <x:v>E01003215</x:v>
      </x:c>
      <x:c r="B615" s="12" t="str">
        <x:v>Lewisham 005E</x:v>
      </x:c>
      <x:c r="C615" s="12" t="str">
        <x:v>Lewisham</x:v>
      </x:c>
      <x:c r="D615" s="44" t="n">
        <x:v>51.47470536493614</x:v>
      </x:c>
      <x:c r="E615" s="44" t="n">
        <x:v>-0.03323510544565482</x:v>
      </x:c>
      <x:c r="F615" s="33" t="n">
        <x:v>638</x:v>
      </x:c>
      <x:c r="G615" s="33" t="n">
        <x:v>151</x:v>
      </x:c>
      <x:c r="H615" s="26" t="n">
        <x:v>0.23667711598746083</x:v>
      </x:c>
      <x:c r="I615" s="12" t="n">
        <x:v>2</x:v>
      </x:c>
      <x:c r="J615" s="12" t="n">
        <x:v>43</x:v>
      </x:c>
      <x:c r="K615" s="12"/>
      <x:c r="L615" s="12"/>
      <x:c r="M615" s="12" t="str">
        <x:f>IF(K615="", "", MAX(0,IF(K615&lt;=20,100,IF(K615&lt;=30,85,IF(K615&lt;=40,70,IF(K615&lt;=50,55,IF(K615&lt;=60,40,20)))))-MIN(L615*5,20)))</x:f>
      </x:c>
      <x:c r="N615" s="12"/>
      <x:c r="O615" s="12"/>
      <x:c r="P615" s="12" t="str">
        <x:f>IF(OR(H615="",J615="",M615=""),"",ROUND(PERCENTRANK.INC($H$2:$H$941,H615)*35+J615*0.35+M615*0.30,0))</x:f>
      </x:c>
      <x:c r="Q615" s="12" t="str">
        <x:f>IF(P615="","",IF(P615&gt;=80,"ATTACK",IF(P615&gt;=65,"GROW",IF(P615&gt;=50,"PARTNER","WATCH"))))</x:f>
      </x:c>
      <x:c r="R615" s="12" t="str">
        <x:f>IF(Q615="","",IF(Q615="ATTACK","Grassroots + family acquisition",IF(Q615="GROW","Test local campaign",IF(Q615="PARTNER","Organisation-first partnership","Low priority / validate"))))</x:f>
      </x:c>
      <x:c r="S615" s="45" t="n">
        <x:v>9.956781033690834</x:v>
      </x:c>
      <x:c r="T615" t="str">
        <x:v>NEAR</x:v>
      </x:c>
      <x:c r="U615" s="32" t="n">
        <x:f>PERCENTRANK.INC($G$2:$G$941,G615)</x:f>
        <x:v>0.096</x:v>
      </x:c>
      <x:c r="V615" s="32" t="n">
        <x:f>PERCENTRANK.INC($H$2:$H$941,H615)</x:f>
        <x:v>0.145</x:v>
      </x:c>
      <x:c r="W615" t="n">
        <x:f>ROUND((U615*55+V615*45)*IF(S615&lt;=5,1,IF(S615&lt;=10,0.95,IF(S615&lt;=20,0.85,0.70))),0)</x:f>
        <x:v>11</x:v>
      </x:c>
      <x:c r="X615" t="n">
        <x:v>26</x:v>
      </x:c>
      <x:c r="Y615" t="str">
        <x:v>WATCH</x:v>
      </x:c>
      <x:c r="Z615" s="12" t="str">
        <x:v>Family + verified grassroots + straight-line geo only; transport not yet routed</x:v>
      </x:c>
      <x:c r="AA615" s="12"/>
      <x:c r="AB615" s="12"/>
      <x:c r="AC615" s="12"/>
      <x:c r="AD615" s="12"/>
      <x:c r="AE615" t="str">
        <x:v>Charlton Athletic Women</x:v>
      </x:c>
      <x:c r="AF615" s="45" t="n">
        <x:v>4.977781525240124</x:v>
      </x:c>
      <x:c r="AG615" t="str">
        <x:v>Millwall Lionesses</x:v>
      </x:c>
      <x:c r="AH615" s="45" t="n">
        <x:v>3.5308751343279092</x:v>
      </x:c>
      <x:c r="AI615" t="n">
        <x:v>85</x:v>
      </x:c>
      <x:c r="AJ615" t="str">
        <x:v>HIGH</x:v>
      </x:c>
    </x:row>
    <x:row r="616">
      <x:c r="A616" s="12" t="str">
        <x:v>E01003338</x:v>
      </x:c>
      <x:c r="B616" s="12" t="str">
        <x:v>Lewisham 006A</x:v>
      </x:c>
      <x:c r="C616" s="12" t="str">
        <x:v>Lewisham</x:v>
      </x:c>
      <x:c r="D616" s="44" t="n">
        <x:v>51.4756314882244</x:v>
      </x:c>
      <x:c r="E616" s="44" t="n">
        <x:v>-0.05041703288251939</x:v>
      </x:c>
      <x:c r="F616" s="33" t="n">
        <x:v>843</x:v>
      </x:c>
      <x:c r="G616" s="33" t="n">
        <x:v>241</x:v>
      </x:c>
      <x:c r="H616" s="26" t="n">
        <x:v>0.2858837485172005</x:v>
      </x:c>
      <x:c r="I616" s="12" t="n">
        <x:v>2</x:v>
      </x:c>
      <x:c r="J616" s="12" t="n">
        <x:v>36</x:v>
      </x:c>
      <x:c r="K616" s="12"/>
      <x:c r="L616" s="12"/>
      <x:c r="M616" s="12" t="str">
        <x:f>IF(K616="", "", MAX(0,IF(K616&lt;=20,100,IF(K616&lt;=30,85,IF(K616&lt;=40,70,IF(K616&lt;=50,55,IF(K616&lt;=60,40,20)))))-MIN(L616*5,20)))</x:f>
      </x:c>
      <x:c r="N616" s="12"/>
      <x:c r="O616" s="12"/>
      <x:c r="P616" s="12" t="str">
        <x:f>IF(OR(H616="",J616="",M616=""),"",ROUND(PERCENTRANK.INC($H$2:$H$941,H616)*35+J616*0.35+M616*0.30,0))</x:f>
      </x:c>
      <x:c r="Q616" s="12" t="str">
        <x:f>IF(P616="","",IF(P616&gt;=80,"ATTACK",IF(P616&gt;=65,"GROW",IF(P616&gt;=50,"PARTNER","WATCH"))))</x:f>
      </x:c>
      <x:c r="R616" s="12" t="str">
        <x:f>IF(Q616="","",IF(Q616="ATTACK","Grassroots + family acquisition",IF(Q616="GROW","Test local campaign",IF(Q616="PARTNER","Organisation-first partnership","Low priority / validate"))))</x:f>
      </x:c>
      <x:c r="S616" s="45" t="n">
        <x:v>10.530752446493599</x:v>
      </x:c>
      <x:c r="T616" t="str">
        <x:v>EXTENDED</x:v>
      </x:c>
      <x:c r="U616" s="32" t="n">
        <x:f>PERCENTRANK.INC($G$2:$G$941,G616)</x:f>
        <x:v>0.714</x:v>
      </x:c>
      <x:c r="V616" s="32" t="n">
        <x:f>PERCENTRANK.INC($H$2:$H$941,H616)</x:f>
        <x:v>0.32</x:v>
      </x:c>
      <x:c r="W616" t="n">
        <x:f>ROUND((U616*55+V616*45)*IF(S616&lt;=5,1,IF(S616&lt;=10,0.95,IF(S616&lt;=20,0.85,0.70))),0)</x:f>
        <x:v>46</x:v>
      </x:c>
      <x:c r="X616" t="n">
        <x:v>42</x:v>
      </x:c>
      <x:c r="Y616" t="str">
        <x:v>WATCH</x:v>
      </x:c>
      <x:c r="Z616" s="12" t="str">
        <x:v>Family + verified grassroots + straight-line geo only; transport not yet routed</x:v>
      </x:c>
      <x:c r="AA616" s="12"/>
      <x:c r="AB616" s="12"/>
      <x:c r="AC616" s="12"/>
      <x:c r="AD616" s="12"/>
      <x:c r="AE616" t="str">
        <x:v>Charlton Athletic Women</x:v>
      </x:c>
      <x:c r="AF616" s="45" t="n">
        <x:v>6.113131676574803</x:v>
      </x:c>
      <x:c r="AG616" t="str">
        <x:v>Dulwich Hamlet Women</x:v>
      </x:c>
      <x:c r="AH616" s="45" t="n">
        <x:v>2.817338442206465</x:v>
      </x:c>
      <x:c r="AI616" t="n">
        <x:v>78</x:v>
      </x:c>
      <x:c r="AJ616" t="str">
        <x:v>HIGH</x:v>
      </x:c>
    </x:row>
    <x:row r="617">
      <x:c r="A617" s="12" t="str">
        <x:v>E01003339</x:v>
      </x:c>
      <x:c r="B617" s="12" t="str">
        <x:v>Lewisham 006B</x:v>
      </x:c>
      <x:c r="C617" s="12" t="str">
        <x:v>Lewisham</x:v>
      </x:c>
      <x:c r="D617" s="44" t="n">
        <x:v>51.47254854804809</x:v>
      </x:c>
      <x:c r="E617" s="44" t="n">
        <x:v>-0.04895763376742994</x:v>
      </x:c>
      <x:c r="F617" s="33" t="n">
        <x:v>678</x:v>
      </x:c>
      <x:c r="G617" s="33" t="n">
        <x:v>178</x:v>
      </x:c>
      <x:c r="H617" s="26" t="n">
        <x:v>0.26253687315634217</x:v>
      </x:c>
      <x:c r="I617" s="12" t="n">
        <x:v>2</x:v>
      </x:c>
      <x:c r="J617" s="12" t="n">
        <x:v>43</x:v>
      </x:c>
      <x:c r="K617" s="12"/>
      <x:c r="L617" s="12"/>
      <x:c r="M617" s="12" t="str">
        <x:f>IF(K617="", "", MAX(0,IF(K617&lt;=20,100,IF(K617&lt;=30,85,IF(K617&lt;=40,70,IF(K617&lt;=50,55,IF(K617&lt;=60,40,20)))))-MIN(L617*5,20)))</x:f>
      </x:c>
      <x:c r="N617" s="12"/>
      <x:c r="O617" s="12"/>
      <x:c r="P617" s="12" t="str">
        <x:f>IF(OR(H617="",J617="",M617=""),"",ROUND(PERCENTRANK.INC($H$2:$H$941,H617)*35+J617*0.35+M617*0.30,0))</x:f>
      </x:c>
      <x:c r="Q617" s="12" t="str">
        <x:f>IF(P617="","",IF(P617&gt;=80,"ATTACK",IF(P617&gt;=65,"GROW",IF(P617&gt;=50,"PARTNER","WATCH"))))</x:f>
      </x:c>
      <x:c r="R617" s="12" t="str">
        <x:f>IF(Q617="","",IF(Q617="ATTACK","Grassroots + family acquisition",IF(Q617="GROW","Test local campaign",IF(Q617="PARTNER","Organisation-first partnership","Low priority / validate"))))</x:f>
      </x:c>
      <x:c r="S617" s="45" t="n">
        <x:v>10.179248221612921</x:v>
      </x:c>
      <x:c r="T617" t="str">
        <x:v>EXTENDED</x:v>
      </x:c>
      <x:c r="U617" s="32" t="n">
        <x:f>PERCENTRANK.INC($G$2:$G$941,G617)</x:f>
        <x:v>0.21</x:v>
      </x:c>
      <x:c r="V617" s="32" t="n">
        <x:f>PERCENTRANK.INC($H$2:$H$941,H617)</x:f>
        <x:v>0.233</x:v>
      </x:c>
      <x:c r="W617" t="n">
        <x:f>ROUND((U617*55+V617*45)*IF(S617&lt;=5,1,IF(S617&lt;=10,0.95,IF(S617&lt;=20,0.85,0.70))),0)</x:f>
        <x:v>19</x:v>
      </x:c>
      <x:c r="X617" t="n">
        <x:v>30</x:v>
      </x:c>
      <x:c r="Y617" t="str">
        <x:v>WATCH</x:v>
      </x:c>
      <x:c r="Z617" s="12" t="str">
        <x:v>Family + verified grassroots + straight-line geo only; transport not yet routed</x:v>
      </x:c>
      <x:c r="AA617" s="12"/>
      <x:c r="AB617" s="12"/>
      <x:c r="AC617" s="12"/>
      <x:c r="AD617" s="12"/>
      <x:c r="AE617" t="str">
        <x:v>Charlton Athletic Women</x:v>
      </x:c>
      <x:c r="AF617" s="45" t="n">
        <x:v>6.091776078756961</x:v>
      </x:c>
      <x:c r="AG617" t="str">
        <x:v>Dulwich Hamlet Women</x:v>
      </x:c>
      <x:c r="AH617" s="45" t="n">
        <x:v>2.7284619028531574</x:v>
      </x:c>
      <x:c r="AI617" t="n">
        <x:v>78</x:v>
      </x:c>
      <x:c r="AJ617" t="str">
        <x:v>HIGH</x:v>
      </x:c>
    </x:row>
    <x:row r="618">
      <x:c r="A618" s="12" t="str">
        <x:v>E01003340</x:v>
      </x:c>
      <x:c r="B618" s="12" t="str">
        <x:v>Lewisham 006C</x:v>
      </x:c>
      <x:c r="C618" s="12" t="str">
        <x:v>Lewisham</x:v>
      </x:c>
      <x:c r="D618" s="44" t="n">
        <x:v>51.472532961960184</x:v>
      </x:c>
      <x:c r="E618" s="44" t="n">
        <x:v>-0.04246301904453948</x:v>
      </x:c>
      <x:c r="F618" s="33" t="n">
        <x:v>762</x:v>
      </x:c>
      <x:c r="G618" s="33" t="n">
        <x:v>149</x:v>
      </x:c>
      <x:c r="H618" s="26" t="n">
        <x:v>0.19553805774278216</x:v>
      </x:c>
      <x:c r="I618" s="12" t="n">
        <x:v>2</x:v>
      </x:c>
      <x:c r="J618" s="12" t="n">
        <x:v>43</x:v>
      </x:c>
      <x:c r="K618" s="12"/>
      <x:c r="L618" s="12"/>
      <x:c r="M618" s="12" t="str">
        <x:f>IF(K618="", "", MAX(0,IF(K618&lt;=20,100,IF(K618&lt;=30,85,IF(K618&lt;=40,70,IF(K618&lt;=50,55,IF(K618&lt;=60,40,20)))))-MIN(L618*5,20)))</x:f>
      </x:c>
      <x:c r="N618" s="12"/>
      <x:c r="O618" s="12"/>
      <x:c r="P618" s="12" t="str">
        <x:f>IF(OR(H618="",J618="",M618=""),"",ROUND(PERCENTRANK.INC($H$2:$H$941,H618)*35+J618*0.35+M618*0.30,0))</x:f>
      </x:c>
      <x:c r="Q618" s="12" t="str">
        <x:f>IF(P618="","",IF(P618&gt;=80,"ATTACK",IF(P618&gt;=65,"GROW",IF(P618&gt;=50,"PARTNER","WATCH"))))</x:f>
      </x:c>
      <x:c r="R618" s="12" t="str">
        <x:f>IF(Q618="","",IF(Q618="ATTACK","Grassroots + family acquisition",IF(Q618="GROW","Test local campaign",IF(Q618="PARTNER","Organisation-first partnership","Low priority / validate"))))</x:f>
      </x:c>
      <x:c r="S618" s="45" t="n">
        <x:v>9.981318147304096</x:v>
      </x:c>
      <x:c r="T618" t="str">
        <x:v>NEAR</x:v>
      </x:c>
      <x:c r="U618" s="32" t="n">
        <x:f>PERCENTRANK.INC($G$2:$G$941,G618)</x:f>
        <x:v>0.09</x:v>
      </x:c>
      <x:c r="V618" s="32" t="n">
        <x:f>PERCENTRANK.INC($H$2:$H$941,H618)</x:f>
        <x:v>0.06</x:v>
      </x:c>
      <x:c r="W618" t="n">
        <x:f>ROUND((U618*55+V618*45)*IF(S618&lt;=5,1,IF(S618&lt;=10,0.95,IF(S618&lt;=20,0.85,0.70))),0)</x:f>
        <x:v>7</x:v>
      </x:c>
      <x:c r="X618" t="n">
        <x:v>23</x:v>
      </x:c>
      <x:c r="Y618" t="str">
        <x:v>WATCH</x:v>
      </x:c>
      <x:c r="Z618" s="12" t="str">
        <x:v>Family + verified grassroots + straight-line geo only; transport not yet routed</x:v>
      </x:c>
      <x:c r="AA618" s="12"/>
      <x:c r="AB618" s="12"/>
      <x:c r="AC618" s="12"/>
      <x:c r="AD618" s="12"/>
      <x:c r="AE618" t="str">
        <x:v>Charlton Athletic Women</x:v>
      </x:c>
      <x:c r="AF618" s="45" t="n">
        <x:v>5.6582417171427</x:v>
      </x:c>
      <x:c r="AG618" t="str">
        <x:v>Dulwich Hamlet Women</x:v>
      </x:c>
      <x:c r="AH618" s="45" t="n">
        <x:v>3.1345583508862997</x:v>
      </x:c>
      <x:c r="AI618" t="n">
        <x:v>85</x:v>
      </x:c>
      <x:c r="AJ618" t="str">
        <x:v>HIGH</x:v>
      </x:c>
    </x:row>
    <x:row r="619">
      <x:c r="A619" s="12" t="str">
        <x:v>E01003341</x:v>
      </x:c>
      <x:c r="B619" s="12" t="str">
        <x:v>Lewisham 006D</x:v>
      </x:c>
      <x:c r="C619" s="12" t="str">
        <x:v>Lewisham</x:v>
      </x:c>
      <x:c r="D619" s="44" t="n">
        <x:v>51.469852367271244</x:v>
      </x:c>
      <x:c r="E619" s="44" t="n">
        <x:v>-0.04638525982214032</x:v>
      </x:c>
      <x:c r="F619" s="33" t="n">
        <x:v>565</x:v>
      </x:c>
      <x:c r="G619" s="33" t="n">
        <x:v>140</x:v>
      </x:c>
      <x:c r="H619" s="26" t="n">
        <x:v>0.24778761061946902</x:v>
      </x:c>
      <x:c r="I619" s="12" t="n">
        <x:v>2</x:v>
      </x:c>
      <x:c r="J619" s="12" t="n">
        <x:v>43</x:v>
      </x:c>
      <x:c r="K619" s="12"/>
      <x:c r="L619" s="12"/>
      <x:c r="M619" s="12" t="str">
        <x:f>IF(K619="", "", MAX(0,IF(K619&lt;=20,100,IF(K619&lt;=30,85,IF(K619&lt;=40,70,IF(K619&lt;=50,55,IF(K619&lt;=60,40,20)))))-MIN(L619*5,20)))</x:f>
      </x:c>
      <x:c r="N619" s="12"/>
      <x:c r="O619" s="12"/>
      <x:c r="P619" s="12" t="str">
        <x:f>IF(OR(H619="",J619="",M619=""),"",ROUND(PERCENTRANK.INC($H$2:$H$941,H619)*35+J619*0.35+M619*0.30,0))</x:f>
      </x:c>
      <x:c r="Q619" s="12" t="str">
        <x:f>IF(P619="","",IF(P619&gt;=80,"ATTACK",IF(P619&gt;=65,"GROW",IF(P619&gt;=50,"PARTNER","WATCH"))))</x:f>
      </x:c>
      <x:c r="R619" s="12" t="str">
        <x:f>IF(Q619="","",IF(Q619="ATTACK","Grassroots + family acquisition",IF(Q619="GROW","Test local campaign",IF(Q619="PARTNER","Organisation-first partnership","Low priority / validate"))))</x:f>
      </x:c>
      <x:c r="S619" s="45" t="n">
        <x:v>9.831248343341471</x:v>
      </x:c>
      <x:c r="T619" t="str">
        <x:v>NEAR</x:v>
      </x:c>
      <x:c r="U619" s="32" t="n">
        <x:f>PERCENTRANK.INC($G$2:$G$941,G619)</x:f>
        <x:v>0.066</x:v>
      </x:c>
      <x:c r="V619" s="32" t="n">
        <x:f>PERCENTRANK.INC($H$2:$H$941,H619)</x:f>
        <x:v>0.174</x:v>
      </x:c>
      <x:c r="W619" t="n">
        <x:f>ROUND((U619*55+V619*45)*IF(S619&lt;=5,1,IF(S619&lt;=10,0.95,IF(S619&lt;=20,0.85,0.70))),0)</x:f>
        <x:v>11</x:v>
      </x:c>
      <x:c r="X619" t="n">
        <x:v>25</x:v>
      </x:c>
      <x:c r="Y619" t="str">
        <x:v>WATCH</x:v>
      </x:c>
      <x:c r="Z619" s="12" t="str">
        <x:v>Family + verified grassroots + straight-line geo only; transport not yet routed</x:v>
      </x:c>
      <x:c r="AA619" s="12"/>
      <x:c r="AB619" s="12"/>
      <x:c r="AC619" s="12"/>
      <x:c r="AD619" s="12"/>
      <x:c r="AE619" t="str">
        <x:v>Charlton Athletic Women</x:v>
      </x:c>
      <x:c r="AF619" s="45" t="n">
        <x:v>6.004741758629856</x:v>
      </x:c>
      <x:c r="AG619" t="str">
        <x:v>Dulwich Hamlet Women</x:v>
      </x:c>
      <x:c r="AH619" s="45" t="n">
        <x:v>2.7717297548671147</x:v>
      </x:c>
      <x:c r="AI619" t="n">
        <x:v>78</x:v>
      </x:c>
      <x:c r="AJ619" t="str">
        <x:v>HIGH</x:v>
      </x:c>
    </x:row>
    <x:row r="620">
      <x:c r="A620" s="12" t="str">
        <x:v>E01003343</x:v>
      </x:c>
      <x:c r="B620" s="12" t="str">
        <x:v>Lewisham 006E</x:v>
      </x:c>
      <x:c r="C620" s="12" t="str">
        <x:v>Lewisham</x:v>
      </x:c>
      <x:c r="D620" s="44" t="n">
        <x:v>51.46808355124343</x:v>
      </x:c>
      <x:c r="E620" s="44" t="n">
        <x:v>-0.049640689380882355</x:v>
      </x:c>
      <x:c r="F620" s="33" t="n">
        <x:v>610</x:v>
      </x:c>
      <x:c r="G620" s="33" t="n">
        <x:v>167</x:v>
      </x:c>
      <x:c r="H620" s="26" t="n">
        <x:v>0.27377049180327867</x:v>
      </x:c>
      <x:c r="I620" s="12" t="n">
        <x:v>2</x:v>
      </x:c>
      <x:c r="J620" s="12" t="n">
        <x:v>43</x:v>
      </x:c>
      <x:c r="K620" s="12"/>
      <x:c r="L620" s="12"/>
      <x:c r="M620" s="12" t="str">
        <x:f>IF(K620="", "", MAX(0,IF(K620&lt;=20,100,IF(K620&lt;=30,85,IF(K620&lt;=40,70,IF(K620&lt;=50,55,IF(K620&lt;=60,40,20)))))-MIN(L620*5,20)))</x:f>
      </x:c>
      <x:c r="N620" s="12"/>
      <x:c r="O620" s="12"/>
      <x:c r="P620" s="12" t="str">
        <x:f>IF(OR(H620="",J620="",M620=""),"",ROUND(PERCENTRANK.INC($H$2:$H$941,H620)*35+J620*0.35+M620*0.30,0))</x:f>
      </x:c>
      <x:c r="Q620" s="12" t="str">
        <x:f>IF(P620="","",IF(P620&gt;=80,"ATTACK",IF(P620&gt;=65,"GROW",IF(P620&gt;=50,"PARTNER","WATCH"))))</x:f>
      </x:c>
      <x:c r="R620" s="12" t="str">
        <x:f>IF(Q620="","",IF(Q620="ATTACK","Grassroots + family acquisition",IF(Q620="GROW","Test local campaign",IF(Q620="PARTNER","Organisation-first partnership","Low priority / validate"))))</x:f>
      </x:c>
      <x:c r="S620" s="45" t="n">
        <x:v>9.762163228391055</x:v>
      </x:c>
      <x:c r="T620" t="str">
        <x:v>NEAR</x:v>
      </x:c>
      <x:c r="U620" s="32" t="n">
        <x:f>PERCENTRANK.INC($G$2:$G$941,G620)</x:f>
        <x:v>0.156</x:v>
      </x:c>
      <x:c r="V620" s="32" t="n">
        <x:f>PERCENTRANK.INC($H$2:$H$941,H620)</x:f>
        <x:v>0.266</x:v>
      </x:c>
      <x:c r="W620" t="n">
        <x:f>ROUND((U620*55+V620*45)*IF(S620&lt;=5,1,IF(S620&lt;=10,0.95,IF(S620&lt;=20,0.85,0.70))),0)</x:f>
        <x:v>20</x:v>
      </x:c>
      <x:c r="X620" t="n">
        <x:v>30</x:v>
      </x:c>
      <x:c r="Y620" t="str">
        <x:v>WATCH</x:v>
      </x:c>
      <x:c r="Z620" s="12" t="str">
        <x:v>Family + verified grassroots + straight-line geo only; transport not yet routed</x:v>
      </x:c>
      <x:c r="AA620" s="12"/>
      <x:c r="AB620" s="12"/>
      <x:c r="AC620" s="12"/>
      <x:c r="AD620" s="12"/>
      <x:c r="AE620" t="str">
        <x:v>Charlton Athletic Women</x:v>
      </x:c>
      <x:c r="AF620" s="45" t="n">
        <x:v>6.280836325584244</x:v>
      </x:c>
      <x:c r="AG620" t="str">
        <x:v>Dulwich Hamlet Women</x:v>
      </x:c>
      <x:c r="AH620" s="45" t="n">
        <x:v>2.494881278317775</x:v>
      </x:c>
      <x:c r="AI620" t="n">
        <x:v>78</x:v>
      </x:c>
      <x:c r="AJ620" t="str">
        <x:v>HIGH</x:v>
      </x:c>
    </x:row>
    <x:row r="621">
      <x:c r="A621" s="12" t="str">
        <x:v>E01003199</x:v>
      </x:c>
      <x:c r="B621" s="12" t="str">
        <x:v>Lewisham 007A</x:v>
      </x:c>
      <x:c r="C621" s="12" t="str">
        <x:v>Lewisham</x:v>
      </x:c>
      <x:c r="D621" s="44" t="n">
        <x:v>51.46377267907659</x:v>
      </x:c>
      <x:c r="E621" s="44" t="n">
        <x:v>-0.0028234369935941105</x:v>
      </x:c>
      <x:c r="F621" s="33" t="n">
        <x:v>902</x:v>
      </x:c>
      <x:c r="G621" s="33" t="n">
        <x:v>226</x:v>
      </x:c>
      <x:c r="H621" s="26" t="n">
        <x:v>0.25055432372505543</x:v>
      </x:c>
      <x:c r="I621" s="12" t="n">
        <x:v>2</x:v>
      </x:c>
      <x:c r="J621" s="12" t="n">
        <x:v>36</x:v>
      </x:c>
      <x:c r="K621" s="12"/>
      <x:c r="L621" s="12"/>
      <x:c r="M621" s="12" t="str">
        <x:f>IF(K621="", "", MAX(0,IF(K621&lt;=20,100,IF(K621&lt;=30,85,IF(K621&lt;=40,70,IF(K621&lt;=50,55,IF(K621&lt;=60,40,20)))))-MIN(L621*5,20)))</x:f>
      </x:c>
      <x:c r="N621" s="12"/>
      <x:c r="O621" s="12"/>
      <x:c r="P621" s="12" t="str">
        <x:f>IF(OR(H621="",J621="",M621=""),"",ROUND(PERCENTRANK.INC($H$2:$H$941,H621)*35+J621*0.35+M621*0.30,0))</x:f>
      </x:c>
      <x:c r="Q621" s="12" t="str">
        <x:f>IF(P621="","",IF(P621&gt;=80,"ATTACK",IF(P621&gt;=65,"GROW",IF(P621&gt;=50,"PARTNER","WATCH"))))</x:f>
      </x:c>
      <x:c r="R621" s="12" t="str">
        <x:f>IF(Q621="","",IF(Q621="ATTACK","Grassroots + family acquisition",IF(Q621="GROW","Test local campaign",IF(Q621="PARTNER","Organisation-first partnership","Low priority / validate"))))</x:f>
      </x:c>
      <x:c r="S621" s="45" t="n">
        <x:v>8.217987023349679</x:v>
      </x:c>
      <x:c r="T621" t="str">
        <x:v>NEAR</x:v>
      </x:c>
      <x:c r="U621" s="32" t="n">
        <x:f>PERCENTRANK.INC($G$2:$G$941,G621)</x:f>
        <x:v>0.595</x:v>
      </x:c>
      <x:c r="V621" s="32" t="n">
        <x:f>PERCENTRANK.INC($H$2:$H$941,H621)</x:f>
        <x:v>0.183</x:v>
      </x:c>
      <x:c r="W621" t="n">
        <x:f>ROUND((U621*55+V621*45)*IF(S621&lt;=5,1,IF(S621&lt;=10,0.95,IF(S621&lt;=20,0.85,0.70))),0)</x:f>
        <x:v>39</x:v>
      </x:c>
      <x:c r="X621" t="n">
        <x:v>38</x:v>
      </x:c>
      <x:c r="Y621" t="str">
        <x:v>WATCH</x:v>
      </x:c>
      <x:c r="Z621" s="12" t="str">
        <x:v>Family + verified grassroots + straight-line geo only; transport not yet routed</x:v>
      </x:c>
      <x:c r="AA621" s="12"/>
      <x:c r="AB621" s="12"/>
      <x:c r="AC621" s="12"/>
      <x:c r="AD621" s="12"/>
      <x:c r="AE621" t="str">
        <x:v>Charlton Athletic Women</x:v>
      </x:c>
      <x:c r="AF621" s="45" t="n">
        <x:v>3.6900373093373866</x:v>
      </x:c>
      <x:c r="AG621" t="str">
        <x:v>Millwall Lionesses</x:v>
      </x:c>
      <x:c r="AH621" s="45" t="n">
        <x:v>5.377746894019</x:v>
      </x:c>
      <x:c r="AI621" t="n">
        <x:v>85</x:v>
      </x:c>
      <x:c r="AJ621" t="str">
        <x:v>HIGH</x:v>
      </x:c>
    </x:row>
    <x:row r="622">
      <x:c r="A622" s="12" t="str">
        <x:v>E01003201</x:v>
      </x:c>
      <x:c r="B622" s="12" t="str">
        <x:v>Lewisham 007B</x:v>
      </x:c>
      <x:c r="C622" s="12" t="str">
        <x:v>Lewisham</x:v>
      </x:c>
      <x:c r="D622" s="44" t="n">
        <x:v>51.465368695845875</x:v>
      </x:c>
      <x:c r="E622" s="44" t="n">
        <x:v>-0.008884565877345424</x:v>
      </x:c>
      <x:c r="F622" s="33" t="n">
        <x:v>687</x:v>
      </x:c>
      <x:c r="G622" s="33" t="n">
        <x:v>174</x:v>
      </x:c>
      <x:c r="H622" s="26" t="n">
        <x:v>0.25327510917030566</x:v>
      </x:c>
      <x:c r="I622" s="12" t="n">
        <x:v>2</x:v>
      </x:c>
      <x:c r="J622" s="12" t="n">
        <x:v>36</x:v>
      </x:c>
      <x:c r="K622" s="12"/>
      <x:c r="L622" s="12"/>
      <x:c r="M622" s="12" t="str">
        <x:f>IF(K622="", "", MAX(0,IF(K622&lt;=20,100,IF(K622&lt;=30,85,IF(K622&lt;=40,70,IF(K622&lt;=50,55,IF(K622&lt;=60,40,20)))))-MIN(L622*5,20)))</x:f>
      </x:c>
      <x:c r="N622" s="12"/>
      <x:c r="O622" s="12"/>
      <x:c r="P622" s="12" t="str">
        <x:f>IF(OR(H622="",J622="",M622=""),"",ROUND(PERCENTRANK.INC($H$2:$H$941,H622)*35+J622*0.35+M622*0.30,0))</x:f>
      </x:c>
      <x:c r="Q622" s="12" t="str">
        <x:f>IF(P622="","",IF(P622&gt;=80,"ATTACK",IF(P622&gt;=65,"GROW",IF(P622&gt;=50,"PARTNER","WATCH"))))</x:f>
      </x:c>
      <x:c r="R622" s="12" t="str">
        <x:f>IF(Q622="","",IF(Q622="ATTACK","Grassroots + family acquisition",IF(Q622="GROW","Test local campaign",IF(Q622="PARTNER","Organisation-first partnership","Low priority / validate"))))</x:f>
      </x:c>
      <x:c r="S622" s="45" t="n">
        <x:v>8.474226365889823</x:v>
      </x:c>
      <x:c r="T622" t="str">
        <x:v>NEAR</x:v>
      </x:c>
      <x:c r="U622" s="32" t="n">
        <x:f>PERCENTRANK.INC($G$2:$G$941,G622)</x:f>
        <x:v>0.188</x:v>
      </x:c>
      <x:c r="V622" s="32" t="n">
        <x:f>PERCENTRANK.INC($H$2:$H$941,H622)</x:f>
        <x:v>0.195</x:v>
      </x:c>
      <x:c r="W622" t="n">
        <x:f>ROUND((U622*55+V622*45)*IF(S622&lt;=5,1,IF(S622&lt;=10,0.95,IF(S622&lt;=20,0.85,0.70))),0)</x:f>
        <x:v>18</x:v>
      </x:c>
      <x:c r="X622" t="n">
        <x:v>26</x:v>
      </x:c>
      <x:c r="Y622" t="str">
        <x:v>WATCH</x:v>
      </x:c>
      <x:c r="Z622" s="12" t="str">
        <x:v>Family + verified grassroots + straight-line geo only; transport not yet routed</x:v>
      </x:c>
      <x:c r="AA622" s="12"/>
      <x:c r="AB622" s="12"/>
      <x:c r="AC622" s="12"/>
      <x:c r="AD622" s="12"/>
      <x:c r="AE622" t="str">
        <x:v>Charlton Athletic Women</x:v>
      </x:c>
      <x:c r="AF622" s="45" t="n">
        <x:v>3.8983203000040425</x:v>
      </x:c>
      <x:c r="AG622" t="str">
        <x:v>Millwall Lionesses</x:v>
      </x:c>
      <x:c r="AH622" s="45" t="n">
        <x:v>5.028037006281089</x:v>
      </x:c>
      <x:c r="AI622" t="n">
        <x:v>85</x:v>
      </x:c>
      <x:c r="AJ622" t="str">
        <x:v>HIGH</x:v>
      </x:c>
    </x:row>
    <x:row r="623">
      <x:c r="A623" s="12" t="str">
        <x:v>E01003204</x:v>
      </x:c>
      <x:c r="B623" s="12" t="str">
        <x:v>Lewisham 007C</x:v>
      </x:c>
      <x:c r="C623" s="12" t="str">
        <x:v>Lewisham</x:v>
      </x:c>
      <x:c r="D623" s="44" t="n">
        <x:v>51.47161294149656</x:v>
      </x:c>
      <x:c r="E623" s="44" t="n">
        <x:v>-0.011200393229727596</x:v>
      </x:c>
      <x:c r="F623" s="33" t="n">
        <x:v>735</x:v>
      </x:c>
      <x:c r="G623" s="33" t="n">
        <x:v>180</x:v>
      </x:c>
      <x:c r="H623" s="26" t="n">
        <x:v>0.24489795918367346</x:v>
      </x:c>
      <x:c r="I623" s="12" t="n">
        <x:v>2</x:v>
      </x:c>
      <x:c r="J623" s="12" t="n">
        <x:v>36</x:v>
      </x:c>
      <x:c r="K623" s="12"/>
      <x:c r="L623" s="12"/>
      <x:c r="M623" s="12" t="str">
        <x:f>IF(K623="", "", MAX(0,IF(K623&lt;=20,100,IF(K623&lt;=30,85,IF(K623&lt;=40,70,IF(K623&lt;=50,55,IF(K623&lt;=60,40,20)))))-MIN(L623*5,20)))</x:f>
      </x:c>
      <x:c r="N623" s="12"/>
      <x:c r="O623" s="12"/>
      <x:c r="P623" s="12" t="str">
        <x:f>IF(OR(H623="",J623="",M623=""),"",ROUND(PERCENTRANK.INC($H$2:$H$941,H623)*35+J623*0.35+M623*0.30,0))</x:f>
      </x:c>
      <x:c r="Q623" s="12" t="str">
        <x:f>IF(P623="","",IF(P623&gt;=80,"ATTACK",IF(P623&gt;=65,"GROW",IF(P623&gt;=50,"PARTNER","WATCH"))))</x:f>
      </x:c>
      <x:c r="R623" s="12" t="str">
        <x:f>IF(Q623="","",IF(Q623="ATTACK","Grassroots + family acquisition",IF(Q623="GROW","Test local campaign",IF(Q623="PARTNER","Organisation-first partnership","Low priority / validate"))))</x:f>
      </x:c>
      <x:c r="S623" s="45" t="n">
        <x:v>9.186826782061134</x:v>
      </x:c>
      <x:c r="T623" t="str">
        <x:v>NEAR</x:v>
      </x:c>
      <x:c r="U623" s="32" t="n">
        <x:f>PERCENTRANK.INC($G$2:$G$941,G623)</x:f>
        <x:v>0.226</x:v>
      </x:c>
      <x:c r="V623" s="32" t="n">
        <x:f>PERCENTRANK.INC($H$2:$H$941,H623)</x:f>
        <x:v>0.169</x:v>
      </x:c>
      <x:c r="W623" t="n">
        <x:f>ROUND((U623*55+V623*45)*IF(S623&lt;=5,1,IF(S623&lt;=10,0.95,IF(S623&lt;=20,0.85,0.70))),0)</x:f>
        <x:v>19</x:v>
      </x:c>
      <x:c r="X623" t="n">
        <x:v>27</x:v>
      </x:c>
      <x:c r="Y623" t="str">
        <x:v>WATCH</x:v>
      </x:c>
      <x:c r="Z623" s="12" t="str">
        <x:v>Family + verified grassroots + straight-line geo only; transport not yet routed</x:v>
      </x:c>
      <x:c r="AA623" s="12"/>
      <x:c r="AB623" s="12"/>
      <x:c r="AC623" s="12"/>
      <x:c r="AD623" s="12"/>
      <x:c r="AE623" t="str">
        <x:v>Charlton Athletic Women</x:v>
      </x:c>
      <x:c r="AF623" s="45" t="n">
        <x:v>3.6682759414884245</x:v>
      </x:c>
      <x:c r="AG623" t="str">
        <x:v>Millwall Lionesses</x:v>
      </x:c>
      <x:c r="AH623" s="45" t="n">
        <x:v>4.3351926967050955</x:v>
      </x:c>
      <x:c r="AI623" t="n">
        <x:v>85</x:v>
      </x:c>
      <x:c r="AJ623" t="str">
        <x:v>HIGH</x:v>
      </x:c>
    </x:row>
    <x:row r="624">
      <x:c r="A624" s="12" t="str">
        <x:v>E01003205</x:v>
      </x:c>
      <x:c r="B624" s="12" t="str">
        <x:v>Lewisham 007D</x:v>
      </x:c>
      <x:c r="C624" s="12" t="str">
        <x:v>Lewisham</x:v>
      </x:c>
      <x:c r="D624" s="44" t="n">
        <x:v>51.471064323937995</x:v>
      </x:c>
      <x:c r="E624" s="44" t="n">
        <x:v>-0.013704658724282047</x:v>
      </x:c>
      <x:c r="F624" s="33" t="n">
        <x:v>580</x:v>
      </x:c>
      <x:c r="G624" s="33" t="n">
        <x:v>180</x:v>
      </x:c>
      <x:c r="H624" s="26" t="n">
        <x:v>0.3103448275862069</x:v>
      </x:c>
      <x:c r="I624" s="12" t="n">
        <x:v>2</x:v>
      </x:c>
      <x:c r="J624" s="12" t="n">
        <x:v>36</x:v>
      </x:c>
      <x:c r="K624" s="12"/>
      <x:c r="L624" s="12"/>
      <x:c r="M624" s="12" t="str">
        <x:f>IF(K624="", "", MAX(0,IF(K624&lt;=20,100,IF(K624&lt;=30,85,IF(K624&lt;=40,70,IF(K624&lt;=50,55,IF(K624&lt;=60,40,20)))))-MIN(L624*5,20)))</x:f>
      </x:c>
      <x:c r="N624" s="12"/>
      <x:c r="O624" s="12"/>
      <x:c r="P624" s="12" t="str">
        <x:f>IF(OR(H624="",J624="",M624=""),"",ROUND(PERCENTRANK.INC($H$2:$H$941,H624)*35+J624*0.35+M624*0.30,0))</x:f>
      </x:c>
      <x:c r="Q624" s="12" t="str">
        <x:f>IF(P624="","",IF(P624&gt;=80,"ATTACK",IF(P624&gt;=65,"GROW",IF(P624&gt;=50,"PARTNER","WATCH"))))</x:f>
      </x:c>
      <x:c r="R624" s="12" t="str">
        <x:f>IF(Q624="","",IF(Q624="ATTACK","Grassroots + family acquisition",IF(Q624="GROW","Test local campaign",IF(Q624="PARTNER","Organisation-first partnership","Low priority / validate"))))</x:f>
      </x:c>
      <x:c r="S624" s="45" t="n">
        <x:v>9.166991679568694</x:v>
      </x:c>
      <x:c r="T624" t="str">
        <x:v>NEAR</x:v>
      </x:c>
      <x:c r="U624" s="32" t="n">
        <x:f>PERCENTRANK.INC($G$2:$G$941,G624)</x:f>
        <x:v>0.226</x:v>
      </x:c>
      <x:c r="V624" s="32" t="n">
        <x:f>PERCENTRANK.INC($H$2:$H$941,H624)</x:f>
        <x:v>0.449</x:v>
      </x:c>
      <x:c r="W624" t="n">
        <x:f>ROUND((U624*55+V624*45)*IF(S624&lt;=5,1,IF(S624&lt;=10,0.95,IF(S624&lt;=20,0.85,0.70))),0)</x:f>
        <x:v>31</x:v>
      </x:c>
      <x:c r="X624" t="n">
        <x:v>33</x:v>
      </x:c>
      <x:c r="Y624" t="str">
        <x:v>WATCH</x:v>
      </x:c>
      <x:c r="Z624" s="12" t="str">
        <x:v>Family + verified grassroots + straight-line geo only; transport not yet routed</x:v>
      </x:c>
      <x:c r="AA624" s="12"/>
      <x:c r="AB624" s="12"/>
      <x:c r="AC624" s="12"/>
      <x:c r="AD624" s="12"/>
      <x:c r="AE624" t="str">
        <x:v>Charlton Athletic Women</x:v>
      </x:c>
      <x:c r="AF624" s="45" t="n">
        <x:v>3.8507370936605225</x:v>
      </x:c>
      <x:c r="AG624" t="str">
        <x:v>Millwall Lionesses</x:v>
      </x:c>
      <x:c r="AH624" s="45" t="n">
        <x:v>4.312730726899322</x:v>
      </x:c>
      <x:c r="AI624" t="n">
        <x:v>85</x:v>
      </x:c>
      <x:c r="AJ624" t="str">
        <x:v>HIGH</x:v>
      </x:c>
    </x:row>
    <x:row r="625">
      <x:c r="A625" s="12" t="str">
        <x:v>E01003206</x:v>
      </x:c>
      <x:c r="B625" s="12" t="str">
        <x:v>Lewisham 007E</x:v>
      </x:c>
      <x:c r="C625" s="12" t="str">
        <x:v>Lewisham</x:v>
      </x:c>
      <x:c r="D625" s="44" t="n">
        <x:v>51.46684292582781</x:v>
      </x:c>
      <x:c r="E625" s="44" t="n">
        <x:v>-0.005853582091732799</x:v>
      </x:c>
      <x:c r="F625" s="33" t="n">
        <x:v>636</x:v>
      </x:c>
      <x:c r="G625" s="33" t="n">
        <x:v>149</x:v>
      </x:c>
      <x:c r="H625" s="26" t="n">
        <x:v>0.23427672955974843</x:v>
      </x:c>
      <x:c r="I625" s="12" t="n">
        <x:v>2</x:v>
      </x:c>
      <x:c r="J625" s="12" t="n">
        <x:v>36</x:v>
      </x:c>
      <x:c r="K625" s="12"/>
      <x:c r="L625" s="12"/>
      <x:c r="M625" s="12" t="str">
        <x:f>IF(K625="", "", MAX(0,IF(K625&lt;=20,100,IF(K625&lt;=30,85,IF(K625&lt;=40,70,IF(K625&lt;=50,55,IF(K625&lt;=60,40,20)))))-MIN(L625*5,20)))</x:f>
      </x:c>
      <x:c r="N625" s="12"/>
      <x:c r="O625" s="12"/>
      <x:c r="P625" s="12" t="str">
        <x:f>IF(OR(H625="",J625="",M625=""),"",ROUND(PERCENTRANK.INC($H$2:$H$941,H625)*35+J625*0.35+M625*0.30,0))</x:f>
      </x:c>
      <x:c r="Q625" s="12" t="str">
        <x:f>IF(P625="","",IF(P625&gt;=80,"ATTACK",IF(P625&gt;=65,"GROW",IF(P625&gt;=50,"PARTNER","WATCH"))))</x:f>
      </x:c>
      <x:c r="R625" s="12" t="str">
        <x:f>IF(Q625="","",IF(Q625="ATTACK","Grassroots + family acquisition",IF(Q625="GROW","Test local campaign",IF(Q625="PARTNER","Organisation-first partnership","Low priority / validate"))))</x:f>
      </x:c>
      <x:c r="S625" s="45" t="n">
        <x:v>8.591874749877467</x:v>
      </x:c>
      <x:c r="T625" t="str">
        <x:v>NEAR</x:v>
      </x:c>
      <x:c r="U625" s="32" t="n">
        <x:f>PERCENTRANK.INC($G$2:$G$941,G625)</x:f>
        <x:v>0.09</x:v>
      </x:c>
      <x:c r="V625" s="32" t="n">
        <x:f>PERCENTRANK.INC($H$2:$H$941,H625)</x:f>
        <x:v>0.144</x:v>
      </x:c>
      <x:c r="W625" t="n">
        <x:f>ROUND((U625*55+V625*45)*IF(S625&lt;=5,1,IF(S625&lt;=10,0.95,IF(S625&lt;=20,0.85,0.70))),0)</x:f>
        <x:v>11</x:v>
      </x:c>
      <x:c r="X625" t="n">
        <x:v>22</x:v>
      </x:c>
      <x:c r="Y625" t="str">
        <x:v>WATCH</x:v>
      </x:c>
      <x:c r="Z625" s="12" t="str">
        <x:v>Family + verified grassroots + straight-line geo only; transport not yet routed</x:v>
      </x:c>
      <x:c r="AA625" s="12"/>
      <x:c r="AB625" s="12"/>
      <x:c r="AC625" s="12"/>
      <x:c r="AD625" s="12"/>
      <x:c r="AE625" t="str">
        <x:v>Charlton Athletic Women</x:v>
      </x:c>
      <x:c r="AF625" s="45" t="n">
        <x:v>3.631996924854795</x:v>
      </x:c>
      <x:c r="AG625" t="str">
        <x:v>Millwall Lionesses</x:v>
      </x:c>
      <x:c r="AH625" s="45" t="n">
        <x:v>4.977503891151282</x:v>
      </x:c>
      <x:c r="AI625" t="n">
        <x:v>85</x:v>
      </x:c>
      <x:c r="AJ625" t="str">
        <x:v>HIGH</x:v>
      </x:c>
    </x:row>
    <x:row r="626">
      <x:c r="A626" s="12" t="str">
        <x:v>E01003211</x:v>
      </x:c>
      <x:c r="B626" s="12" t="str">
        <x:v>Lewisham 008B</x:v>
      </x:c>
      <x:c r="C626" s="12" t="str">
        <x:v>Lewisham</x:v>
      </x:c>
      <x:c r="D626" s="44" t="n">
        <x:v>51.46698029590542</x:v>
      </x:c>
      <x:c r="E626" s="44" t="n">
        <x:v>-0.026436287354431254</x:v>
      </x:c>
      <x:c r="F626" s="33" t="n">
        <x:v>702</x:v>
      </x:c>
      <x:c r="G626" s="33" t="n">
        <x:v>158</x:v>
      </x:c>
      <x:c r="H626" s="26" t="n">
        <x:v>0.22507122507122507</x:v>
      </x:c>
      <x:c r="I626" s="12" t="n">
        <x:v>2</x:v>
      </x:c>
      <x:c r="J626" s="12" t="n">
        <x:v>36</x:v>
      </x:c>
      <x:c r="K626" s="12"/>
      <x:c r="L626" s="12"/>
      <x:c r="M626" s="12" t="str">
        <x:f>IF(K626="", "", MAX(0,IF(K626&lt;=20,100,IF(K626&lt;=30,85,IF(K626&lt;=40,70,IF(K626&lt;=50,55,IF(K626&lt;=60,40,20)))))-MIN(L626*5,20)))</x:f>
      </x:c>
      <x:c r="N626" s="12"/>
      <x:c r="O626" s="12"/>
      <x:c r="P626" s="12" t="str">
        <x:f>IF(OR(H626="",J626="",M626=""),"",ROUND(PERCENTRANK.INC($H$2:$H$941,H626)*35+J626*0.35+M626*0.30,0))</x:f>
      </x:c>
      <x:c r="Q626" s="12" t="str">
        <x:f>IF(P626="","",IF(P626&gt;=80,"ATTACK",IF(P626&gt;=65,"GROW",IF(P626&gt;=50,"PARTNER","WATCH"))))</x:f>
      </x:c>
      <x:c r="R626" s="12" t="str">
        <x:f>IF(Q626="","",IF(Q626="ATTACK","Grassroots + family acquisition",IF(Q626="GROW","Test local campaign",IF(Q626="PARTNER","Organisation-first partnership","Low priority / validate"))))</x:f>
      </x:c>
      <x:c r="S626" s="45" t="n">
        <x:v>8.98758620763874</x:v>
      </x:c>
      <x:c r="T626" t="str">
        <x:v>NEAR</x:v>
      </x:c>
      <x:c r="U626" s="32" t="n">
        <x:f>PERCENTRANK.INC($G$2:$G$941,G626)</x:f>
        <x:v>0.118</x:v>
      </x:c>
      <x:c r="V626" s="32" t="n">
        <x:f>PERCENTRANK.INC($H$2:$H$941,H626)</x:f>
        <x:v>0.115</x:v>
      </x:c>
      <x:c r="W626" t="n">
        <x:f>ROUND((U626*55+V626*45)*IF(S626&lt;=5,1,IF(S626&lt;=10,0.95,IF(S626&lt;=20,0.85,0.70))),0)</x:f>
        <x:v>11</x:v>
      </x:c>
      <x:c r="X626" t="n">
        <x:v>22</x:v>
      </x:c>
      <x:c r="Y626" t="str">
        <x:v>WATCH</x:v>
      </x:c>
      <x:c r="Z626" s="12" t="str">
        <x:v>Family + verified grassroots + straight-line geo only; transport not yet routed</x:v>
      </x:c>
      <x:c r="AA626" s="12"/>
      <x:c r="AB626" s="12"/>
      <x:c r="AC626" s="12"/>
      <x:c r="AD626" s="12"/>
      <x:c r="AE626" t="str">
        <x:v>Charlton Athletic Women</x:v>
      </x:c>
      <x:c r="AF626" s="45" t="n">
        <x:v>4.842578021955351</x:v>
      </x:c>
      <x:c r="AG626" t="str">
        <x:v>Dulwich Hamlet Women</x:v>
      </x:c>
      <x:c r="AH626" s="45" t="n">
        <x:v>4.0357220362181305</x:v>
      </x:c>
      <x:c r="AI626" t="n">
        <x:v>85</x:v>
      </x:c>
      <x:c r="AJ626" t="str">
        <x:v>HIGH</x:v>
      </x:c>
    </x:row>
    <x:row r="627">
      <x:c r="A627" s="12" t="str">
        <x:v>E01003213</x:v>
      </x:c>
      <x:c r="B627" s="12" t="str">
        <x:v>Lewisham 008C</x:v>
      </x:c>
      <x:c r="C627" s="12" t="str">
        <x:v>Lewisham</x:v>
      </x:c>
      <x:c r="D627" s="44" t="n">
        <x:v>51.46453729897181</x:v>
      </x:c>
      <x:c r="E627" s="44" t="n">
        <x:v>-0.03031831761587512</x:v>
      </x:c>
      <x:c r="F627" s="33" t="n">
        <x:v>792</x:v>
      </x:c>
      <x:c r="G627" s="33" t="n">
        <x:v>229</x:v>
      </x:c>
      <x:c r="H627" s="26" t="n">
        <x:v>0.28914141414141414</x:v>
      </x:c>
      <x:c r="I627" s="12" t="n">
        <x:v>2</x:v>
      </x:c>
      <x:c r="J627" s="12" t="n">
        <x:v>43</x:v>
      </x:c>
      <x:c r="K627" s="12"/>
      <x:c r="L627" s="12"/>
      <x:c r="M627" s="12" t="str">
        <x:f>IF(K627="", "", MAX(0,IF(K627&lt;=20,100,IF(K627&lt;=30,85,IF(K627&lt;=40,70,IF(K627&lt;=50,55,IF(K627&lt;=60,40,20)))))-MIN(L627*5,20)))</x:f>
      </x:c>
      <x:c r="N627" s="12"/>
      <x:c r="O627" s="12"/>
      <x:c r="P627" s="12" t="str">
        <x:f>IF(OR(H627="",J627="",M627=""),"",ROUND(PERCENTRANK.INC($H$2:$H$941,H627)*35+J627*0.35+M627*0.30,0))</x:f>
      </x:c>
      <x:c r="Q627" s="12" t="str">
        <x:f>IF(P627="","",IF(P627&gt;=80,"ATTACK",IF(P627&gt;=65,"GROW",IF(P627&gt;=50,"PARTNER","WATCH"))))</x:f>
      </x:c>
      <x:c r="R627" s="12" t="str">
        <x:f>IF(Q627="","",IF(Q627="ATTACK","Grassroots + family acquisition",IF(Q627="GROW","Test local campaign",IF(Q627="PARTNER","Organisation-first partnership","Low priority / validate"))))</x:f>
      </x:c>
      <x:c r="S627" s="45" t="n">
        <x:v>8.83062004742735</x:v>
      </x:c>
      <x:c r="T627" t="str">
        <x:v>NEAR</x:v>
      </x:c>
      <x:c r="U627" s="32" t="n">
        <x:f>PERCENTRANK.INC($G$2:$G$941,G627)</x:f>
        <x:v>0.627</x:v>
      </x:c>
      <x:c r="V627" s="32" t="n">
        <x:f>PERCENTRANK.INC($H$2:$H$941,H627)</x:f>
        <x:v>0.34</x:v>
      </x:c>
      <x:c r="W627" t="n">
        <x:f>ROUND((U627*55+V627*45)*IF(S627&lt;=5,1,IF(S627&lt;=10,0.95,IF(S627&lt;=20,0.85,0.70))),0)</x:f>
        <x:v>47</x:v>
      </x:c>
      <x:c r="X627" t="n">
        <x:v>46</x:v>
      </x:c>
      <x:c r="Y627" t="str">
        <x:v>WATCH</x:v>
      </x:c>
      <x:c r="Z627" s="12" t="str">
        <x:v>Family + verified grassroots + straight-line geo only; transport not yet routed</x:v>
      </x:c>
      <x:c r="AA627" s="12"/>
      <x:c r="AB627" s="12"/>
      <x:c r="AC627" s="12"/>
      <x:c r="AD627" s="12"/>
      <x:c r="AE627" t="str">
        <x:v>Charlton Athletic Women</x:v>
      </x:c>
      <x:c r="AF627" s="45" t="n">
        <x:v>5.205923174580757</x:v>
      </x:c>
      <x:c r="AG627" t="str">
        <x:v>Dulwich Hamlet Women</x:v>
      </x:c>
      <x:c r="AH627" s="45" t="n">
        <x:v>3.7346864447439168</x:v>
      </x:c>
      <x:c r="AI627" t="n">
        <x:v>85</x:v>
      </x:c>
      <x:c r="AJ627" t="str">
        <x:v>HIGH</x:v>
      </x:c>
    </x:row>
    <x:row r="628">
      <x:c r="A628" s="12" t="str">
        <x:v>E01003214</x:v>
      </x:c>
      <x:c r="B628" s="12" t="str">
        <x:v>Lewisham 008D</x:v>
      </x:c>
      <x:c r="C628" s="12" t="str">
        <x:v>Lewisham</x:v>
      </x:c>
      <x:c r="D628" s="44" t="n">
        <x:v>51.46265610753742</x:v>
      </x:c>
      <x:c r="E628" s="44" t="n">
        <x:v>-0.034915802220871234</x:v>
      </x:c>
      <x:c r="F628" s="33" t="n">
        <x:v>764</x:v>
      </x:c>
      <x:c r="G628" s="33" t="n">
        <x:v>200</x:v>
      </x:c>
      <x:c r="H628" s="26" t="n">
        <x:v>0.2617801047120419</x:v>
      </x:c>
      <x:c r="I628" s="12" t="n">
        <x:v>2</x:v>
      </x:c>
      <x:c r="J628" s="12" t="n">
        <x:v>43</x:v>
      </x:c>
      <x:c r="K628" s="12"/>
      <x:c r="L628" s="12"/>
      <x:c r="M628" s="12" t="str">
        <x:f>IF(K628="", "", MAX(0,IF(K628&lt;=20,100,IF(K628&lt;=30,85,IF(K628&lt;=40,70,IF(K628&lt;=50,55,IF(K628&lt;=60,40,20)))))-MIN(L628*5,20)))</x:f>
      </x:c>
      <x:c r="N628" s="12"/>
      <x:c r="O628" s="12"/>
      <x:c r="P628" s="12" t="str">
        <x:f>IF(OR(H628="",J628="",M628=""),"",ROUND(PERCENTRANK.INC($H$2:$H$941,H628)*35+J628*0.35+M628*0.30,0))</x:f>
      </x:c>
      <x:c r="Q628" s="12" t="str">
        <x:f>IF(P628="","",IF(P628&gt;=80,"ATTACK",IF(P628&gt;=65,"GROW",IF(P628&gt;=50,"PARTNER","WATCH"))))</x:f>
      </x:c>
      <x:c r="R628" s="12" t="str">
        <x:f>IF(Q628="","",IF(Q628="ATTACK","Grassroots + family acquisition",IF(Q628="GROW","Test local campaign",IF(Q628="PARTNER","Organisation-first partnership","Low priority / validate"))))</x:f>
      </x:c>
      <x:c r="S628" s="45" t="n">
        <x:v>8.765090795152078</x:v>
      </x:c>
      <x:c r="T628" t="str">
        <x:v>NEAR</x:v>
      </x:c>
      <x:c r="U628" s="32" t="n">
        <x:f>PERCENTRANK.INC($G$2:$G$941,G628)</x:f>
        <x:v>0.388</x:v>
      </x:c>
      <x:c r="V628" s="32" t="n">
        <x:f>PERCENTRANK.INC($H$2:$H$941,H628)</x:f>
        <x:v>0.227</x:v>
      </x:c>
      <x:c r="W628" t="n">
        <x:f>ROUND((U628*55+V628*45)*IF(S628&lt;=5,1,IF(S628&lt;=10,0.95,IF(S628&lt;=20,0.85,0.70))),0)</x:f>
        <x:v>30</x:v>
      </x:c>
      <x:c r="X628" t="n">
        <x:v>36</x:v>
      </x:c>
      <x:c r="Y628" t="str">
        <x:v>WATCH</x:v>
      </x:c>
      <x:c r="Z628" s="12" t="str">
        <x:v>Family + verified grassroots + straight-line geo only; transport not yet routed</x:v>
      </x:c>
      <x:c r="AA628" s="12"/>
      <x:c r="AB628" s="12"/>
      <x:c r="AC628" s="12"/>
      <x:c r="AD628" s="12"/>
      <x:c r="AE628" t="str">
        <x:v>Charlton Athletic Women</x:v>
      </x:c>
      <x:c r="AF628" s="45" t="n">
        <x:v>5.585373890627682</x:v>
      </x:c>
      <x:c r="AG628" t="str">
        <x:v>Dulwich Hamlet Women</x:v>
      </x:c>
      <x:c r="AH628" s="45" t="n">
        <x:v>3.402328623455296</x:v>
      </x:c>
      <x:c r="AI628" t="n">
        <x:v>85</x:v>
      </x:c>
      <x:c r="AJ628" t="str">
        <x:v>HIGH</x:v>
      </x:c>
    </x:row>
    <x:row r="629">
      <x:c r="A629" s="12" t="str">
        <x:v>E01033324</x:v>
      </x:c>
      <x:c r="B629" s="12" t="str">
        <x:v>Lewisham 008E</x:v>
      </x:c>
      <x:c r="C629" s="12" t="str">
        <x:v>Lewisham</x:v>
      </x:c>
      <x:c r="D629" s="44" t="n">
        <x:v>51.47058954355869</x:v>
      </x:c>
      <x:c r="E629" s="44" t="n">
        <x:v>-0.02342733343052703</x:v>
      </x:c>
      <x:c r="F629" s="33" t="n">
        <x:v>629</x:v>
      </x:c>
      <x:c r="G629" s="33" t="n">
        <x:v>164</x:v>
      </x:c>
      <x:c r="H629" s="26" t="n">
        <x:v>0.26073131955484896</x:v>
      </x:c>
      <x:c r="I629" s="12" t="n">
        <x:v>2</x:v>
      </x:c>
      <x:c r="J629" s="12" t="n">
        <x:v>36</x:v>
      </x:c>
      <x:c r="K629" s="12"/>
      <x:c r="L629" s="12"/>
      <x:c r="M629" s="12" t="str">
        <x:f>IF(K629="", "", MAX(0,IF(K629&lt;=20,100,IF(K629&lt;=30,85,IF(K629&lt;=40,70,IF(K629&lt;=50,55,IF(K629&lt;=60,40,20)))))-MIN(L629*5,20)))</x:f>
      </x:c>
      <x:c r="N629" s="12"/>
      <x:c r="O629" s="12"/>
      <x:c r="P629" s="12" t="str">
        <x:f>IF(OR(H629="",J629="",M629=""),"",ROUND(PERCENTRANK.INC($H$2:$H$941,H629)*35+J629*0.35+M629*0.30,0))</x:f>
      </x:c>
      <x:c r="Q629" s="12" t="str">
        <x:f>IF(P629="","",IF(P629&gt;=80,"ATTACK",IF(P629&gt;=65,"GROW",IF(P629&gt;=50,"PARTNER","WATCH"))))</x:f>
      </x:c>
      <x:c r="R629" s="12" t="str">
        <x:f>IF(Q629="","",IF(Q629="ATTACK","Grassroots + family acquisition",IF(Q629="GROW","Test local campaign",IF(Q629="PARTNER","Organisation-first partnership","Low priority / validate"))))</x:f>
      </x:c>
      <x:c r="S629" s="45" t="n">
        <x:v>9.299814589987527</x:v>
      </x:c>
      <x:c r="T629" t="str">
        <x:v>NEAR</x:v>
      </x:c>
      <x:c r="U629" s="32" t="n">
        <x:f>PERCENTRANK.INC($G$2:$G$941,G629)</x:f>
        <x:v>0.139</x:v>
      </x:c>
      <x:c r="V629" s="32" t="n">
        <x:f>PERCENTRANK.INC($H$2:$H$941,H629)</x:f>
        <x:v>0.223</x:v>
      </x:c>
      <x:c r="W629" t="n">
        <x:f>ROUND((U629*55+V629*45)*IF(S629&lt;=5,1,IF(S629&lt;=10,0.95,IF(S629&lt;=20,0.85,0.70))),0)</x:f>
        <x:v>17</x:v>
      </x:c>
      <x:c r="X629" t="n">
        <x:v>26</x:v>
      </x:c>
      <x:c r="Y629" t="str">
        <x:v>WATCH</x:v>
      </x:c>
      <x:c r="Z629" s="12" t="str">
        <x:v>Family + verified grassroots + straight-line geo only; transport not yet routed</x:v>
      </x:c>
      <x:c r="AA629" s="12"/>
      <x:c r="AB629" s="12"/>
      <x:c r="AC629" s="12"/>
      <x:c r="AD629" s="12"/>
      <x:c r="AE629" t="str">
        <x:v>Charlton Athletic Women</x:v>
      </x:c>
      <x:c r="AF629" s="45" t="n">
        <x:v>4.484858497268384</x:v>
      </x:c>
      <x:c r="AG629" t="str">
        <x:v>Millwall Lionesses</x:v>
      </x:c>
      <x:c r="AH629" s="45" t="n">
        <x:v>4.122612962632379</x:v>
      </x:c>
      <x:c r="AI629" t="n">
        <x:v>85</x:v>
      </x:c>
      <x:c r="AJ629" t="str">
        <x:v>HIGH</x:v>
      </x:c>
    </x:row>
    <x:row r="630">
      <x:c r="A630" s="12" t="str">
        <x:v>E01033325</x:v>
      </x:c>
      <x:c r="B630" s="12" t="str">
        <x:v>Lewisham 008F</x:v>
      </x:c>
      <x:c r="C630" s="12" t="str">
        <x:v>Lewisham</x:v>
      </x:c>
      <x:c r="D630" s="44" t="n">
        <x:v>51.47259763872146</x:v>
      </x:c>
      <x:c r="E630" s="44" t="n">
        <x:v>-0.02112206957131508</x:v>
      </x:c>
      <x:c r="F630" s="33" t="n">
        <x:v>719</x:v>
      </x:c>
      <x:c r="G630" s="33" t="n">
        <x:v>123</x:v>
      </x:c>
      <x:c r="H630" s="26" t="n">
        <x:v>0.17107093184979139</x:v>
      </x:c>
      <x:c r="I630" s="12" t="n">
        <x:v>2</x:v>
      </x:c>
      <x:c r="J630" s="12" t="n">
        <x:v>36</x:v>
      </x:c>
      <x:c r="K630" s="12"/>
      <x:c r="L630" s="12"/>
      <x:c r="M630" s="12" t="str">
        <x:f>IF(K630="", "", MAX(0,IF(K630&lt;=20,100,IF(K630&lt;=30,85,IF(K630&lt;=40,70,IF(K630&lt;=50,55,IF(K630&lt;=60,40,20)))))-MIN(L630*5,20)))</x:f>
      </x:c>
      <x:c r="N630" s="12"/>
      <x:c r="O630" s="12"/>
      <x:c r="P630" s="12" t="str">
        <x:f>IF(OR(H630="",J630="",M630=""),"",ROUND(PERCENTRANK.INC($H$2:$H$941,H630)*35+J630*0.35+M630*0.30,0))</x:f>
      </x:c>
      <x:c r="Q630" s="12" t="str">
        <x:f>IF(P630="","",IF(P630&gt;=80,"ATTACK",IF(P630&gt;=65,"GROW",IF(P630&gt;=50,"PARTNER","WATCH"))))</x:f>
      </x:c>
      <x:c r="R630" s="12" t="str">
        <x:f>IF(Q630="","",IF(Q630="ATTACK","Grassroots + family acquisition",IF(Q630="GROW","Test local campaign",IF(Q630="PARTNER","Organisation-first partnership","Low priority / validate"))))</x:f>
      </x:c>
      <x:c r="S630" s="45" t="n">
        <x:v>9.465892062884423</x:v>
      </x:c>
      <x:c r="T630" t="str">
        <x:v>NEAR</x:v>
      </x:c>
      <x:c r="U630" s="32" t="n">
        <x:f>PERCENTRANK.INC($G$2:$G$941,G630)</x:f>
        <x:v>0.034</x:v>
      </x:c>
      <x:c r="V630" s="32" t="n">
        <x:f>PERCENTRANK.INC($H$2:$H$941,H630)</x:f>
        <x:v>0.033</x:v>
      </x:c>
      <x:c r="W630" t="n">
        <x:f>ROUND((U630*55+V630*45)*IF(S630&lt;=5,1,IF(S630&lt;=10,0.95,IF(S630&lt;=20,0.85,0.70))),0)</x:f>
        <x:v>3</x:v>
      </x:c>
      <x:c r="X630" t="n">
        <x:v>18</x:v>
      </x:c>
      <x:c r="Y630" t="str">
        <x:v>WATCH</x:v>
      </x:c>
      <x:c r="Z630" s="12" t="str">
        <x:v>Family + verified grassroots + straight-line geo only; transport not yet routed</x:v>
      </x:c>
      <x:c r="AA630" s="12"/>
      <x:c r="AB630" s="12"/>
      <x:c r="AC630" s="12"/>
      <x:c r="AD630" s="12"/>
      <x:c r="AE630" t="str">
        <x:v>Charlton Athletic Women</x:v>
      </x:c>
      <x:c r="AF630" s="45" t="n">
        <x:v>4.252777742527726</x:v>
      </x:c>
      <x:c r="AG630" t="str">
        <x:v>Millwall Lionesses</x:v>
      </x:c>
      <x:c r="AH630" s="45" t="n">
        <x:v>3.9592946027733147</x:v>
      </x:c>
      <x:c r="AI630" t="n">
        <x:v>85</x:v>
      </x:c>
      <x:c r="AJ630" t="str">
        <x:v>HIGH</x:v>
      </x:c>
    </x:row>
    <x:row r="631">
      <x:c r="A631" s="12" t="str">
        <x:v>E01003198</x:v>
      </x:c>
      <x:c r="B631" s="12" t="str">
        <x:v>Lewisham 009A</x:v>
      </x:c>
      <x:c r="C631" s="12" t="str">
        <x:v>Lewisham</x:v>
      </x:c>
      <x:c r="D631" s="44" t="n">
        <x:v>51.463760980628756</x:v>
      </x:c>
      <x:c r="E631" s="44" t="n">
        <x:v>0.00419855244249125</x:v>
      </x:c>
      <x:c r="F631" s="33" t="n">
        <x:v>643</x:v>
      </x:c>
      <x:c r="G631" s="33" t="n">
        <x:v>191</x:v>
      </x:c>
      <x:c r="H631" s="26" t="n">
        <x:v>0.29704510108864696</x:v>
      </x:c>
      <x:c r="I631" s="12" t="n">
        <x:v>1</x:v>
      </x:c>
      <x:c r="J631" s="12" t="n">
        <x:v>37</x:v>
      </x:c>
      <x:c r="K631" s="12"/>
      <x:c r="L631" s="12"/>
      <x:c r="M631" s="12" t="str">
        <x:f>IF(K631="", "", MAX(0,IF(K631&lt;=20,100,IF(K631&lt;=30,85,IF(K631&lt;=40,70,IF(K631&lt;=50,55,IF(K631&lt;=60,40,20)))))-MIN(L631*5,20)))</x:f>
      </x:c>
      <x:c r="N631" s="12"/>
      <x:c r="O631" s="12"/>
      <x:c r="P631" s="12" t="str">
        <x:f>IF(OR(H631="",J631="",M631=""),"",ROUND(PERCENTRANK.INC($H$2:$H$941,H631)*35+J631*0.35+M631*0.30,0))</x:f>
      </x:c>
      <x:c r="Q631" s="12" t="str">
        <x:f>IF(P631="","",IF(P631&gt;=80,"ATTACK",IF(P631&gt;=65,"GROW",IF(P631&gt;=50,"PARTNER","WATCH"))))</x:f>
      </x:c>
      <x:c r="R631" s="12" t="str">
        <x:f>IF(Q631="","",IF(Q631="ATTACK","Grassroots + family acquisition",IF(Q631="GROW","Test local campaign",IF(Q631="PARTNER","Organisation-first partnership","Low priority / validate"))))</x:f>
      </x:c>
      <x:c r="S631" s="45" t="n">
        <x:v>8.146480150072733</x:v>
      </x:c>
      <x:c r="T631" t="str">
        <x:v>NEAR</x:v>
      </x:c>
      <x:c r="U631" s="32" t="n">
        <x:f>PERCENTRANK.INC($G$2:$G$941,G631)</x:f>
        <x:v>0.319</x:v>
      </x:c>
      <x:c r="V631" s="32" t="n">
        <x:f>PERCENTRANK.INC($H$2:$H$941,H631)</x:f>
        <x:v>0.376</x:v>
      </x:c>
      <x:c r="W631" t="n">
        <x:f>ROUND((U631*55+V631*45)*IF(S631&lt;=5,1,IF(S631&lt;=10,0.95,IF(S631&lt;=20,0.85,0.70))),0)</x:f>
        <x:v>33</x:v>
      </x:c>
      <x:c r="X631" t="n">
        <x:v>35</x:v>
      </x:c>
      <x:c r="Y631" t="str">
        <x:v>WATCH</x:v>
      </x:c>
      <x:c r="Z631" s="12" t="str">
        <x:v>Family + verified grassroots + straight-line geo only; transport not yet routed</x:v>
      </x:c>
      <x:c r="AA631" s="12"/>
      <x:c r="AB631" s="12"/>
      <x:c r="AC631" s="12"/>
      <x:c r="AD631" s="12"/>
      <x:c r="AE631" t="str">
        <x:v>Charlton Athletic Women</x:v>
      </x:c>
      <x:c r="AF631" s="45" t="n">
        <x:v>3.3517149181365538</x:v>
      </x:c>
      <x:c r="AG631" t="str">
        <x:v>Millwall Lionesses</x:v>
      </x:c>
      <x:c r="AH631" s="45" t="n">
        <x:v>5.629118547418989</x:v>
      </x:c>
      <x:c r="AI631" t="n">
        <x:v>85</x:v>
      </x:c>
      <x:c r="AJ631" t="str">
        <x:v>HIGH</x:v>
      </x:c>
    </x:row>
    <x:row r="632">
      <x:c r="A632" s="12" t="str">
        <x:v>E01003200</x:v>
      </x:c>
      <x:c r="B632" s="12" t="str">
        <x:v>Lewisham 009B</x:v>
      </x:c>
      <x:c r="C632" s="12" t="str">
        <x:v>Lewisham</x:v>
      </x:c>
      <x:c r="D632" s="44" t="n">
        <x:v>51.467290531004174</x:v>
      </x:c>
      <x:c r="E632" s="44" t="n">
        <x:v>0.009052697537761634</x:v>
      </x:c>
      <x:c r="F632" s="33" t="n">
        <x:v>691</x:v>
      </x:c>
      <x:c r="G632" s="33" t="n">
        <x:v>151</x:v>
      </x:c>
      <x:c r="H632" s="26" t="n">
        <x:v>0.21852387843704776</x:v>
      </x:c>
      <x:c r="I632" s="12" t="n">
        <x:v>1</x:v>
      </x:c>
      <x:c r="J632" s="12" t="n">
        <x:v>37</x:v>
      </x:c>
      <x:c r="K632" s="12"/>
      <x:c r="L632" s="12"/>
      <x:c r="M632" s="12" t="str">
        <x:f>IF(K632="", "", MAX(0,IF(K632&lt;=20,100,IF(K632&lt;=30,85,IF(K632&lt;=40,70,IF(K632&lt;=50,55,IF(K632&lt;=60,40,20)))))-MIN(L632*5,20)))</x:f>
      </x:c>
      <x:c r="N632" s="12"/>
      <x:c r="O632" s="12"/>
      <x:c r="P632" s="12" t="str">
        <x:f>IF(OR(H632="",J632="",M632=""),"",ROUND(PERCENTRANK.INC($H$2:$H$941,H632)*35+J632*0.35+M632*0.30,0))</x:f>
      </x:c>
      <x:c r="Q632" s="12" t="str">
        <x:f>IF(P632="","",IF(P632&gt;=80,"ATTACK",IF(P632&gt;=65,"GROW",IF(P632&gt;=50,"PARTNER","WATCH"))))</x:f>
      </x:c>
      <x:c r="R632" s="12" t="str">
        <x:f>IF(Q632="","",IF(Q632="ATTACK","Grassroots + family acquisition",IF(Q632="GROW","Test local campaign",IF(Q632="PARTNER","Organisation-first partnership","Low priority / validate"))))</x:f>
      </x:c>
      <x:c r="S632" s="45" t="n">
        <x:v>8.506112229641412</x:v>
      </x:c>
      <x:c r="T632" t="str">
        <x:v>NEAR</x:v>
      </x:c>
      <x:c r="U632" s="32" t="n">
        <x:f>PERCENTRANK.INC($G$2:$G$941,G632)</x:f>
        <x:v>0.096</x:v>
      </x:c>
      <x:c r="V632" s="32" t="n">
        <x:f>PERCENTRANK.INC($H$2:$H$941,H632)</x:f>
        <x:v>0.097</x:v>
      </x:c>
      <x:c r="W632" t="n">
        <x:f>ROUND((U632*55+V632*45)*IF(S632&lt;=5,1,IF(S632&lt;=10,0.95,IF(S632&lt;=20,0.85,0.70))),0)</x:f>
        <x:v>9</x:v>
      </x:c>
      <x:c r="X632" t="n">
        <x:v>22</x:v>
      </x:c>
      <x:c r="Y632" t="str">
        <x:v>WATCH</x:v>
      </x:c>
      <x:c r="Z632" s="12" t="str">
        <x:v>Family + verified grassroots + straight-line geo only; transport not yet routed</x:v>
      </x:c>
      <x:c r="AA632" s="12"/>
      <x:c r="AB632" s="12"/>
      <x:c r="AC632" s="12"/>
      <x:c r="AD632" s="12"/>
      <x:c r="AE632" t="str">
        <x:v>Charlton Athletic Women</x:v>
      </x:c>
      <x:c r="AF632" s="45" t="n">
        <x:v>2.834942800899214</x:v>
      </x:c>
      <x:c r="AG632" t="str">
        <x:v>Millwall Lionesses</x:v>
      </x:c>
      <x:c r="AH632" s="45" t="n">
        <x:v>5.506362972610854</x:v>
      </x:c>
      <x:c r="AI632" t="n">
        <x:v>96</x:v>
      </x:c>
      <x:c r="AJ632" t="str">
        <x:v>HIGH</x:v>
      </x:c>
    </x:row>
    <x:row r="633">
      <x:c r="A633" s="12" t="str">
        <x:v>E01003202</x:v>
      </x:c>
      <x:c r="B633" s="12" t="str">
        <x:v>Lewisham 009C</x:v>
      </x:c>
      <x:c r="C633" s="12" t="str">
        <x:v>Lewisham</x:v>
      </x:c>
      <x:c r="D633" s="44" t="n">
        <x:v>51.460657247858784</x:v>
      </x:c>
      <x:c r="E633" s="44" t="n">
        <x:v>0.008205611319025809</x:v>
      </x:c>
      <x:c r="F633" s="33" t="n">
        <x:v>747</x:v>
      </x:c>
      <x:c r="G633" s="33" t="n">
        <x:v>160</x:v>
      </x:c>
      <x:c r="H633" s="26" t="n">
        <x:v>0.214190093708166</x:v>
      </x:c>
      <x:c r="I633" s="12" t="n">
        <x:v>1</x:v>
      </x:c>
      <x:c r="J633" s="12" t="n">
        <x:v>45</x:v>
      </x:c>
      <x:c r="K633" s="12"/>
      <x:c r="L633" s="12"/>
      <x:c r="M633" s="12" t="str">
        <x:f>IF(K633="", "", MAX(0,IF(K633&lt;=20,100,IF(K633&lt;=30,85,IF(K633&lt;=40,70,IF(K633&lt;=50,55,IF(K633&lt;=60,40,20)))))-MIN(L633*5,20)))</x:f>
      </x:c>
      <x:c r="N633" s="12"/>
      <x:c r="O633" s="12"/>
      <x:c r="P633" s="12" t="str">
        <x:f>IF(OR(H633="",J633="",M633=""),"",ROUND(PERCENTRANK.INC($H$2:$H$941,H633)*35+J633*0.35+M633*0.30,0))</x:f>
      </x:c>
      <x:c r="Q633" s="12" t="str">
        <x:f>IF(P633="","",IF(P633&gt;=80,"ATTACK",IF(P633&gt;=65,"GROW",IF(P633&gt;=50,"PARTNER","WATCH"))))</x:f>
      </x:c>
      <x:c r="R633" s="12" t="str">
        <x:f>IF(Q633="","",IF(Q633="ATTACK","Grassroots + family acquisition",IF(Q633="GROW","Test local campaign",IF(Q633="PARTNER","Organisation-first partnership","Low priority / validate"))))</x:f>
      </x:c>
      <x:c r="S633" s="45" t="n">
        <x:v>7.7752970706442905</x:v>
      </x:c>
      <x:c r="T633" t="str">
        <x:v>NEAR</x:v>
      </x:c>
      <x:c r="U633" s="32" t="n">
        <x:f>PERCENTRANK.INC($G$2:$G$941,G633)</x:f>
        <x:v>0.127</x:v>
      </x:c>
      <x:c r="V633" s="32" t="n">
        <x:f>PERCENTRANK.INC($H$2:$H$941,H633)</x:f>
        <x:v>0.091</x:v>
      </x:c>
      <x:c r="W633" t="n">
        <x:f>ROUND((U633*55+V633*45)*IF(S633&lt;=5,1,IF(S633&lt;=10,0.95,IF(S633&lt;=20,0.85,0.70))),0)</x:f>
        <x:v>11</x:v>
      </x:c>
      <x:c r="X633" t="n">
        <x:v>26</x:v>
      </x:c>
      <x:c r="Y633" t="str">
        <x:v>WATCH</x:v>
      </x:c>
      <x:c r="Z633" s="12" t="str">
        <x:v>Family + verified grassroots + straight-line geo only; transport not yet routed</x:v>
      </x:c>
      <x:c r="AA633" s="12"/>
      <x:c r="AB633" s="12"/>
      <x:c r="AC633" s="12"/>
      <x:c r="AD633" s="12"/>
      <x:c r="AE633" t="str">
        <x:v>Charlton Athletic Women</x:v>
      </x:c>
      <x:c r="AF633" s="45" t="n">
        <x:v>3.4553848718994864</x:v>
      </x:c>
      <x:c r="AG633" t="str">
        <x:v>Millwall Lionesses</x:v>
      </x:c>
      <x:c r="AH633" s="45" t="n">
        <x:v>6.069990807197759</x:v>
      </x:c>
      <x:c r="AI633" t="n">
        <x:v>81</x:v>
      </x:c>
      <x:c r="AJ633" t="str">
        <x:v>HIGH</x:v>
      </x:c>
    </x:row>
    <x:row r="634">
      <x:c r="A634" s="12" t="str">
        <x:v>E01003203</x:v>
      </x:c>
      <x:c r="B634" s="12" t="str">
        <x:v>Lewisham 009D</x:v>
      </x:c>
      <x:c r="C634" s="12" t="str">
        <x:v>Lewisham</x:v>
      </x:c>
      <x:c r="D634" s="44" t="n">
        <x:v>51.459695260612875</x:v>
      </x:c>
      <x:c r="E634" s="44" t="n">
        <x:v>0.001957069761623241</x:v>
      </x:c>
      <x:c r="F634" s="33" t="n">
        <x:v>968</x:v>
      </x:c>
      <x:c r="G634" s="33" t="n">
        <x:v>239</x:v>
      </x:c>
      <x:c r="H634" s="26" t="n">
        <x:v>0.246900826446281</x:v>
      </x:c>
      <x:c r="I634" s="12" t="n">
        <x:v>1</x:v>
      </x:c>
      <x:c r="J634" s="12" t="n">
        <x:v>45</x:v>
      </x:c>
      <x:c r="K634" s="12"/>
      <x:c r="L634" s="12"/>
      <x:c r="M634" s="12" t="str">
        <x:f>IF(K634="", "", MAX(0,IF(K634&lt;=20,100,IF(K634&lt;=30,85,IF(K634&lt;=40,70,IF(K634&lt;=50,55,IF(K634&lt;=60,40,20)))))-MIN(L634*5,20)))</x:f>
      </x:c>
      <x:c r="N634" s="12"/>
      <x:c r="O634" s="12"/>
      <x:c r="P634" s="12" t="str">
        <x:f>IF(OR(H634="",J634="",M634=""),"",ROUND(PERCENTRANK.INC($H$2:$H$941,H634)*35+J634*0.35+M634*0.30,0))</x:f>
      </x:c>
      <x:c r="Q634" s="12" t="str">
        <x:f>IF(P634="","",IF(P634&gt;=80,"ATTACK",IF(P634&gt;=65,"GROW",IF(P634&gt;=50,"PARTNER","WATCH"))))</x:f>
      </x:c>
      <x:c r="R634" s="12" t="str">
        <x:f>IF(Q634="","",IF(Q634="ATTACK","Grassroots + family acquisition",IF(Q634="GROW","Test local campaign",IF(Q634="PARTNER","Organisation-first partnership","Low priority / validate"))))</x:f>
      </x:c>
      <x:c r="S634" s="45" t="n">
        <x:v>7.718026809686074</x:v>
      </x:c>
      <x:c r="T634" t="str">
        <x:v>NEAR</x:v>
      </x:c>
      <x:c r="U634" s="32" t="n">
        <x:f>PERCENTRANK.INC($G$2:$G$941,G634)</x:f>
        <x:v>0.699</x:v>
      </x:c>
      <x:c r="V634" s="32" t="n">
        <x:f>PERCENTRANK.INC($H$2:$H$941,H634)</x:f>
        <x:v>0.172</x:v>
      </x:c>
      <x:c r="W634" t="n">
        <x:f>ROUND((U634*55+V634*45)*IF(S634&lt;=5,1,IF(S634&lt;=10,0.95,IF(S634&lt;=20,0.85,0.70))),0)</x:f>
        <x:v>44</x:v>
      </x:c>
      <x:c r="X634" t="n">
        <x:v>45</x:v>
      </x:c>
      <x:c r="Y634" t="str">
        <x:v>WATCH</x:v>
      </x:c>
      <x:c r="Z634" s="12" t="str">
        <x:v>Family + verified grassroots + straight-line geo only; transport not yet routed</x:v>
      </x:c>
      <x:c r="AA634" s="12"/>
      <x:c r="AB634" s="12"/>
      <x:c r="AC634" s="12"/>
      <x:c r="AD634" s="12"/>
      <x:c r="AE634" t="str">
        <x:v>Charlton Athletic Women</x:v>
      </x:c>
      <x:c r="AF634" s="45" t="n">
        <x:v>3.798180027340974</x:v>
      </x:c>
      <x:c r="AG634" t="str">
        <x:v>Millwall Lionesses</x:v>
      </x:c>
      <x:c r="AH634" s="45" t="n">
        <x:v>5.935002990918914</x:v>
      </x:c>
      <x:c r="AI634" t="n">
        <x:v>85</x:v>
      </x:c>
      <x:c r="AJ634" t="str">
        <x:v>HIGH</x:v>
      </x:c>
    </x:row>
    <x:row r="635">
      <x:c r="A635" s="12" t="str">
        <x:v>E01003336</x:v>
      </x:c>
      <x:c r="B635" s="12" t="str">
        <x:v>Lewisham 010A</x:v>
      </x:c>
      <x:c r="C635" s="12" t="str">
        <x:v>Lewisham</x:v>
      </x:c>
      <x:c r="D635" s="44" t="n">
        <x:v>51.46020296982487</x:v>
      </x:c>
      <x:c r="E635" s="44" t="n">
        <x:v>-0.0430478603900963</x:v>
      </x:c>
      <x:c r="F635" s="33" t="n">
        <x:v>580</x:v>
      </x:c>
      <x:c r="G635" s="33" t="n">
        <x:v>210</x:v>
      </x:c>
      <x:c r="H635" s="26" t="n">
        <x:v>0.3620689655172414</x:v>
      </x:c>
      <x:c r="I635" s="12" t="n">
        <x:v>2</x:v>
      </x:c>
      <x:c r="J635" s="12" t="n">
        <x:v>51</x:v>
      </x:c>
      <x:c r="K635" s="12"/>
      <x:c r="L635" s="12"/>
      <x:c r="M635" s="12" t="str">
        <x:f>IF(K635="", "", MAX(0,IF(K635&lt;=20,100,IF(K635&lt;=30,85,IF(K635&lt;=40,70,IF(K635&lt;=50,55,IF(K635&lt;=60,40,20)))))-MIN(L635*5,20)))</x:f>
      </x:c>
      <x:c r="N635" s="12"/>
      <x:c r="O635" s="12"/>
      <x:c r="P635" s="12" t="str">
        <x:f>IF(OR(H635="",J635="",M635=""),"",ROUND(PERCENTRANK.INC($H$2:$H$941,H635)*35+J635*0.35+M635*0.30,0))</x:f>
      </x:c>
      <x:c r="Q635" s="12" t="str">
        <x:f>IF(P635="","",IF(P635&gt;=80,"ATTACK",IF(P635&gt;=65,"GROW",IF(P635&gt;=50,"PARTNER","WATCH"))))</x:f>
      </x:c>
      <x:c r="R635" s="12" t="str">
        <x:f>IF(Q635="","",IF(Q635="ATTACK","Grassroots + family acquisition",IF(Q635="GROW","Test local campaign",IF(Q635="PARTNER","Organisation-first partnership","Low priority / validate"))))</x:f>
      </x:c>
      <x:c r="S635" s="45" t="n">
        <x:v>8.774194161908154</x:v>
      </x:c>
      <x:c r="T635" t="str">
        <x:v>NEAR</x:v>
      </x:c>
      <x:c r="U635" s="32" t="n">
        <x:f>PERCENTRANK.INC($G$2:$G$941,G635)</x:f>
        <x:v>0.471</x:v>
      </x:c>
      <x:c r="V635" s="32" t="n">
        <x:f>PERCENTRANK.INC($H$2:$H$941,H635)</x:f>
        <x:v>0.748</x:v>
      </x:c>
      <x:c r="W635" t="n">
        <x:f>ROUND((U635*55+V635*45)*IF(S635&lt;=5,1,IF(S635&lt;=10,0.95,IF(S635&lt;=20,0.85,0.70))),0)</x:f>
        <x:v>57</x:v>
      </x:c>
      <x:c r="X635" t="n">
        <x:v>54</x:v>
      </x:c>
      <x:c r="Y635" t="str">
        <x:v>PARTNER</x:v>
      </x:c>
      <x:c r="Z635" s="12" t="str">
        <x:v>Family + verified grassroots + straight-line geo only; transport not yet routed</x:v>
      </x:c>
      <x:c r="AA635" s="12"/>
      <x:c r="AB635" s="12"/>
      <x:c r="AC635" s="12"/>
      <x:c r="AD635" s="12"/>
      <x:c r="AE635" t="str">
        <x:v>Charlton Athletic Women</x:v>
      </x:c>
      <x:c r="AF635" s="45" t="n">
        <x:v>6.210822311096171</x:v>
      </x:c>
      <x:c r="AG635" t="str">
        <x:v>Dulwich Hamlet Women</x:v>
      </x:c>
      <x:c r="AH635" s="45" t="n">
        <x:v>2.8385034118117605</x:v>
      </x:c>
      <x:c r="AI635" t="n">
        <x:v>78</x:v>
      </x:c>
      <x:c r="AJ635" t="str">
        <x:v>HIGH</x:v>
      </x:c>
    </x:row>
    <x:row r="636">
      <x:c r="A636" s="12" t="str">
        <x:v>E01003337</x:v>
      </x:c>
      <x:c r="B636" s="12" t="str">
        <x:v>Lewisham 010B</x:v>
      </x:c>
      <x:c r="C636" s="12" t="str">
        <x:v>Lewisham</x:v>
      </x:c>
      <x:c r="D636" s="44" t="n">
        <x:v>51.45756820429353</x:v>
      </x:c>
      <x:c r="E636" s="44" t="n">
        <x:v>-0.0430578132009091</x:v>
      </x:c>
      <x:c r="F636" s="33" t="n">
        <x:v>566</x:v>
      </x:c>
      <x:c r="G636" s="33" t="n">
        <x:v>215</x:v>
      </x:c>
      <x:c r="H636" s="26" t="n">
        <x:v>0.37985865724381623</x:v>
      </x:c>
      <x:c r="I636" s="12" t="n">
        <x:v>2</x:v>
      </x:c>
      <x:c r="J636" s="12" t="n">
        <x:v>51</x:v>
      </x:c>
      <x:c r="K636" s="12"/>
      <x:c r="L636" s="12"/>
      <x:c r="M636" s="12" t="str">
        <x:f>IF(K636="", "", MAX(0,IF(K636&lt;=20,100,IF(K636&lt;=30,85,IF(K636&lt;=40,70,IF(K636&lt;=50,55,IF(K636&lt;=60,40,20)))))-MIN(L636*5,20)))</x:f>
      </x:c>
      <x:c r="N636" s="12"/>
      <x:c r="O636" s="12"/>
      <x:c r="P636" s="12" t="str">
        <x:f>IF(OR(H636="",J636="",M636=""),"",ROUND(PERCENTRANK.INC($H$2:$H$941,H636)*35+J636*0.35+M636*0.30,0))</x:f>
      </x:c>
      <x:c r="Q636" s="12" t="str">
        <x:f>IF(P636="","",IF(P636&gt;=80,"ATTACK",IF(P636&gt;=65,"GROW",IF(P636&gt;=50,"PARTNER","WATCH"))))</x:f>
      </x:c>
      <x:c r="R636" s="12" t="str">
        <x:f>IF(Q636="","",IF(Q636="ATTACK","Grassroots + family acquisition",IF(Q636="GROW","Test local campaign",IF(Q636="PARTNER","Organisation-first partnership","Low priority / validate"))))</x:f>
      </x:c>
      <x:c r="S636" s="45" t="n">
        <x:v>8.518758199980107</x:v>
      </x:c>
      <x:c r="T636" t="str">
        <x:v>NEAR</x:v>
      </x:c>
      <x:c r="U636" s="32" t="n">
        <x:f>PERCENTRANK.INC($G$2:$G$941,G636)</x:f>
        <x:v>0.515</x:v>
      </x:c>
      <x:c r="V636" s="32" t="n">
        <x:f>PERCENTRANK.INC($H$2:$H$941,H636)</x:f>
        <x:v>0.826</x:v>
      </x:c>
      <x:c r="W636" t="n">
        <x:f>ROUND((U636*55+V636*45)*IF(S636&lt;=5,1,IF(S636&lt;=10,0.95,IF(S636&lt;=20,0.85,0.70))),0)</x:f>
        <x:v>62</x:v>
      </x:c>
      <x:c r="X636" t="n">
        <x:v>57</x:v>
      </x:c>
      <x:c r="Y636" t="str">
        <x:v>PARTNER</x:v>
      </x:c>
      <x:c r="Z636" s="12" t="str">
        <x:v>Family + verified grassroots + straight-line geo only; transport not yet routed</x:v>
      </x:c>
      <x:c r="AA636" s="12"/>
      <x:c r="AB636" s="12"/>
      <x:c r="AC636" s="12"/>
      <x:c r="AD636" s="12"/>
      <x:c r="AE636" t="str">
        <x:v>Charlton Athletic Women</x:v>
      </x:c>
      <x:c r="AF636" s="45" t="n">
        <x:v>6.354234562233449</x:v>
      </x:c>
      <x:c r="AG636" t="str">
        <x:v>Dulwich Hamlet Women</x:v>
      </x:c>
      <x:c r="AH636" s="45" t="n">
        <x:v>2.865705472885383</x:v>
      </x:c>
      <x:c r="AI636" t="n">
        <x:v>78</x:v>
      </x:c>
      <x:c r="AJ636" t="str">
        <x:v>HIGH</x:v>
      </x:c>
    </x:row>
    <x:row r="637">
      <x:c r="A637" s="12" t="str">
        <x:v>E01003342</x:v>
      </x:c>
      <x:c r="B637" s="12" t="str">
        <x:v>Lewisham 010C</x:v>
      </x:c>
      <x:c r="C637" s="12" t="str">
        <x:v>Lewisham</x:v>
      </x:c>
      <x:c r="D637" s="44" t="n">
        <x:v>51.46405851364182</x:v>
      </x:c>
      <x:c r="E637" s="44" t="n">
        <x:v>-0.04413205681549623</x:v>
      </x:c>
      <x:c r="F637" s="33" t="n">
        <x:v>696</x:v>
      </x:c>
      <x:c r="G637" s="33" t="n">
        <x:v>219</x:v>
      </x:c>
      <x:c r="H637" s="26" t="n">
        <x:v>0.3146551724137931</x:v>
      </x:c>
      <x:c r="I637" s="12" t="n">
        <x:v>2</x:v>
      </x:c>
      <x:c r="J637" s="12" t="n">
        <x:v>51</x:v>
      </x:c>
      <x:c r="K637" s="12"/>
      <x:c r="L637" s="12"/>
      <x:c r="M637" s="12" t="str">
        <x:f>IF(K637="", "", MAX(0,IF(K637&lt;=20,100,IF(K637&lt;=30,85,IF(K637&lt;=40,70,IF(K637&lt;=50,55,IF(K637&lt;=60,40,20)))))-MIN(L637*5,20)))</x:f>
      </x:c>
      <x:c r="N637" s="12"/>
      <x:c r="O637" s="12"/>
      <x:c r="P637" s="12" t="str">
        <x:f>IF(OR(H637="",J637="",M637=""),"",ROUND(PERCENTRANK.INC($H$2:$H$941,H637)*35+J637*0.35+M637*0.30,0))</x:f>
      </x:c>
      <x:c r="Q637" s="12" t="str">
        <x:f>IF(P637="","",IF(P637&gt;=80,"ATTACK",IF(P637&gt;=65,"GROW",IF(P637&gt;=50,"PARTNER","WATCH"))))</x:f>
      </x:c>
      <x:c r="R637" s="12" t="str">
        <x:f>IF(Q637="","",IF(Q637="ATTACK","Grassroots + family acquisition",IF(Q637="GROW","Test local campaign",IF(Q637="PARTNER","Organisation-first partnership","Low priority / validate"))))</x:f>
      </x:c>
      <x:c r="S637" s="45" t="n">
        <x:v>9.187340108046604</x:v>
      </x:c>
      <x:c r="T637" t="str">
        <x:v>NEAR</x:v>
      </x:c>
      <x:c r="U637" s="32" t="n">
        <x:f>PERCENTRANK.INC($G$2:$G$941,G637)</x:f>
        <x:v>0.544</x:v>
      </x:c>
      <x:c r="V637" s="32" t="n">
        <x:f>PERCENTRANK.INC($H$2:$H$941,H637)</x:f>
        <x:v>0.482</x:v>
      </x:c>
      <x:c r="W637" t="n">
        <x:f>ROUND((U637*55+V637*45)*IF(S637&lt;=5,1,IF(S637&lt;=10,0.95,IF(S637&lt;=20,0.85,0.70))),0)</x:f>
        <x:v>49</x:v>
      </x:c>
      <x:c r="X637" t="n">
        <x:v>50</x:v>
      </x:c>
      <x:c r="Y637" t="str">
        <x:v>PARTNER</x:v>
      </x:c>
      <x:c r="Z637" s="12" t="str">
        <x:v>Family + verified grassroots + straight-line geo only; transport not yet routed</x:v>
      </x:c>
      <x:c r="AA637" s="12"/>
      <x:c r="AB637" s="12"/>
      <x:c r="AC637" s="12"/>
      <x:c r="AD637" s="12"/>
      <x:c r="AE637" t="str">
        <x:v>Charlton Athletic Women</x:v>
      </x:c>
      <x:c r="AF637" s="45" t="n">
        <x:v>6.089931298594683</x:v>
      </x:c>
      <x:c r="AG637" t="str">
        <x:v>Dulwich Hamlet Women</x:v>
      </x:c>
      <x:c r="AH637" s="45" t="n">
        <x:v>2.7772986516140103</x:v>
      </x:c>
      <x:c r="AI637" t="n">
        <x:v>78</x:v>
      </x:c>
      <x:c r="AJ637" t="str">
        <x:v>HIGH</x:v>
      </x:c>
    </x:row>
    <x:row r="638">
      <x:c r="A638" s="12" t="str">
        <x:v>E01003344</x:v>
      </x:c>
      <x:c r="B638" s="12" t="str">
        <x:v>Lewisham 010D</x:v>
      </x:c>
      <x:c r="C638" s="12" t="str">
        <x:v>Lewisham</x:v>
      </x:c>
      <x:c r="D638" s="44" t="n">
        <x:v>51.46789061840755</x:v>
      </x:c>
      <x:c r="E638" s="44" t="n">
        <x:v>-0.04046094415423458</x:v>
      </x:c>
      <x:c r="F638" s="33" t="n">
        <x:v>677</x:v>
      </x:c>
      <x:c r="G638" s="33" t="n">
        <x:v>187</x:v>
      </x:c>
      <x:c r="H638" s="26" t="n">
        <x:v>0.276218611521418</x:v>
      </x:c>
      <x:c r="I638" s="12" t="n">
        <x:v>2</x:v>
      </x:c>
      <x:c r="J638" s="12" t="n">
        <x:v>43</x:v>
      </x:c>
      <x:c r="K638" s="12"/>
      <x:c r="L638" s="12"/>
      <x:c r="M638" s="12" t="str">
        <x:f>IF(K638="", "", MAX(0,IF(K638&lt;=20,100,IF(K638&lt;=30,85,IF(K638&lt;=40,70,IF(K638&lt;=50,55,IF(K638&lt;=60,40,20)))))-MIN(L638*5,20)))</x:f>
      </x:c>
      <x:c r="N638" s="12"/>
      <x:c r="O638" s="12"/>
      <x:c r="P638" s="12" t="str">
        <x:f>IF(OR(H638="",J638="",M638=""),"",ROUND(PERCENTRANK.INC($H$2:$H$941,H638)*35+J638*0.35+M638*0.30,0))</x:f>
      </x:c>
      <x:c r="Q638" s="12" t="str">
        <x:f>IF(P638="","",IF(P638&gt;=80,"ATTACK",IF(P638&gt;=65,"GROW",IF(P638&gt;=50,"PARTNER","WATCH"))))</x:f>
      </x:c>
      <x:c r="R638" s="12" t="str">
        <x:f>IF(Q638="","",IF(Q638="ATTACK","Grassroots + family acquisition",IF(Q638="GROW","Test local campaign",IF(Q638="PARTNER","Organisation-first partnership","Low priority / validate"))))</x:f>
      </x:c>
      <x:c r="S638" s="45" t="n">
        <x:v>9.45486253119102</x:v>
      </x:c>
      <x:c r="T638" t="str">
        <x:v>NEAR</x:v>
      </x:c>
      <x:c r="U638" s="32" t="n">
        <x:f>PERCENTRANK.INC($G$2:$G$941,G638)</x:f>
        <x:v>0.29</x:v>
      </x:c>
      <x:c r="V638" s="32" t="n">
        <x:f>PERCENTRANK.INC($H$2:$H$941,H638)</x:f>
        <x:v>0.277</x:v>
      </x:c>
      <x:c r="W638" t="n">
        <x:f>ROUND((U638*55+V638*45)*IF(S638&lt;=5,1,IF(S638&lt;=10,0.95,IF(S638&lt;=20,0.85,0.70))),0)</x:f>
        <x:v>27</x:v>
      </x:c>
      <x:c r="X638" t="n">
        <x:v>35</x:v>
      </x:c>
      <x:c r="Y638" t="str">
        <x:v>WATCH</x:v>
      </x:c>
      <x:c r="Z638" s="12" t="str">
        <x:v>Family + verified grassroots + straight-line geo only; transport not yet routed</x:v>
      </x:c>
      <x:c r="AA638" s="12"/>
      <x:c r="AB638" s="12"/>
      <x:c r="AC638" s="12"/>
      <x:c r="AD638" s="12"/>
      <x:c r="AE638" t="str">
        <x:v>Charlton Athletic Women</x:v>
      </x:c>
      <x:c r="AF638" s="45" t="n">
        <x:v>5.6909193977551675</x:v>
      </x:c>
      <x:c r="AG638" t="str">
        <x:v>Dulwich Hamlet Women</x:v>
      </x:c>
      <x:c r="AH638" s="45" t="n">
        <x:v>3.102021751642139</x:v>
      </x:c>
      <x:c r="AI638" t="n">
        <x:v>85</x:v>
      </x:c>
      <x:c r="AJ638" t="str">
        <x:v>HIGH</x:v>
      </x:c>
    </x:row>
    <x:row r="639">
      <x:c r="A639" s="12" t="str">
        <x:v>E01003345</x:v>
      </x:c>
      <x:c r="B639" s="12" t="str">
        <x:v>Lewisham 010E</x:v>
      </x:c>
      <x:c r="C639" s="12" t="str">
        <x:v>Lewisham</x:v>
      </x:c>
      <x:c r="D639" s="44" t="n">
        <x:v>51.46394552122878</x:v>
      </x:c>
      <x:c r="E639" s="44" t="n">
        <x:v>-0.040129440537992146</x:v>
      </x:c>
      <x:c r="F639" s="33" t="n">
        <x:v>783</x:v>
      </x:c>
      <x:c r="G639" s="33" t="n">
        <x:v>249</x:v>
      </x:c>
      <x:c r="H639" s="26" t="n">
        <x:v>0.31800766283524906</x:v>
      </x:c>
      <x:c r="I639" s="12" t="n">
        <x:v>2</x:v>
      </x:c>
      <x:c r="J639" s="12" t="n">
        <x:v>43</x:v>
      </x:c>
      <x:c r="K639" s="12"/>
      <x:c r="L639" s="12"/>
      <x:c r="M639" s="12" t="str">
        <x:f>IF(K639="", "", MAX(0,IF(K639&lt;=20,100,IF(K639&lt;=30,85,IF(K639&lt;=40,70,IF(K639&lt;=50,55,IF(K639&lt;=60,40,20)))))-MIN(L639*5,20)))</x:f>
      </x:c>
      <x:c r="N639" s="12"/>
      <x:c r="O639" s="12"/>
      <x:c r="P639" s="12" t="str">
        <x:f>IF(OR(H639="",J639="",M639=""),"",ROUND(PERCENTRANK.INC($H$2:$H$941,H639)*35+J639*0.35+M639*0.30,0))</x:f>
      </x:c>
      <x:c r="Q639" s="12" t="str">
        <x:f>IF(P639="","",IF(P639&gt;=80,"ATTACK",IF(P639&gt;=65,"GROW",IF(P639&gt;=50,"PARTNER","WATCH"))))</x:f>
      </x:c>
      <x:c r="R639" s="12" t="str">
        <x:f>IF(Q639="","",IF(Q639="ATTACK","Grassroots + family acquisition",IF(Q639="GROW","Test local campaign",IF(Q639="PARTNER","Organisation-first partnership","Low priority / validate"))))</x:f>
      </x:c>
      <x:c r="S639" s="45" t="n">
        <x:v>9.049896372277908</x:v>
      </x:c>
      <x:c r="T639" t="str">
        <x:v>NEAR</x:v>
      </x:c>
      <x:c r="U639" s="32" t="n">
        <x:f>PERCENTRANK.INC($G$2:$G$941,G639)</x:f>
        <x:v>0.766</x:v>
      </x:c>
      <x:c r="V639" s="32" t="n">
        <x:f>PERCENTRANK.INC($H$2:$H$941,H639)</x:f>
        <x:v>0.501</x:v>
      </x:c>
      <x:c r="W639" t="n">
        <x:f>ROUND((U639*55+V639*45)*IF(S639&lt;=5,1,IF(S639&lt;=10,0.95,IF(S639&lt;=20,0.85,0.70))),0)</x:f>
        <x:v>61</x:v>
      </x:c>
      <x:c r="X639" t="n">
        <x:v>54</x:v>
      </x:c>
      <x:c r="Y639" t="str">
        <x:v>PARTNER</x:v>
      </x:c>
      <x:c r="Z639" s="12" t="str">
        <x:v>Family + verified grassroots + straight-line geo only; transport not yet routed</x:v>
      </x:c>
      <x:c r="AA639" s="12"/>
      <x:c r="AB639" s="12"/>
      <x:c r="AC639" s="12"/>
      <x:c r="AD639" s="12"/>
      <x:c r="AE639" t="str">
        <x:v>Charlton Athletic Women</x:v>
      </x:c>
      <x:c r="AF639" s="45" t="n">
        <x:v>5.843290202511173</x:v>
      </x:c>
      <x:c r="AG639" t="str">
        <x:v>Dulwich Hamlet Women</x:v>
      </x:c>
      <x:c r="AH639" s="45" t="n">
        <x:v>3.0518446053110946</x:v>
      </x:c>
      <x:c r="AI639" t="n">
        <x:v>85</x:v>
      </x:c>
      <x:c r="AJ639" t="str">
        <x:v>HIGH</x:v>
      </x:c>
    </x:row>
    <x:row r="640">
      <x:c r="A640" s="12" t="str">
        <x:v>E01003273</x:v>
      </x:c>
      <x:c r="B640" s="12" t="str">
        <x:v>Lewisham 011A</x:v>
      </x:c>
      <x:c r="C640" s="12" t="str">
        <x:v>Lewisham</x:v>
      </x:c>
      <x:c r="D640" s="44" t="n">
        <x:v>51.46227280256512</x:v>
      </x:c>
      <x:c r="E640" s="44" t="n">
        <x:v>-0.020355753703937274</x:v>
      </x:c>
      <x:c r="F640" s="33" t="n">
        <x:v>580</x:v>
      </x:c>
      <x:c r="G640" s="33" t="n">
        <x:v>181</x:v>
      </x:c>
      <x:c r="H640" s="26" t="n">
        <x:v>0.3120689655172414</x:v>
      </x:c>
      <x:c r="I640" s="12" t="n">
        <x:v>2</x:v>
      </x:c>
      <x:c r="J640" s="12" t="n">
        <x:v>36</x:v>
      </x:c>
      <x:c r="K640" s="12"/>
      <x:c r="L640" s="12"/>
      <x:c r="M640" s="12" t="str">
        <x:f>IF(K640="", "", MAX(0,IF(K640&lt;=20,100,IF(K640&lt;=30,85,IF(K640&lt;=40,70,IF(K640&lt;=50,55,IF(K640&lt;=60,40,20)))))-MIN(L640*5,20)))</x:f>
      </x:c>
      <x:c r="N640" s="12"/>
      <x:c r="O640" s="12"/>
      <x:c r="P640" s="12" t="str">
        <x:f>IF(OR(H640="",J640="",M640=""),"",ROUND(PERCENTRANK.INC($H$2:$H$941,H640)*35+J640*0.35+M640*0.30,0))</x:f>
      </x:c>
      <x:c r="Q640" s="12" t="str">
        <x:f>IF(P640="","",IF(P640&gt;=80,"ATTACK",IF(P640&gt;=65,"GROW",IF(P640&gt;=50,"PARTNER","WATCH"))))</x:f>
      </x:c>
      <x:c r="R640" s="12" t="str">
        <x:f>IF(Q640="","",IF(Q640="ATTACK","Grassroots + family acquisition",IF(Q640="GROW","Test local campaign",IF(Q640="PARTNER","Organisation-first partnership","Low priority / validate"))))</x:f>
      </x:c>
      <x:c r="S640" s="45" t="n">
        <x:v>8.354758403717359</x:v>
      </x:c>
      <x:c r="T640" t="str">
        <x:v>NEAR</x:v>
      </x:c>
      <x:c r="U640" s="32" t="n">
        <x:f>PERCENTRANK.INC($G$2:$G$941,G640)</x:f>
        <x:v>0.23</x:v>
      </x:c>
      <x:c r="V640" s="32" t="n">
        <x:f>PERCENTRANK.INC($H$2:$H$941,H640)</x:f>
        <x:v>0.463</x:v>
      </x:c>
      <x:c r="W640" t="n">
        <x:f>ROUND((U640*55+V640*45)*IF(S640&lt;=5,1,IF(S640&lt;=10,0.95,IF(S640&lt;=20,0.85,0.70))),0)</x:f>
        <x:v>32</x:v>
      </x:c>
      <x:c r="X640" t="n">
        <x:v>34</x:v>
      </x:c>
      <x:c r="Y640" t="str">
        <x:v>WATCH</x:v>
      </x:c>
      <x:c r="Z640" s="12" t="str">
        <x:v>Family + verified grassroots + straight-line geo only; transport not yet routed</x:v>
      </x:c>
      <x:c r="AA640" s="12"/>
      <x:c r="AB640" s="12"/>
      <x:c r="AC640" s="12"/>
      <x:c r="AD640" s="12"/>
      <x:c r="AE640" t="str">
        <x:v>Charlton Athletic Women</x:v>
      </x:c>
      <x:c r="AF640" s="45" t="n">
        <x:v>4.744841556722309</x:v>
      </x:c>
      <x:c r="AG640" t="str">
        <x:v>Dulwich Hamlet Women</x:v>
      </x:c>
      <x:c r="AH640" s="45" t="n">
        <x:v>4.409070023206502</x:v>
      </x:c>
      <x:c r="AI640" t="n">
        <x:v>85</x:v>
      </x:c>
      <x:c r="AJ640" t="str">
        <x:v>HIGH</x:v>
      </x:c>
    </x:row>
    <x:row r="641">
      <x:c r="A641" s="12" t="str">
        <x:v>E01003277</x:v>
      </x:c>
      <x:c r="B641" s="12" t="str">
        <x:v>Lewisham 011B</x:v>
      </x:c>
      <x:c r="C641" s="12" t="str">
        <x:v>Lewisham</x:v>
      </x:c>
      <x:c r="D641" s="44" t="n">
        <x:v>51.464004498280445</x:v>
      </x:c>
      <x:c r="E641" s="44" t="n">
        <x:v>-0.024671756273768587</x:v>
      </x:c>
      <x:c r="F641" s="33" t="n">
        <x:v>758</x:v>
      </x:c>
      <x:c r="G641" s="33" t="n">
        <x:v>164</x:v>
      </x:c>
      <x:c r="H641" s="26" t="n">
        <x:v>0.21635883905013192</x:v>
      </x:c>
      <x:c r="I641" s="12" t="n">
        <x:v>2</x:v>
      </x:c>
      <x:c r="J641" s="12" t="n">
        <x:v>36</x:v>
      </x:c>
      <x:c r="K641" s="12"/>
      <x:c r="L641" s="12"/>
      <x:c r="M641" s="12" t="str">
        <x:f>IF(K641="", "", MAX(0,IF(K641&lt;=20,100,IF(K641&lt;=30,85,IF(K641&lt;=40,70,IF(K641&lt;=50,55,IF(K641&lt;=60,40,20)))))-MIN(L641*5,20)))</x:f>
      </x:c>
      <x:c r="N641" s="12"/>
      <x:c r="O641" s="12"/>
      <x:c r="P641" s="12" t="str">
        <x:f>IF(OR(H641="",J641="",M641=""),"",ROUND(PERCENTRANK.INC($H$2:$H$941,H641)*35+J641*0.35+M641*0.30,0))</x:f>
      </x:c>
      <x:c r="Q641" s="12" t="str">
        <x:f>IF(P641="","",IF(P641&gt;=80,"ATTACK",IF(P641&gt;=65,"GROW",IF(P641&gt;=50,"PARTNER","WATCH"))))</x:f>
      </x:c>
      <x:c r="R641" s="12" t="str">
        <x:f>IF(Q641="","",IF(Q641="ATTACK","Grassroots + family acquisition",IF(Q641="GROW","Test local campaign",IF(Q641="PARTNER","Organisation-first partnership","Low priority / validate"))))</x:f>
      </x:c>
      <x:c r="S641" s="45" t="n">
        <x:v>8.634843655064563</x:v>
      </x:c>
      <x:c r="T641" t="str">
        <x:v>NEAR</x:v>
      </x:c>
      <x:c r="U641" s="32" t="n">
        <x:f>PERCENTRANK.INC($G$2:$G$941,G641)</x:f>
        <x:v>0.139</x:v>
      </x:c>
      <x:c r="V641" s="32" t="n">
        <x:f>PERCENTRANK.INC($H$2:$H$941,H641)</x:f>
        <x:v>0.093</x:v>
      </x:c>
      <x:c r="W641" t="n">
        <x:f>ROUND((U641*55+V641*45)*IF(S641&lt;=5,1,IF(S641&lt;=10,0.95,IF(S641&lt;=20,0.85,0.70))),0)</x:f>
        <x:v>11</x:v>
      </x:c>
      <x:c r="X641" t="n">
        <x:v>23</x:v>
      </x:c>
      <x:c r="Y641" t="str">
        <x:v>WATCH</x:v>
      </x:c>
      <x:c r="Z641" s="12" t="str">
        <x:v>Family + verified grassroots + straight-line geo only; transport not yet routed</x:v>
      </x:c>
      <x:c r="AA641" s="12"/>
      <x:c r="AB641" s="12"/>
      <x:c r="AC641" s="12"/>
      <x:c r="AD641" s="12"/>
      <x:c r="AE641" t="str">
        <x:v>Charlton Athletic Women</x:v>
      </x:c>
      <x:c r="AF641" s="45" t="n">
        <x:v>4.893445673043204</x:v>
      </x:c>
      <x:c r="AG641" t="str">
        <x:v>Dulwich Hamlet Women</x:v>
      </x:c>
      <x:c r="AH641" s="45" t="n">
        <x:v>4.119541523673099</x:v>
      </x:c>
      <x:c r="AI641" t="n">
        <x:v>85</x:v>
      </x:c>
      <x:c r="AJ641" t="str">
        <x:v>HIGH</x:v>
      </x:c>
    </x:row>
    <x:row r="642">
      <x:c r="A642" s="12" t="str">
        <x:v>E01003278</x:v>
      </x:c>
      <x:c r="B642" s="12" t="str">
        <x:v>Lewisham 011C</x:v>
      </x:c>
      <x:c r="C642" s="12" t="str">
        <x:v>Lewisham</x:v>
      </x:c>
      <x:c r="D642" s="44" t="n">
        <x:v>51.4654610175023</x:v>
      </x:c>
      <x:c r="E642" s="44" t="n">
        <x:v>-0.019897566245634084</x:v>
      </x:c>
      <x:c r="F642" s="33" t="n">
        <x:v>883</x:v>
      </x:c>
      <x:c r="G642" s="33" t="n">
        <x:v>229</x:v>
      </x:c>
      <x:c r="H642" s="26" t="n">
        <x:v>0.25934314835787087</x:v>
      </x:c>
      <x:c r="I642" s="12" t="n">
        <x:v>2</x:v>
      </x:c>
      <x:c r="J642" s="12" t="n">
        <x:v>36</x:v>
      </x:c>
      <x:c r="K642" s="12"/>
      <x:c r="L642" s="12"/>
      <x:c r="M642" s="12" t="str">
        <x:f>IF(K642="", "", MAX(0,IF(K642&lt;=20,100,IF(K642&lt;=30,85,IF(K642&lt;=40,70,IF(K642&lt;=50,55,IF(K642&lt;=60,40,20)))))-MIN(L642*5,20)))</x:f>
      </x:c>
      <x:c r="N642" s="12"/>
      <x:c r="O642" s="12"/>
      <x:c r="P642" s="12" t="str">
        <x:f>IF(OR(H642="",J642="",M642=""),"",ROUND(PERCENTRANK.INC($H$2:$H$941,H642)*35+J642*0.35+M642*0.30,0))</x:f>
      </x:c>
      <x:c r="Q642" s="12" t="str">
        <x:f>IF(P642="","",IF(P642&gt;=80,"ATTACK",IF(P642&gt;=65,"GROW",IF(P642&gt;=50,"PARTNER","WATCH"))))</x:f>
      </x:c>
      <x:c r="R642" s="12" t="str">
        <x:f>IF(Q642="","",IF(Q642="ATTACK","Grassroots + family acquisition",IF(Q642="GROW","Test local campaign",IF(Q642="PARTNER","Organisation-first partnership","Low priority / validate"))))</x:f>
      </x:c>
      <x:c r="S642" s="45" t="n">
        <x:v>8.682221014384991</x:v>
      </x:c>
      <x:c r="T642" t="str">
        <x:v>NEAR</x:v>
      </x:c>
      <x:c r="U642" s="32" t="n">
        <x:f>PERCENTRANK.INC($G$2:$G$941,G642)</x:f>
        <x:v>0.627</x:v>
      </x:c>
      <x:c r="V642" s="32" t="n">
        <x:f>PERCENTRANK.INC($H$2:$H$941,H642)</x:f>
        <x:v>0.215</x:v>
      </x:c>
      <x:c r="W642" t="n">
        <x:f>ROUND((U642*55+V642*45)*IF(S642&lt;=5,1,IF(S642&lt;=10,0.95,IF(S642&lt;=20,0.85,0.70))),0)</x:f>
        <x:v>42</x:v>
      </x:c>
      <x:c r="X642" t="n">
        <x:v>39</x:v>
      </x:c>
      <x:c r="Y642" t="str">
        <x:v>WATCH</x:v>
      </x:c>
      <x:c r="Z642" s="12" t="str">
        <x:v>Family + verified grassroots + straight-line geo only; transport not yet routed</x:v>
      </x:c>
      <x:c r="AA642" s="12"/>
      <x:c r="AB642" s="12"/>
      <x:c r="AC642" s="12"/>
      <x:c r="AD642" s="12"/>
      <x:c r="AE642" t="str">
        <x:v>Charlton Athletic Women</x:v>
      </x:c>
      <x:c r="AF642" s="45" t="n">
        <x:v>4.526430532456852</x:v>
      </x:c>
      <x:c r="AG642" t="str">
        <x:v>Dulwich Hamlet Women</x:v>
      </x:c>
      <x:c r="AH642" s="45" t="n">
        <x:v>4.46320043281266</x:v>
      </x:c>
      <x:c r="AI642" t="n">
        <x:v>85</x:v>
      </x:c>
      <x:c r="AJ642" t="str">
        <x:v>HIGH</x:v>
      </x:c>
    </x:row>
    <x:row r="643">
      <x:c r="A643" s="12" t="str">
        <x:v>E01003279</x:v>
      </x:c>
      <x:c r="B643" s="12" t="str">
        <x:v>Lewisham 011D</x:v>
      </x:c>
      <x:c r="C643" s="12" t="str">
        <x:v>Lewisham</x:v>
      </x:c>
      <x:c r="D643" s="44" t="n">
        <x:v>51.459570423288405</x:v>
      </x:c>
      <x:c r="E643" s="44" t="n">
        <x:v>-0.019063857682642998</x:v>
      </x:c>
      <x:c r="F643" s="33" t="n">
        <x:v>602</x:v>
      </x:c>
      <x:c r="G643" s="33" t="n">
        <x:v>184</x:v>
      </x:c>
      <x:c r="H643" s="26" t="n">
        <x:v>0.30564784053156147</x:v>
      </x:c>
      <x:c r="I643" s="12" t="n">
        <x:v>2</x:v>
      </x:c>
      <x:c r="J643" s="12" t="n">
        <x:v>43</x:v>
      </x:c>
      <x:c r="K643" s="12"/>
      <x:c r="L643" s="12"/>
      <x:c r="M643" s="12" t="str">
        <x:f>IF(K643="", "", MAX(0,IF(K643&lt;=20,100,IF(K643&lt;=30,85,IF(K643&lt;=40,70,IF(K643&lt;=50,55,IF(K643&lt;=60,40,20)))))-MIN(L643*5,20)))</x:f>
      </x:c>
      <x:c r="N643" s="12"/>
      <x:c r="O643" s="12"/>
      <x:c r="P643" s="12" t="str">
        <x:f>IF(OR(H643="",J643="",M643=""),"",ROUND(PERCENTRANK.INC($H$2:$H$941,H643)*35+J643*0.35+M643*0.30,0))</x:f>
      </x:c>
      <x:c r="Q643" s="12" t="str">
        <x:f>IF(P643="","",IF(P643&gt;=80,"ATTACK",IF(P643&gt;=65,"GROW",IF(P643&gt;=50,"PARTNER","WATCH"))))</x:f>
      </x:c>
      <x:c r="R643" s="12" t="str">
        <x:f>IF(Q643="","",IF(Q643="ATTACK","Grassroots + family acquisition",IF(Q643="GROW","Test local campaign",IF(Q643="PARTNER","Organisation-first partnership","Low priority / validate"))))</x:f>
      </x:c>
      <x:c r="S643" s="45" t="n">
        <x:v>8.041389433621548</x:v>
      </x:c>
      <x:c r="T643" t="str">
        <x:v>NEAR</x:v>
      </x:c>
      <x:c r="U643" s="32" t="n">
        <x:f>PERCENTRANK.INC($G$2:$G$941,G643)</x:f>
        <x:v>0.256</x:v>
      </x:c>
      <x:c r="V643" s="32" t="n">
        <x:f>PERCENTRANK.INC($H$2:$H$941,H643)</x:f>
        <x:v>0.423</x:v>
      </x:c>
      <x:c r="W643" t="n">
        <x:f>ROUND((U643*55+V643*45)*IF(S643&lt;=5,1,IF(S643&lt;=10,0.95,IF(S643&lt;=20,0.85,0.70))),0)</x:f>
        <x:v>31</x:v>
      </x:c>
      <x:c r="X643" t="n">
        <x:v>37</x:v>
      </x:c>
      <x:c r="Y643" t="str">
        <x:v>WATCH</x:v>
      </x:c>
      <x:c r="Z643" s="12" t="str">
        <x:v>Family + verified grassroots + straight-line geo only; transport not yet routed</x:v>
      </x:c>
      <x:c r="AA643" s="12"/>
      <x:c r="AB643" s="12"/>
      <x:c r="AC643" s="12"/>
      <x:c r="AD643" s="12"/>
      <x:c r="AE643" t="str">
        <x:v>Charlton Athletic Women</x:v>
      </x:c>
      <x:c r="AF643" s="45" t="n">
        <x:v>4.850224657417544</x:v>
      </x:c>
      <x:c r="AG643" t="str">
        <x:v>Dulwich Hamlet Women</x:v>
      </x:c>
      <x:c r="AH643" s="45" t="n">
        <x:v>4.501636490713054</x:v>
      </x:c>
      <x:c r="AI643" t="n">
        <x:v>85</x:v>
      </x:c>
      <x:c r="AJ643" t="str">
        <x:v>HIGH</x:v>
      </x:c>
    </x:row>
    <x:row r="644">
      <x:c r="A644" s="12" t="str">
        <x:v>E01003282</x:v>
      </x:c>
      <x:c r="B644" s="12" t="str">
        <x:v>Lewisham 013A</x:v>
      </x:c>
      <x:c r="C644" s="12" t="str">
        <x:v>Lewisham</x:v>
      </x:c>
      <x:c r="D644" s="44" t="n">
        <x:v>51.45703385318085</x:v>
      </x:c>
      <x:c r="E644" s="44" t="n">
        <x:v>-0.0036802236715208023</x:v>
      </x:c>
      <x:c r="F644" s="33" t="n">
        <x:v>1020</x:v>
      </x:c>
      <x:c r="G644" s="33" t="n">
        <x:v>245</x:v>
      </x:c>
      <x:c r="H644" s="26" t="n">
        <x:v>0.24019607843137256</x:v>
      </x:c>
      <x:c r="I644" s="12" t="n">
        <x:v>2</x:v>
      </x:c>
      <x:c r="J644" s="12" t="n">
        <x:v>53</x:v>
      </x:c>
      <x:c r="K644" s="12"/>
      <x:c r="L644" s="12"/>
      <x:c r="M644" s="12" t="str">
        <x:f>IF(K644="", "", MAX(0,IF(K644&lt;=20,100,IF(K644&lt;=30,85,IF(K644&lt;=40,70,IF(K644&lt;=50,55,IF(K644&lt;=60,40,20)))))-MIN(L644*5,20)))</x:f>
      </x:c>
      <x:c r="N644" s="12"/>
      <x:c r="O644" s="12"/>
      <x:c r="P644" s="12" t="str">
        <x:f>IF(OR(H644="",J644="",M644=""),"",ROUND(PERCENTRANK.INC($H$2:$H$941,H644)*35+J644*0.35+M644*0.30,0))</x:f>
      </x:c>
      <x:c r="Q644" s="12" t="str">
        <x:f>IF(P644="","",IF(P644&gt;=80,"ATTACK",IF(P644&gt;=65,"GROW",IF(P644&gt;=50,"PARTNER","WATCH"))))</x:f>
      </x:c>
      <x:c r="R644" s="12" t="str">
        <x:f>IF(Q644="","",IF(Q644="ATTACK","Grassroots + family acquisition",IF(Q644="GROW","Test local campaign",IF(Q644="PARTNER","Organisation-first partnership","Low priority / validate"))))</x:f>
      </x:c>
      <x:c r="S644" s="45" t="n">
        <x:v>7.4926699385224005</x:v>
      </x:c>
      <x:c r="T644" t="str">
        <x:v>NEAR</x:v>
      </x:c>
      <x:c r="U644" s="32" t="n">
        <x:f>PERCENTRANK.INC($G$2:$G$941,G644)</x:f>
        <x:v>0.742</x:v>
      </x:c>
      <x:c r="V644" s="32" t="n">
        <x:f>PERCENTRANK.INC($H$2:$H$941,H644)</x:f>
        <x:v>0.155</x:v>
      </x:c>
      <x:c r="W644" t="n">
        <x:f>ROUND((U644*55+V644*45)*IF(S644&lt;=5,1,IF(S644&lt;=10,0.95,IF(S644&lt;=20,0.85,0.70))),0)</x:f>
        <x:v>45</x:v>
      </x:c>
      <x:c r="X644" t="n">
        <x:v>49</x:v>
      </x:c>
      <x:c r="Y644" t="str">
        <x:v>WATCH</x:v>
      </x:c>
      <x:c r="Z644" s="12" t="str">
        <x:v>Family + verified grassroots + straight-line geo only; transport not yet routed</x:v>
      </x:c>
      <x:c r="AA644" s="12"/>
      <x:c r="AB644" s="12"/>
      <x:c r="AC644" s="12"/>
      <x:c r="AD644" s="12"/>
      <x:c r="AE644" t="str">
        <x:v>Charlton Athletic Women</x:v>
      </x:c>
      <x:c r="AF644" s="45" t="n">
        <x:v>4.274753896024497</x:v>
      </x:c>
      <x:c r="AG644" t="str">
        <x:v>Dulwich Hamlet Women</x:v>
      </x:c>
      <x:c r="AH644" s="45" t="n">
        <x:v>5.583750120132444</x:v>
      </x:c>
      <x:c r="AI644" t="n">
        <x:v>85</x:v>
      </x:c>
      <x:c r="AJ644" t="str">
        <x:v>HIGH</x:v>
      </x:c>
    </x:row>
    <x:row r="645">
      <x:c r="A645" s="12" t="str">
        <x:v>E01003283</x:v>
      </x:c>
      <x:c r="B645" s="12" t="str">
        <x:v>Lewisham 013B</x:v>
      </x:c>
      <x:c r="C645" s="12" t="str">
        <x:v>Lewisham</x:v>
      </x:c>
      <x:c r="D645" s="44" t="n">
        <x:v>51.45632356931115</x:v>
      </x:c>
      <x:c r="E645" s="44" t="n">
        <x:v>0.00557600060215996</x:v>
      </x:c>
      <x:c r="F645" s="33" t="n">
        <x:v>869</x:v>
      </x:c>
      <x:c r="G645" s="33" t="n">
        <x:v>303</x:v>
      </x:c>
      <x:c r="H645" s="26" t="n">
        <x:v>0.3486766398158803</x:v>
      </x:c>
      <x:c r="I645" s="12" t="n">
        <x:v>1</x:v>
      </x:c>
      <x:c r="J645" s="12" t="n">
        <x:v>53</x:v>
      </x:c>
      <x:c r="K645" s="12"/>
      <x:c r="L645" s="12"/>
      <x:c r="M645" s="12" t="str">
        <x:f>IF(K645="", "", MAX(0,IF(K645&lt;=20,100,IF(K645&lt;=30,85,IF(K645&lt;=40,70,IF(K645&lt;=50,55,IF(K645&lt;=60,40,20)))))-MIN(L645*5,20)))</x:f>
      </x:c>
      <x:c r="N645" s="12"/>
      <x:c r="O645" s="12"/>
      <x:c r="P645" s="12" t="str">
        <x:f>IF(OR(H645="",J645="",M645=""),"",ROUND(PERCENTRANK.INC($H$2:$H$941,H645)*35+J645*0.35+M645*0.30,0))</x:f>
      </x:c>
      <x:c r="Q645" s="12" t="str">
        <x:f>IF(P645="","",IF(P645&gt;=80,"ATTACK",IF(P645&gt;=65,"GROW",IF(P645&gt;=50,"PARTNER","WATCH"))))</x:f>
      </x:c>
      <x:c r="R645" s="12" t="str">
        <x:f>IF(Q645="","",IF(Q645="ATTACK","Grassroots + family acquisition",IF(Q645="GROW","Test local campaign",IF(Q645="PARTNER","Organisation-first partnership","Low priority / validate"))))</x:f>
      </x:c>
      <x:c r="S645" s="45" t="n">
        <x:v>7.31398879655419</x:v>
      </x:c>
      <x:c r="T645" t="str">
        <x:v>NEAR</x:v>
      </x:c>
      <x:c r="U645" s="32" t="n">
        <x:f>PERCENTRANK.INC($G$2:$G$941,G645)</x:f>
        <x:v>0.943</x:v>
      </x:c>
      <x:c r="V645" s="32" t="n">
        <x:f>PERCENTRANK.INC($H$2:$H$941,H645)</x:f>
        <x:v>0.678</x:v>
      </x:c>
      <x:c r="W645" t="n">
        <x:f>ROUND((U645*55+V645*45)*IF(S645&lt;=5,1,IF(S645&lt;=10,0.95,IF(S645&lt;=20,0.85,0.70))),0)</x:f>
        <x:v>78</x:v>
      </x:c>
      <x:c r="X645" t="n">
        <x:v>67</x:v>
      </x:c>
      <x:c r="Y645" t="str">
        <x:v>GROW</x:v>
      </x:c>
      <x:c r="Z645" s="12" t="str">
        <x:v>Family + verified grassroots + straight-line geo only; transport not yet routed</x:v>
      </x:c>
      <x:c r="AA645" s="12"/>
      <x:c r="AB645" s="12"/>
      <x:c r="AC645" s="12"/>
      <x:c r="AD645" s="12"/>
      <x:c r="AE645" t="str">
        <x:v>Charlton Athletic Women</x:v>
      </x:c>
      <x:c r="AF645" s="45" t="n">
        <x:v>3.9584401698479192</x:v>
      </x:c>
      <x:c r="AG645" t="str">
        <x:v>Dulwich Hamlet Women</x:v>
      </x:c>
      <x:c r="AH645" s="45" t="n">
        <x:v>6.2295399704257886</x:v>
      </x:c>
      <x:c r="AI645" t="n">
        <x:v>81</x:v>
      </x:c>
      <x:c r="AJ645" t="str">
        <x:v>HIGH</x:v>
      </x:c>
    </x:row>
    <x:row r="646">
      <x:c r="A646" s="12" t="str">
        <x:v>E01003284</x:v>
      </x:c>
      <x:c r="B646" s="12" t="str">
        <x:v>Lewisham 013C</x:v>
      </x:c>
      <x:c r="C646" s="12" t="str">
        <x:v>Lewisham</x:v>
      </x:c>
      <x:c r="D646" s="44" t="n">
        <x:v>51.45506372210555</x:v>
      </x:c>
      <x:c r="E646" s="44" t="n">
        <x:v>-0.000006657660970697184</x:v>
      </x:c>
      <x:c r="F646" s="33" t="n">
        <x:v>757</x:v>
      </x:c>
      <x:c r="G646" s="33" t="n">
        <x:v>259</x:v>
      </x:c>
      <x:c r="H646" s="26" t="n">
        <x:v>0.34214002642007924</x:v>
      </x:c>
      <x:c r="I646" s="12" t="n">
        <x:v>1</x:v>
      </x:c>
      <x:c r="J646" s="12" t="n">
        <x:v>53</x:v>
      </x:c>
      <x:c r="K646" s="12"/>
      <x:c r="L646" s="12"/>
      <x:c r="M646" s="12" t="str">
        <x:f>IF(K646="", "", MAX(0,IF(K646&lt;=20,100,IF(K646&lt;=30,85,IF(K646&lt;=40,70,IF(K646&lt;=50,55,IF(K646&lt;=60,40,20)))))-MIN(L646*5,20)))</x:f>
      </x:c>
      <x:c r="N646" s="12"/>
      <x:c r="O646" s="12"/>
      <x:c r="P646" s="12" t="str">
        <x:f>IF(OR(H646="",J646="",M646=""),"",ROUND(PERCENTRANK.INC($H$2:$H$941,H646)*35+J646*0.35+M646*0.30,0))</x:f>
      </x:c>
      <x:c r="Q646" s="12" t="str">
        <x:f>IF(P646="","",IF(P646&gt;=80,"ATTACK",IF(P646&gt;=65,"GROW",IF(P646&gt;=50,"PARTNER","WATCH"))))</x:f>
      </x:c>
      <x:c r="R646" s="12" t="str">
        <x:f>IF(Q646="","",IF(Q646="ATTACK","Grassroots + family acquisition",IF(Q646="GROW","Test local campaign",IF(Q646="PARTNER","Organisation-first partnership","Low priority / validate"))))</x:f>
      </x:c>
      <x:c r="S646" s="45" t="n">
        <x:v>7.230466303864108</x:v>
      </x:c>
      <x:c r="T646" t="str">
        <x:v>NEAR</x:v>
      </x:c>
      <x:c r="U646" s="32" t="n">
        <x:f>PERCENTRANK.INC($G$2:$G$941,G646)</x:f>
        <x:v>0.824</x:v>
      </x:c>
      <x:c r="V646" s="32" t="n">
        <x:f>PERCENTRANK.INC($H$2:$H$941,H646)</x:f>
        <x:v>0.631</x:v>
      </x:c>
      <x:c r="W646" t="n">
        <x:f>ROUND((U646*55+V646*45)*IF(S646&lt;=5,1,IF(S646&lt;=10,0.95,IF(S646&lt;=20,0.85,0.70))),0)</x:f>
        <x:v>70</x:v>
      </x:c>
      <x:c r="X646" t="n">
        <x:v>62</x:v>
      </x:c>
      <x:c r="Y646" t="str">
        <x:v>PARTNER</x:v>
      </x:c>
      <x:c r="Z646" s="12" t="str">
        <x:v>Family + verified grassroots + straight-line geo only; transport not yet routed</x:v>
      </x:c>
      <x:c r="AA646" s="12"/>
      <x:c r="AB646" s="12"/>
      <x:c r="AC646" s="12"/>
      <x:c r="AD646" s="12"/>
      <x:c r="AE646" t="str">
        <x:v>Charlton Athletic Women</x:v>
      </x:c>
      <x:c r="AF646" s="45" t="n">
        <x:v>4.291071663618501</x:v>
      </x:c>
      <x:c r="AG646" t="str">
        <x:v>Dulwich Hamlet Women</x:v>
      </x:c>
      <x:c r="AH646" s="45" t="n">
        <x:v>5.859455871403579</x:v>
      </x:c>
      <x:c r="AI646" t="n">
        <x:v>85</x:v>
      </x:c>
      <x:c r="AJ646" t="str">
        <x:v>HIGH</x:v>
      </x:c>
    </x:row>
    <x:row r="647">
      <x:c r="A647" s="12" t="str">
        <x:v>E01003286</x:v>
      </x:c>
      <x:c r="B647" s="12" t="str">
        <x:v>Lewisham 013D</x:v>
      </x:c>
      <x:c r="C647" s="12" t="str">
        <x:v>Lewisham</x:v>
      </x:c>
      <x:c r="D647" s="44" t="n">
        <x:v>51.45465597666348</x:v>
      </x:c>
      <x:c r="E647" s="44" t="n">
        <x:v>0.013693470756771589</x:v>
      </x:c>
      <x:c r="F647" s="33" t="n">
        <x:v>770</x:v>
      </x:c>
      <x:c r="G647" s="33" t="n">
        <x:v>276</x:v>
      </x:c>
      <x:c r="H647" s="26" t="n">
        <x:v>0.35844155844155845</x:v>
      </x:c>
      <x:c r="I647" s="12" t="n">
        <x:v>1</x:v>
      </x:c>
      <x:c r="J647" s="12" t="n">
        <x:v>53</x:v>
      </x:c>
      <x:c r="K647" s="12"/>
      <x:c r="L647" s="12"/>
      <x:c r="M647" s="12" t="str">
        <x:f>IF(K647="", "", MAX(0,IF(K647&lt;=20,100,IF(K647&lt;=30,85,IF(K647&lt;=40,70,IF(K647&lt;=50,55,IF(K647&lt;=60,40,20)))))-MIN(L647*5,20)))</x:f>
      </x:c>
      <x:c r="N647" s="12"/>
      <x:c r="O647" s="12"/>
      <x:c r="P647" s="12" t="str">
        <x:f>IF(OR(H647="",J647="",M647=""),"",ROUND(PERCENTRANK.INC($H$2:$H$941,H647)*35+J647*0.35+M647*0.30,0))</x:f>
      </x:c>
      <x:c r="Q647" s="12" t="str">
        <x:f>IF(P647="","",IF(P647&gt;=80,"ATTACK",IF(P647&gt;=65,"GROW",IF(P647&gt;=50,"PARTNER","WATCH"))))</x:f>
      </x:c>
      <x:c r="R647" s="12" t="str">
        <x:f>IF(Q647="","",IF(Q647="ATTACK","Grassroots + family acquisition",IF(Q647="GROW","Test local campaign",IF(Q647="PARTNER","Organisation-first partnership","Low priority / validate"))))</x:f>
      </x:c>
      <x:c r="S647" s="45" t="n">
        <x:v>7.085485867189973</x:v>
      </x:c>
      <x:c r="T647" t="str">
        <x:v>NEAR</x:v>
      </x:c>
      <x:c r="U647" s="32" t="n">
        <x:f>PERCENTRANK.INC($G$2:$G$941,G647)</x:f>
        <x:v>0.883</x:v>
      </x:c>
      <x:c r="V647" s="32" t="n">
        <x:f>PERCENTRANK.INC($H$2:$H$941,H647)</x:f>
        <x:v>0.73</x:v>
      </x:c>
      <x:c r="W647" t="n">
        <x:f>ROUND((U647*55+V647*45)*IF(S647&lt;=5,1,IF(S647&lt;=10,0.95,IF(S647&lt;=20,0.85,0.70))),0)</x:f>
        <x:v>77</x:v>
      </x:c>
      <x:c r="X647" t="n">
        <x:v>66</x:v>
      </x:c>
      <x:c r="Y647" t="str">
        <x:v>GROW</x:v>
      </x:c>
      <x:c r="Z647" s="12" t="str">
        <x:v>Family + verified grassroots + straight-line geo only; transport not yet routed</x:v>
      </x:c>
      <x:c r="AA647" s="12"/>
      <x:c r="AB647" s="12"/>
      <x:c r="AC647" s="12"/>
      <x:c r="AD647" s="12"/>
      <x:c r="AE647" t="str">
        <x:v>Charlton Athletic Women</x:v>
      </x:c>
      <x:c r="AF647" s="45" t="n">
        <x:v>3.8573037994061745</x:v>
      </x:c>
      <x:c r="AG647" t="str">
        <x:v>Dulwich Hamlet Women</x:v>
      </x:c>
      <x:c r="AH647" s="45" t="n">
        <x:v>6.80769178879925</x:v>
      </x:c>
      <x:c r="AI647" t="n">
        <x:v>81</x:v>
      </x:c>
      <x:c r="AJ647" t="str">
        <x:v>HIGH</x:v>
      </x:c>
    </x:row>
    <x:row r="648">
      <x:c r="A648" s="12" t="str">
        <x:v>E01003272</x:v>
      </x:c>
      <x:c r="B648" s="12" t="str">
        <x:v>Lewisham 014A</x:v>
      </x:c>
      <x:c r="C648" s="12" t="str">
        <x:v>Lewisham</x:v>
      </x:c>
      <x:c r="D648" s="44" t="n">
        <x:v>51.46004897562046</x:v>
      </x:c>
      <x:c r="E648" s="44" t="n">
        <x:v>-0.034692465228161676</x:v>
      </x:c>
      <x:c r="F648" s="33" t="n">
        <x:v>791</x:v>
      </x:c>
      <x:c r="G648" s="33" t="n">
        <x:v>219</x:v>
      </x:c>
      <x:c r="H648" s="26" t="n">
        <x:v>0.27686472819216185</x:v>
      </x:c>
      <x:c r="I648" s="12" t="n">
        <x:v>2</x:v>
      </x:c>
      <x:c r="J648" s="12" t="n">
        <x:v>44</x:v>
      </x:c>
      <x:c r="K648" s="12"/>
      <x:c r="L648" s="12"/>
      <x:c r="M648" s="12" t="str">
        <x:f>IF(K648="", "", MAX(0,IF(K648&lt;=20,100,IF(K648&lt;=30,85,IF(K648&lt;=40,70,IF(K648&lt;=50,55,IF(K648&lt;=60,40,20)))))-MIN(L648*5,20)))</x:f>
      </x:c>
      <x:c r="N648" s="12"/>
      <x:c r="O648" s="12"/>
      <x:c r="P648" s="12" t="str">
        <x:f>IF(OR(H648="",J648="",M648=""),"",ROUND(PERCENTRANK.INC($H$2:$H$941,H648)*35+J648*0.35+M648*0.30,0))</x:f>
      </x:c>
      <x:c r="Q648" s="12" t="str">
        <x:f>IF(P648="","",IF(P648&gt;=80,"ATTACK",IF(P648&gt;=65,"GROW",IF(P648&gt;=50,"PARTNER","WATCH"))))</x:f>
      </x:c>
      <x:c r="R648" s="12" t="str">
        <x:f>IF(Q648="","",IF(Q648="ATTACK","Grassroots + family acquisition",IF(Q648="GROW","Test local campaign",IF(Q648="PARTNER","Organisation-first partnership","Low priority / validate"))))</x:f>
      </x:c>
      <x:c r="S648" s="45" t="n">
        <x:v>8.49576891975181</x:v>
      </x:c>
      <x:c r="T648" t="str">
        <x:v>NEAR</x:v>
      </x:c>
      <x:c r="U648" s="32" t="n">
        <x:f>PERCENTRANK.INC($G$2:$G$941,G648)</x:f>
        <x:v>0.544</x:v>
      </x:c>
      <x:c r="V648" s="32" t="n">
        <x:f>PERCENTRANK.INC($H$2:$H$941,H648)</x:f>
        <x:v>0.281</x:v>
      </x:c>
      <x:c r="W648" t="n">
        <x:f>ROUND((U648*55+V648*45)*IF(S648&lt;=5,1,IF(S648&lt;=10,0.95,IF(S648&lt;=20,0.85,0.70))),0)</x:f>
        <x:v>40</x:v>
      </x:c>
      <x:c r="X648" t="n">
        <x:v>42</x:v>
      </x:c>
      <x:c r="Y648" t="str">
        <x:v>WATCH</x:v>
      </x:c>
      <x:c r="Z648" s="12" t="str">
        <x:v>Family + verified grassroots + straight-line geo only; transport not yet routed</x:v>
      </x:c>
      <x:c r="AA648" s="12"/>
      <x:c r="AB648" s="12"/>
      <x:c r="AC648" s="12"/>
      <x:c r="AD648" s="12"/>
      <x:c r="AE648" t="str">
        <x:v>Charlton Athletic Women</x:v>
      </x:c>
      <x:c r="AF648" s="45" t="n">
        <x:v>5.71494379612797</x:v>
      </x:c>
      <x:c r="AG648" t="str">
        <x:v>Dulwich Hamlet Women</x:v>
      </x:c>
      <x:c r="AH648" s="45" t="n">
        <x:v>3.4175768467445162</x:v>
      </x:c>
      <x:c r="AI648" t="n">
        <x:v>85</x:v>
      </x:c>
      <x:c r="AJ648" t="str">
        <x:v>HIGH</x:v>
      </x:c>
    </x:row>
    <x:row r="649">
      <x:c r="A649" s="12" t="str">
        <x:v>E01003274</x:v>
      </x:c>
      <x:c r="B649" s="12" t="str">
        <x:v>Lewisham 014B</x:v>
      </x:c>
      <x:c r="C649" s="12" t="str">
        <x:v>Lewisham</x:v>
      </x:c>
      <x:c r="D649" s="44" t="n">
        <x:v>51.456383953258964</x:v>
      </x:c>
      <x:c r="E649" s="44" t="n">
        <x:v>-0.022890703123124696</x:v>
      </x:c>
      <x:c r="F649" s="33" t="n">
        <x:v>662</x:v>
      </x:c>
      <x:c r="G649" s="33" t="n">
        <x:v>210</x:v>
      </x:c>
      <x:c r="H649" s="26" t="n">
        <x:v>0.31722054380664655</x:v>
      </x:c>
      <x:c r="I649" s="12" t="n">
        <x:v>2</x:v>
      </x:c>
      <x:c r="J649" s="12" t="n">
        <x:v>59</x:v>
      </x:c>
      <x:c r="K649" s="12"/>
      <x:c r="L649" s="12"/>
      <x:c r="M649" s="12" t="str">
        <x:f>IF(K649="", "", MAX(0,IF(K649&lt;=20,100,IF(K649&lt;=30,85,IF(K649&lt;=40,70,IF(K649&lt;=50,55,IF(K649&lt;=60,40,20)))))-MIN(L649*5,20)))</x:f>
      </x:c>
      <x:c r="N649" s="12"/>
      <x:c r="O649" s="12"/>
      <x:c r="P649" s="12" t="str">
        <x:f>IF(OR(H649="",J649="",M649=""),"",ROUND(PERCENTRANK.INC($H$2:$H$941,H649)*35+J649*0.35+M649*0.30,0))</x:f>
      </x:c>
      <x:c r="Q649" s="12" t="str">
        <x:f>IF(P649="","",IF(P649&gt;=80,"ATTACK",IF(P649&gt;=65,"GROW",IF(P649&gt;=50,"PARTNER","WATCH"))))</x:f>
      </x:c>
      <x:c r="R649" s="12" t="str">
        <x:f>IF(Q649="","",IF(Q649="ATTACK","Grassroots + family acquisition",IF(Q649="GROW","Test local campaign",IF(Q649="PARTNER","Organisation-first partnership","Low priority / validate"))))</x:f>
      </x:c>
      <x:c r="S649" s="45" t="n">
        <x:v>7.798014696590117</x:v>
      </x:c>
      <x:c r="T649" t="str">
        <x:v>NEAR</x:v>
      </x:c>
      <x:c r="U649" s="32" t="n">
        <x:f>PERCENTRANK.INC($G$2:$G$941,G649)</x:f>
        <x:v>0.471</x:v>
      </x:c>
      <x:c r="V649" s="32" t="n">
        <x:f>PERCENTRANK.INC($H$2:$H$941,H649)</x:f>
        <x:v>0.497</x:v>
      </x:c>
      <x:c r="W649" t="n">
        <x:f>ROUND((U649*55+V649*45)*IF(S649&lt;=5,1,IF(S649&lt;=10,0.95,IF(S649&lt;=20,0.85,0.70))),0)</x:f>
        <x:v>46</x:v>
      </x:c>
      <x:c r="X649" t="n">
        <x:v>52</x:v>
      </x:c>
      <x:c r="Y649" t="str">
        <x:v>PARTNER</x:v>
      </x:c>
      <x:c r="Z649" s="12" t="str">
        <x:v>Family + verified grassroots + straight-line geo only; transport not yet routed</x:v>
      </x:c>
      <x:c r="AA649" s="12"/>
      <x:c r="AB649" s="12"/>
      <x:c r="AC649" s="12"/>
      <x:c r="AD649" s="12"/>
      <x:c r="AE649" t="str">
        <x:v>Charlton Athletic Women</x:v>
      </x:c>
      <x:c r="AF649" s="45" t="n">
        <x:v>5.278538882722706</x:v>
      </x:c>
      <x:c r="AG649" t="str">
        <x:v>Dulwich Hamlet Women</x:v>
      </x:c>
      <x:c r="AH649" s="45" t="n">
        <x:v>4.2678922482215755</x:v>
      </x:c>
      <x:c r="AI649" t="n">
        <x:v>85</x:v>
      </x:c>
      <x:c r="AJ649" t="str">
        <x:v>HIGH</x:v>
      </x:c>
    </x:row>
    <x:row r="650">
      <x:c r="A650" s="12" t="str">
        <x:v>E01003275</x:v>
      </x:c>
      <x:c r="B650" s="12" t="str">
        <x:v>Lewisham 014C</x:v>
      </x:c>
      <x:c r="C650" s="12" t="str">
        <x:v>Lewisham</x:v>
      </x:c>
      <x:c r="D650" s="44" t="n">
        <x:v>51.453037993190705</x:v>
      </x:c>
      <x:c r="E650" s="44" t="n">
        <x:v>-0.025441627251792248</x:v>
      </x:c>
      <x:c r="F650" s="33" t="n">
        <x:v>621</x:v>
      </x:c>
      <x:c r="G650" s="33" t="n">
        <x:v>200</x:v>
      </x:c>
      <x:c r="H650" s="26" t="n">
        <x:v>0.322061191626409</x:v>
      </x:c>
      <x:c r="I650" s="12" t="n">
        <x:v>2</x:v>
      </x:c>
      <x:c r="J650" s="12" t="n">
        <x:v>59</x:v>
      </x:c>
      <x:c r="K650" s="12"/>
      <x:c r="L650" s="12"/>
      <x:c r="M650" s="12" t="str">
        <x:f>IF(K650="", "", MAX(0,IF(K650&lt;=20,100,IF(K650&lt;=30,85,IF(K650&lt;=40,70,IF(K650&lt;=50,55,IF(K650&lt;=60,40,20)))))-MIN(L650*5,20)))</x:f>
      </x:c>
      <x:c r="N650" s="12"/>
      <x:c r="O650" s="12"/>
      <x:c r="P650" s="12" t="str">
        <x:f>IF(OR(H650="",J650="",M650=""),"",ROUND(PERCENTRANK.INC($H$2:$H$941,H650)*35+J650*0.35+M650*0.30,0))</x:f>
      </x:c>
      <x:c r="Q650" s="12" t="str">
        <x:f>IF(P650="","",IF(P650&gt;=80,"ATTACK",IF(P650&gt;=65,"GROW",IF(P650&gt;=50,"PARTNER","WATCH"))))</x:f>
      </x:c>
      <x:c r="R650" s="12" t="str">
        <x:f>IF(Q650="","",IF(Q650="ATTACK","Grassroots + family acquisition",IF(Q650="GROW","Test local campaign",IF(Q650="PARTNER","Organisation-first partnership","Low priority / validate"))))</x:f>
      </x:c>
      <x:c r="S650" s="45" t="n">
        <x:v>7.520901000832801</x:v>
      </x:c>
      <x:c r="T650" t="str">
        <x:v>NEAR</x:v>
      </x:c>
      <x:c r="U650" s="32" t="n">
        <x:f>PERCENTRANK.INC($G$2:$G$941,G650)</x:f>
        <x:v>0.388</x:v>
      </x:c>
      <x:c r="V650" s="32" t="n">
        <x:f>PERCENTRANK.INC($H$2:$H$941,H650)</x:f>
        <x:v>0.525</x:v>
      </x:c>
      <x:c r="W650" t="n">
        <x:f>ROUND((U650*55+V650*45)*IF(S650&lt;=5,1,IF(S650&lt;=10,0.95,IF(S650&lt;=20,0.85,0.70))),0)</x:f>
        <x:v>43</x:v>
      </x:c>
      <x:c r="X650" t="n">
        <x:v>50</x:v>
      </x:c>
      <x:c r="Y650" t="str">
        <x:v>PARTNER</x:v>
      </x:c>
      <x:c r="Z650" s="12" t="str">
        <x:v>Family + verified grassroots + straight-line geo only; transport not yet routed</x:v>
      </x:c>
      <x:c r="AA650" s="12"/>
      <x:c r="AB650" s="12"/>
      <x:c r="AC650" s="12"/>
      <x:c r="AD650" s="12"/>
      <x:c r="AE650" t="str">
        <x:v>Charlton Athletic Women</x:v>
      </x:c>
      <x:c r="AF650" s="45" t="n">
        <x:v>5.653547692011782</x:v>
      </x:c>
      <x:c r="AG650" t="str">
        <x:v>Dulwich Hamlet Women</x:v>
      </x:c>
      <x:c r="AH650" s="45" t="n">
        <x:v>4.159102422990638</x:v>
      </x:c>
      <x:c r="AI650" t="n">
        <x:v>85</x:v>
      </x:c>
      <x:c r="AJ650" t="str">
        <x:v>HIGH</x:v>
      </x:c>
    </x:row>
    <x:row r="651">
      <x:c r="A651" s="12" t="str">
        <x:v>E01003276</x:v>
      </x:c>
      <x:c r="B651" s="12" t="str">
        <x:v>Lewisham 014D</x:v>
      </x:c>
      <x:c r="C651" s="12" t="str">
        <x:v>Lewisham</x:v>
      </x:c>
      <x:c r="D651" s="44" t="n">
        <x:v>51.45555997462042</x:v>
      </x:c>
      <x:c r="E651" s="44" t="n">
        <x:v>-0.028507410190030526</x:v>
      </x:c>
      <x:c r="F651" s="33" t="n">
        <x:v>663</x:v>
      </x:c>
      <x:c r="G651" s="33" t="n">
        <x:v>269</x:v>
      </x:c>
      <x:c r="H651" s="26" t="n">
        <x:v>0.4057315233785822</x:v>
      </x:c>
      <x:c r="I651" s="12" t="n">
        <x:v>2</x:v>
      </x:c>
      <x:c r="J651" s="12" t="n">
        <x:v>59</x:v>
      </x:c>
      <x:c r="K651" s="12"/>
      <x:c r="L651" s="12"/>
      <x:c r="M651" s="12" t="str">
        <x:f>IF(K651="", "", MAX(0,IF(K651&lt;=20,100,IF(K651&lt;=30,85,IF(K651&lt;=40,70,IF(K651&lt;=50,55,IF(K651&lt;=60,40,20)))))-MIN(L651*5,20)))</x:f>
      </x:c>
      <x:c r="N651" s="12"/>
      <x:c r="O651" s="12"/>
      <x:c r="P651" s="12" t="str">
        <x:f>IF(OR(H651="",J651="",M651=""),"",ROUND(PERCENTRANK.INC($H$2:$H$941,H651)*35+J651*0.35+M651*0.30,0))</x:f>
      </x:c>
      <x:c r="Q651" s="12" t="str">
        <x:f>IF(P651="","",IF(P651&gt;=80,"ATTACK",IF(P651&gt;=65,"GROW",IF(P651&gt;=50,"PARTNER","WATCH"))))</x:f>
      </x:c>
      <x:c r="R651" s="12" t="str">
        <x:f>IF(Q651="","",IF(Q651="ATTACK","Grassroots + family acquisition",IF(Q651="GROW","Test local campaign",IF(Q651="PARTNER","Organisation-first partnership","Low priority / validate"))))</x:f>
      </x:c>
      <x:c r="S651" s="45" t="n">
        <x:v>7.863163287052062</x:v>
      </x:c>
      <x:c r="T651" t="str">
        <x:v>NEAR</x:v>
      </x:c>
      <x:c r="U651" s="32" t="n">
        <x:f>PERCENTRANK.INC($G$2:$G$941,G651)</x:f>
        <x:v>0.866</x:v>
      </x:c>
      <x:c r="V651" s="32" t="n">
        <x:f>PERCENTRANK.INC($H$2:$H$941,H651)</x:f>
        <x:v>0.923</x:v>
      </x:c>
      <x:c r="W651" t="n">
        <x:f>ROUND((U651*55+V651*45)*IF(S651&lt;=5,1,IF(S651&lt;=10,0.95,IF(S651&lt;=20,0.85,0.70))),0)</x:f>
        <x:v>85</x:v>
      </x:c>
      <x:c r="X651" t="n">
        <x:v>73</x:v>
      </x:c>
      <x:c r="Y651" t="str">
        <x:v>GROW</x:v>
      </x:c>
      <x:c r="Z651" s="12" t="str">
        <x:v>Family + verified grassroots + straight-line geo only; transport not yet routed</x:v>
      </x:c>
      <x:c r="AA651" s="12"/>
      <x:c r="AB651" s="12"/>
      <x:c r="AC651" s="12"/>
      <x:c r="AD651" s="12"/>
      <x:c r="AE651" t="str">
        <x:v>Charlton Athletic Women</x:v>
      </x:c>
      <x:c r="AF651" s="45" t="n">
        <x:v>5.640613712742819</x:v>
      </x:c>
      <x:c r="AG651" t="str">
        <x:v>Dulwich Hamlet Women</x:v>
      </x:c>
      <x:c r="AH651" s="45" t="n">
        <x:v>3.8963469467235776</x:v>
      </x:c>
      <x:c r="AI651" t="n">
        <x:v>85</x:v>
      </x:c>
      <x:c r="AJ651" t="str">
        <x:v>HIGH</x:v>
      </x:c>
    </x:row>
    <x:row r="652">
      <x:c r="A652" s="12" t="str">
        <x:v>E01003225</x:v>
      </x:c>
      <x:c r="B652" s="12" t="str">
        <x:v>Lewisham 015A</x:v>
      </x:c>
      <x:c r="C652" s="12" t="str">
        <x:v>Lewisham</x:v>
      </x:c>
      <x:c r="D652" s="44" t="n">
        <x:v>51.450215374242596</x:v>
      </x:c>
      <x:c r="E652" s="44" t="n">
        <x:v>-0.03127465260863538</x:v>
      </x:c>
      <x:c r="F652" s="33" t="n">
        <x:v>586</x:v>
      </x:c>
      <x:c r="G652" s="33" t="n">
        <x:v>240</x:v>
      </x:c>
      <x:c r="H652" s="26" t="n">
        <x:v>0.40955631399317405</x:v>
      </x:c>
      <x:c r="I652" s="12" t="n">
        <x:v>2</x:v>
      </x:c>
      <x:c r="J652" s="12" t="n">
        <x:v>59</x:v>
      </x:c>
      <x:c r="K652" s="12"/>
      <x:c r="L652" s="12"/>
      <x:c r="M652" s="12" t="str">
        <x:f>IF(K652="", "", MAX(0,IF(K652&lt;=20,100,IF(K652&lt;=30,85,IF(K652&lt;=40,70,IF(K652&lt;=50,55,IF(K652&lt;=60,40,20)))))-MIN(L652*5,20)))</x:f>
      </x:c>
      <x:c r="N652" s="12"/>
      <x:c r="O652" s="12"/>
      <x:c r="P652" s="12" t="str">
        <x:f>IF(OR(H652="",J652="",M652=""),"",ROUND(PERCENTRANK.INC($H$2:$H$941,H652)*35+J652*0.35+M652*0.30,0))</x:f>
      </x:c>
      <x:c r="Q652" s="12" t="str">
        <x:f>IF(P652="","",IF(P652&gt;=80,"ATTACK",IF(P652&gt;=65,"GROW",IF(P652&gt;=50,"PARTNER","WATCH"))))</x:f>
      </x:c>
      <x:c r="R652" s="12" t="str">
        <x:f>IF(Q652="","",IF(Q652="ATTACK","Grassroots + family acquisition",IF(Q652="GROW","Test local campaign",IF(Q652="PARTNER","Organisation-first partnership","Low priority / validate"))))</x:f>
      </x:c>
      <x:c r="S652" s="45" t="n">
        <x:v>7.410515766914116</x:v>
      </x:c>
      <x:c r="T652" t="str">
        <x:v>NEAR</x:v>
      </x:c>
      <x:c r="U652" s="32" t="n">
        <x:f>PERCENTRANK.INC($G$2:$G$941,G652)</x:f>
        <x:v>0.708</x:v>
      </x:c>
      <x:c r="V652" s="32" t="n">
        <x:f>PERCENTRANK.INC($H$2:$H$941,H652)</x:f>
        <x:v>0.933</x:v>
      </x:c>
      <x:c r="W652" t="n">
        <x:f>ROUND((U652*55+V652*45)*IF(S652&lt;=5,1,IF(S652&lt;=10,0.95,IF(S652&lt;=20,0.85,0.70))),0)</x:f>
        <x:v>77</x:v>
      </x:c>
      <x:c r="X652" t="n">
        <x:v>69</x:v>
      </x:c>
      <x:c r="Y652" t="str">
        <x:v>GROW</x:v>
      </x:c>
      <x:c r="Z652" s="12" t="str">
        <x:v>Family + verified grassroots + straight-line geo only; transport not yet routed</x:v>
      </x:c>
      <x:c r="AA652" s="12"/>
      <x:c r="AB652" s="12"/>
      <x:c r="AC652" s="12"/>
      <x:c r="AD652" s="12"/>
      <x:c r="AE652" t="str">
        <x:v>Charlton Athletic Women</x:v>
      </x:c>
      <x:c r="AF652" s="45" t="n">
        <x:v>6.164557232647552</x:v>
      </x:c>
      <x:c r="AG652" t="str">
        <x:v>Dulwich Hamlet Women</x:v>
      </x:c>
      <x:c r="AH652" s="45" t="n">
        <x:v>3.854940873638978</x:v>
      </x:c>
      <x:c r="AI652" t="n">
        <x:v>74</x:v>
      </x:c>
      <x:c r="AJ652" t="str">
        <x:v>MEDIUM</x:v>
      </x:c>
    </x:row>
    <x:row r="653">
      <x:c r="A653" s="12" t="str">
        <x:v>E01003231</x:v>
      </x:c>
      <x:c r="B653" s="12" t="str">
        <x:v>Lewisham 015B</x:v>
      </x:c>
      <x:c r="C653" s="12" t="str">
        <x:v>Lewisham</x:v>
      </x:c>
      <x:c r="D653" s="44" t="n">
        <x:v>51.456965445519906</x:v>
      </x:c>
      <x:c r="E653" s="44" t="n">
        <x:v>-0.036820873077319224</x:v>
      </x:c>
      <x:c r="F653" s="33" t="n">
        <x:v>647</x:v>
      </x:c>
      <x:c r="G653" s="33" t="n">
        <x:v>187</x:v>
      </x:c>
      <x:c r="H653" s="26" t="n">
        <x:v>0.2890262751159196</x:v>
      </x:c>
      <x:c r="I653" s="12" t="n">
        <x:v>2</x:v>
      </x:c>
      <x:c r="J653" s="12" t="n">
        <x:v>51</x:v>
      </x:c>
      <x:c r="K653" s="12"/>
      <x:c r="L653" s="12"/>
      <x:c r="M653" s="12" t="str">
        <x:f>IF(K653="", "", MAX(0,IF(K653&lt;=20,100,IF(K653&lt;=30,85,IF(K653&lt;=40,70,IF(K653&lt;=50,55,IF(K653&lt;=60,40,20)))))-MIN(L653*5,20)))</x:f>
      </x:c>
      <x:c r="N653" s="12"/>
      <x:c r="O653" s="12"/>
      <x:c r="P653" s="12" t="str">
        <x:f>IF(OR(H653="",J653="",M653=""),"",ROUND(PERCENTRANK.INC($H$2:$H$941,H653)*35+J653*0.35+M653*0.30,0))</x:f>
      </x:c>
      <x:c r="Q653" s="12" t="str">
        <x:f>IF(P653="","",IF(P653&gt;=80,"ATTACK",IF(P653&gt;=65,"GROW",IF(P653&gt;=50,"PARTNER","WATCH"))))</x:f>
      </x:c>
      <x:c r="R653" s="12" t="str">
        <x:f>IF(Q653="","",IF(Q653="ATTACK","Grassroots + family acquisition",IF(Q653="GROW","Test local campaign",IF(Q653="PARTNER","Organisation-first partnership","Low priority / validate"))))</x:f>
      </x:c>
      <x:c r="S653" s="45" t="n">
        <x:v>8.253750302611866</x:v>
      </x:c>
      <x:c r="T653" t="str">
        <x:v>NEAR</x:v>
      </x:c>
      <x:c r="U653" s="32" t="n">
        <x:f>PERCENTRANK.INC($G$2:$G$941,G653)</x:f>
        <x:v>0.29</x:v>
      </x:c>
      <x:c r="V653" s="32" t="n">
        <x:f>PERCENTRANK.INC($H$2:$H$941,H653)</x:f>
        <x:v>0.339</x:v>
      </x:c>
      <x:c r="W653" t="n">
        <x:f>ROUND((U653*55+V653*45)*IF(S653&lt;=5,1,IF(S653&lt;=10,0.95,IF(S653&lt;=20,0.85,0.70))),0)</x:f>
        <x:v>30</x:v>
      </x:c>
      <x:c r="X653" t="n">
        <x:v>40</x:v>
      </x:c>
      <x:c r="Y653" t="str">
        <x:v>WATCH</x:v>
      </x:c>
      <x:c r="Z653" s="12" t="str">
        <x:v>Family + verified grassroots + straight-line geo only; transport not yet routed</x:v>
      </x:c>
      <x:c r="AA653" s="12"/>
      <x:c r="AB653" s="12"/>
      <x:c r="AC653" s="12"/>
      <x:c r="AD653" s="12"/>
      <x:c r="AE653" t="str">
        <x:v>Charlton Athletic Women</x:v>
      </x:c>
      <x:c r="AF653" s="45" t="n">
        <x:v>6.0214239097343585</x:v>
      </x:c>
      <x:c r="AG653" t="str">
        <x:v>Dulwich Hamlet Women</x:v>
      </x:c>
      <x:c r="AH653" s="45" t="n">
        <x:v>3.3029909776408806</x:v>
      </x:c>
      <x:c r="AI653" t="n">
        <x:v>74</x:v>
      </x:c>
      <x:c r="AJ653" t="str">
        <x:v>MEDIUM</x:v>
      </x:c>
    </x:row>
    <x:row r="654">
      <x:c r="A654" s="12" t="str">
        <x:v>E01003232</x:v>
      </x:c>
      <x:c r="B654" s="12" t="str">
        <x:v>Lewisham 015C</x:v>
      </x:c>
      <x:c r="C654" s="12" t="str">
        <x:v>Lewisham</x:v>
      </x:c>
      <x:c r="D654" s="44" t="n">
        <x:v>51.452850162987396</x:v>
      </x:c>
      <x:c r="E654" s="44" t="n">
        <x:v>-0.03954828674697321</x:v>
      </x:c>
      <x:c r="F654" s="33" t="n">
        <x:v>622</x:v>
      </x:c>
      <x:c r="G654" s="33" t="n">
        <x:v>229</x:v>
      </x:c>
      <x:c r="H654" s="26" t="n">
        <x:v>0.36816720257234725</x:v>
      </x:c>
      <x:c r="I654" s="12" t="n">
        <x:v>2</x:v>
      </x:c>
      <x:c r="J654" s="12" t="n">
        <x:v>59</x:v>
      </x:c>
      <x:c r="K654" s="12"/>
      <x:c r="L654" s="12"/>
      <x:c r="M654" s="12" t="str">
        <x:f>IF(K654="", "", MAX(0,IF(K654&lt;=20,100,IF(K654&lt;=30,85,IF(K654&lt;=40,70,IF(K654&lt;=50,55,IF(K654&lt;=60,40,20)))))-MIN(L654*5,20)))</x:f>
      </x:c>
      <x:c r="N654" s="12"/>
      <x:c r="O654" s="12"/>
      <x:c r="P654" s="12" t="str">
        <x:f>IF(OR(H654="",J654="",M654=""),"",ROUND(PERCENTRANK.INC($H$2:$H$941,H654)*35+J654*0.35+M654*0.30,0))</x:f>
      </x:c>
      <x:c r="Q654" s="12" t="str">
        <x:f>IF(P654="","",IF(P654&gt;=80,"ATTACK",IF(P654&gt;=65,"GROW",IF(P654&gt;=50,"PARTNER","WATCH"))))</x:f>
      </x:c>
      <x:c r="R654" s="12" t="str">
        <x:f>IF(Q654="","",IF(Q654="ATTACK","Grassroots + family acquisition",IF(Q654="GROW","Test local campaign",IF(Q654="PARTNER","Organisation-first partnership","Low priority / validate"))))</x:f>
      </x:c>
      <x:c r="S654" s="45" t="n">
        <x:v>7.9426915676491845</x:v>
      </x:c>
      <x:c r="T654" t="str">
        <x:v>NEAR</x:v>
      </x:c>
      <x:c r="U654" s="32" t="n">
        <x:f>PERCENTRANK.INC($G$2:$G$941,G654)</x:f>
        <x:v>0.627</x:v>
      </x:c>
      <x:c r="V654" s="32" t="n">
        <x:f>PERCENTRANK.INC($H$2:$H$941,H654)</x:f>
        <x:v>0.788</x:v>
      </x:c>
      <x:c r="W654" t="n">
        <x:f>ROUND((U654*55+V654*45)*IF(S654&lt;=5,1,IF(S654&lt;=10,0.95,IF(S654&lt;=20,0.85,0.70))),0)</x:f>
        <x:v>66</x:v>
      </x:c>
      <x:c r="X654" t="n">
        <x:v>63</x:v>
      </x:c>
      <x:c r="Y654" t="str">
        <x:v>PARTNER</x:v>
      </x:c>
      <x:c r="Z654" s="12" t="str">
        <x:v>Family + verified grassroots + straight-line geo only; transport not yet routed</x:v>
      </x:c>
      <x:c r="AA654" s="12"/>
      <x:c r="AB654" s="12"/>
      <x:c r="AC654" s="12"/>
      <x:c r="AD654" s="12"/>
      <x:c r="AE654" t="str">
        <x:v>Charlton Athletic Women</x:v>
      </x:c>
      <x:c r="AF654" s="45" t="n">
        <x:v>6.435069728647597</x:v>
      </x:c>
      <x:c r="AG654" t="str">
        <x:v>Dulwich Hamlet Women</x:v>
      </x:c>
      <x:c r="AH654" s="45" t="n">
        <x:v>3.2193253054523794</x:v>
      </x:c>
      <x:c r="AI654" t="n">
        <x:v>74</x:v>
      </x:c>
      <x:c r="AJ654" t="str">
        <x:v>MEDIUM</x:v>
      </x:c>
    </x:row>
    <x:row r="655">
      <x:c r="A655" s="12" t="str">
        <x:v>E01003233</x:v>
      </x:c>
      <x:c r="B655" s="12" t="str">
        <x:v>Lewisham 015D</x:v>
      </x:c>
      <x:c r="C655" s="12" t="str">
        <x:v>Lewisham</x:v>
      </x:c>
      <x:c r="D655" s="44" t="n">
        <x:v>51.45302590226598</x:v>
      </x:c>
      <x:c r="E655" s="44" t="n">
        <x:v>-0.03380129439709795</x:v>
      </x:c>
      <x:c r="F655" s="33" t="n">
        <x:v>666</x:v>
      </x:c>
      <x:c r="G655" s="33" t="n">
        <x:v>255</x:v>
      </x:c>
      <x:c r="H655" s="26" t="n">
        <x:v>0.38288288288288286</x:v>
      </x:c>
      <x:c r="I655" s="12" t="n">
        <x:v>2</x:v>
      </x:c>
      <x:c r="J655" s="12" t="n">
        <x:v>59</x:v>
      </x:c>
      <x:c r="K655" s="12"/>
      <x:c r="L655" s="12"/>
      <x:c r="M655" s="12" t="str">
        <x:f>IF(K655="", "", MAX(0,IF(K655&lt;=20,100,IF(K655&lt;=30,85,IF(K655&lt;=40,70,IF(K655&lt;=50,55,IF(K655&lt;=60,40,20)))))-MIN(L655*5,20)))</x:f>
      </x:c>
      <x:c r="N655" s="12"/>
      <x:c r="O655" s="12"/>
      <x:c r="P655" s="12" t="str">
        <x:f>IF(OR(H655="",J655="",M655=""),"",ROUND(PERCENTRANK.INC($H$2:$H$941,H655)*35+J655*0.35+M655*0.30,0))</x:f>
      </x:c>
      <x:c r="Q655" s="12" t="str">
        <x:f>IF(P655="","",IF(P655&gt;=80,"ATTACK",IF(P655&gt;=65,"GROW",IF(P655&gt;=50,"PARTNER","WATCH"))))</x:f>
      </x:c>
      <x:c r="R655" s="12" t="str">
        <x:f>IF(Q655="","",IF(Q655="ATTACK","Grassroots + family acquisition",IF(Q655="GROW","Test local campaign",IF(Q655="PARTNER","Organisation-first partnership","Low priority / validate"))))</x:f>
      </x:c>
      <x:c r="S655" s="45" t="n">
        <x:v>7.768534446228394</x:v>
      </x:c>
      <x:c r="T655" t="str">
        <x:v>NEAR</x:v>
      </x:c>
      <x:c r="U655" s="32" t="n">
        <x:f>PERCENTRANK.INC($G$2:$G$941,G655)</x:f>
        <x:v>0.806</x:v>
      </x:c>
      <x:c r="V655" s="32" t="n">
        <x:f>PERCENTRANK.INC($H$2:$H$941,H655)</x:f>
        <x:v>0.846</x:v>
      </x:c>
      <x:c r="W655" t="n">
        <x:f>ROUND((U655*55+V655*45)*IF(S655&lt;=5,1,IF(S655&lt;=10,0.95,IF(S655&lt;=20,0.85,0.70))),0)</x:f>
        <x:v>78</x:v>
      </x:c>
      <x:c r="X655" t="n">
        <x:v>70</x:v>
      </x:c>
      <x:c r="Y655" t="str">
        <x:v>GROW</x:v>
      </x:c>
      <x:c r="Z655" s="12" t="str">
        <x:v>Family + verified grassroots + straight-line geo only; transport not yet routed</x:v>
      </x:c>
      <x:c r="AA655" s="12"/>
      <x:c r="AB655" s="12"/>
      <x:c r="AC655" s="12"/>
      <x:c r="AD655" s="12"/>
      <x:c r="AE655" t="str">
        <x:v>Charlton Athletic Women</x:v>
      </x:c>
      <x:c r="AF655" s="45" t="n">
        <x:v>6.10316048072696</x:v>
      </x:c>
      <x:c r="AG655" t="str">
        <x:v>Dulwich Hamlet Women</x:v>
      </x:c>
      <x:c r="AH655" s="45" t="n">
        <x:v>3.59690732105715</x:v>
      </x:c>
      <x:c r="AI655" t="n">
        <x:v>74</x:v>
      </x:c>
      <x:c r="AJ655" t="str">
        <x:v>MEDIUM</x:v>
      </x:c>
    </x:row>
    <x:row r="656">
      <x:c r="A656" s="12" t="str">
        <x:v>E01003280</x:v>
      </x:c>
      <x:c r="B656" s="12" t="str">
        <x:v>Lewisham 016A</x:v>
      </x:c>
      <x:c r="C656" s="12" t="str">
        <x:v>Lewisham</x:v>
      </x:c>
      <x:c r="D656" s="44" t="n">
        <x:v>51.44750928990511</x:v>
      </x:c>
      <x:c r="E656" s="44" t="n">
        <x:v>0.013762047988170916</x:v>
      </x:c>
      <x:c r="F656" s="33" t="n">
        <x:v>625</x:v>
      </x:c>
      <x:c r="G656" s="33" t="n">
        <x:v>251</x:v>
      </x:c>
      <x:c r="H656" s="26" t="n">
        <x:v>0.4016</x:v>
      </x:c>
      <x:c r="I656" s="12" t="n">
        <x:v>1</x:v>
      </x:c>
      <x:c r="J656" s="12" t="n">
        <x:v>53</x:v>
      </x:c>
      <x:c r="K656" s="12"/>
      <x:c r="L656" s="12"/>
      <x:c r="M656" s="12" t="str">
        <x:f>IF(K656="", "", MAX(0,IF(K656&lt;=20,100,IF(K656&lt;=30,85,IF(K656&lt;=40,70,IF(K656&lt;=50,55,IF(K656&lt;=60,40,20)))))-MIN(L656*5,20)))</x:f>
      </x:c>
      <x:c r="N656" s="12"/>
      <x:c r="O656" s="12"/>
      <x:c r="P656" s="12" t="str">
        <x:f>IF(OR(H656="",J656="",M656=""),"",ROUND(PERCENTRANK.INC($H$2:$H$941,H656)*35+J656*0.35+M656*0.30,0))</x:f>
      </x:c>
      <x:c r="Q656" s="12" t="str">
        <x:f>IF(P656="","",IF(P656&gt;=80,"ATTACK",IF(P656&gt;=65,"GROW",IF(P656&gt;=50,"PARTNER","WATCH"))))</x:f>
      </x:c>
      <x:c r="R656" s="12" t="str">
        <x:f>IF(Q656="","",IF(Q656="ATTACK","Grassroots + family acquisition",IF(Q656="GROW","Test local campaign",IF(Q656="PARTNER","Organisation-first partnership","Low priority / validate"))))</x:f>
      </x:c>
      <x:c r="S656" s="45" t="n">
        <x:v>6.291293325037749</x:v>
      </x:c>
      <x:c r="T656" t="str">
        <x:v>NEAR</x:v>
      </x:c>
      <x:c r="U656" s="32" t="n">
        <x:f>PERCENTRANK.INC($G$2:$G$941,G656)</x:f>
        <x:v>0.79</x:v>
      </x:c>
      <x:c r="V656" s="32" t="n">
        <x:f>PERCENTRANK.INC($H$2:$H$941,H656)</x:f>
        <x:v>0.91</x:v>
      </x:c>
      <x:c r="W656" t="n">
        <x:f>ROUND((U656*55+V656*45)*IF(S656&lt;=5,1,IF(S656&lt;=10,0.95,IF(S656&lt;=20,0.85,0.70))),0)</x:f>
        <x:v>80</x:v>
      </x:c>
      <x:c r="X656" t="n">
        <x:v>68</x:v>
      </x:c>
      <x:c r="Y656" t="str">
        <x:v>GROW</x:v>
      </x:c>
      <x:c r="Z656" s="12" t="str">
        <x:v>Family + verified grassroots + straight-line geo only; transport not yet routed</x:v>
      </x:c>
      <x:c r="AA656" s="12"/>
      <x:c r="AB656" s="12"/>
      <x:c r="AC656" s="12"/>
      <x:c r="AD656" s="12"/>
      <x:c r="AE656" t="str">
        <x:v>Charlton Athletic Women</x:v>
      </x:c>
      <x:c r="AF656" s="45" t="n">
        <x:v>4.594125584299213</x:v>
      </x:c>
      <x:c r="AG656" t="str">
        <x:v>Dulwich Hamlet Women</x:v>
      </x:c>
      <x:c r="AH656" s="45" t="n">
        <x:v>6.9444516012813216</x:v>
      </x:c>
      <x:c r="AI656" t="n">
        <x:v>81</x:v>
      </x:c>
      <x:c r="AJ656" t="str">
        <x:v>HIGH</x:v>
      </x:c>
    </x:row>
    <x:row r="657">
      <x:c r="A657" s="12" t="str">
        <x:v>E01003281</x:v>
      </x:c>
      <x:c r="B657" s="12" t="str">
        <x:v>Lewisham 016B</x:v>
      </x:c>
      <x:c r="C657" s="12" t="str">
        <x:v>Lewisham</x:v>
      </x:c>
      <x:c r="D657" s="44" t="n">
        <x:v>51.44775823430962</x:v>
      </x:c>
      <x:c r="E657" s="44" t="n">
        <x:v>0.0077770882375022285</x:v>
      </x:c>
      <x:c r="F657" s="33" t="n">
        <x:v>584</x:v>
      </x:c>
      <x:c r="G657" s="33" t="n">
        <x:v>222</x:v>
      </x:c>
      <x:c r="H657" s="26" t="n">
        <x:v>0.3801369863013699</x:v>
      </x:c>
      <x:c r="I657" s="12" t="n">
        <x:v>1</x:v>
      </x:c>
      <x:c r="J657" s="12" t="n">
        <x:v>53</x:v>
      </x:c>
      <x:c r="K657" s="12"/>
      <x:c r="L657" s="12"/>
      <x:c r="M657" s="12" t="str">
        <x:f>IF(K657="", "", MAX(0,IF(K657&lt;=20,100,IF(K657&lt;=30,85,IF(K657&lt;=40,70,IF(K657&lt;=50,55,IF(K657&lt;=60,40,20)))))-MIN(L657*5,20)))</x:f>
      </x:c>
      <x:c r="N657" s="12"/>
      <x:c r="O657" s="12"/>
      <x:c r="P657" s="12" t="str">
        <x:f>IF(OR(H657="",J657="",M657=""),"",ROUND(PERCENTRANK.INC($H$2:$H$941,H657)*35+J657*0.35+M657*0.30,0))</x:f>
      </x:c>
      <x:c r="Q657" s="12" t="str">
        <x:f>IF(P657="","",IF(P657&gt;=80,"ATTACK",IF(P657&gt;=65,"GROW",IF(P657&gt;=50,"PARTNER","WATCH"))))</x:f>
      </x:c>
      <x:c r="R657" s="12" t="str">
        <x:f>IF(Q657="","",IF(Q657="ATTACK","Grassroots + family acquisition",IF(Q657="GROW","Test local campaign",IF(Q657="PARTNER","Organisation-first partnership","Low priority / validate"))))</x:f>
      </x:c>
      <x:c r="S657" s="45" t="n">
        <x:v>6.3504786740728205</x:v>
      </x:c>
      <x:c r="T657" t="str">
        <x:v>NEAR</x:v>
      </x:c>
      <x:c r="U657" s="32" t="n">
        <x:f>PERCENTRANK.INC($G$2:$G$941,G657)</x:f>
        <x:v>0.559</x:v>
      </x:c>
      <x:c r="V657" s="32" t="n">
        <x:f>PERCENTRANK.INC($H$2:$H$941,H657)</x:f>
        <x:v>0.829</x:v>
      </x:c>
      <x:c r="W657" t="n">
        <x:f>ROUND((U657*55+V657*45)*IF(S657&lt;=5,1,IF(S657&lt;=10,0.95,IF(S657&lt;=20,0.85,0.70))),0)</x:f>
        <x:v>65</x:v>
      </x:c>
      <x:c r="X657" t="n">
        <x:v>60</x:v>
      </x:c>
      <x:c r="Y657" t="str">
        <x:v>PARTNER</x:v>
      </x:c>
      <x:c r="Z657" s="12" t="str">
        <x:v>Family + verified grassroots + straight-line geo only; transport not yet routed</x:v>
      </x:c>
      <x:c r="AA657" s="12"/>
      <x:c r="AB657" s="12"/>
      <x:c r="AC657" s="12"/>
      <x:c r="AD657" s="12"/>
      <x:c r="AE657" t="str">
        <x:v>Charlton Athletic Women</x:v>
      </x:c>
      <x:c r="AF657" s="45" t="n">
        <x:v>4.72494380189059</x:v>
      </x:c>
      <x:c r="AG657" t="str">
        <x:v>Dulwich Hamlet Women</x:v>
      </x:c>
      <x:c r="AH657" s="45" t="n">
        <x:v>6.534204145218562</x:v>
      </x:c>
      <x:c r="AI657" t="n">
        <x:v>81</x:v>
      </x:c>
      <x:c r="AJ657" t="str">
        <x:v>HIGH</x:v>
      </x:c>
    </x:row>
    <x:row r="658">
      <x:c r="A658" s="12" t="str">
        <x:v>E01003285</x:v>
      </x:c>
      <x:c r="B658" s="12" t="str">
        <x:v>Lewisham 016C</x:v>
      </x:c>
      <x:c r="C658" s="12" t="str">
        <x:v>Lewisham</x:v>
      </x:c>
      <x:c r="D658" s="44" t="n">
        <x:v>51.45191552672795</x:v>
      </x:c>
      <x:c r="E658" s="44" t="n">
        <x:v>0.013435209061158252</x:v>
      </x:c>
      <x:c r="F658" s="33" t="n">
        <x:v>752</x:v>
      </x:c>
      <x:c r="G658" s="33" t="n">
        <x:v>243</x:v>
      </x:c>
      <x:c r="H658" s="26" t="n">
        <x:v>0.32313829787234044</x:v>
      </x:c>
      <x:c r="I658" s="12" t="n">
        <x:v>1</x:v>
      </x:c>
      <x:c r="J658" s="12" t="n">
        <x:v>53</x:v>
      </x:c>
      <x:c r="K658" s="12"/>
      <x:c r="L658" s="12"/>
      <x:c r="M658" s="12" t="str">
        <x:f>IF(K658="", "", MAX(0,IF(K658&lt;=20,100,IF(K658&lt;=30,85,IF(K658&lt;=40,70,IF(K658&lt;=50,55,IF(K658&lt;=60,40,20)))))-MIN(L658*5,20)))</x:f>
      </x:c>
      <x:c r="N658" s="12"/>
      <x:c r="O658" s="12"/>
      <x:c r="P658" s="12" t="str">
        <x:f>IF(OR(H658="",J658="",M658=""),"",ROUND(PERCENTRANK.INC($H$2:$H$941,H658)*35+J658*0.35+M658*0.30,0))</x:f>
      </x:c>
      <x:c r="Q658" s="12" t="str">
        <x:f>IF(P658="","",IF(P658&gt;=80,"ATTACK",IF(P658&gt;=65,"GROW",IF(P658&gt;=50,"PARTNER","WATCH"))))</x:f>
      </x:c>
      <x:c r="R658" s="12" t="str">
        <x:f>IF(Q658="","",IF(Q658="ATTACK","Grassroots + family acquisition",IF(Q658="GROW","Test local campaign",IF(Q658="PARTNER","Organisation-first partnership","Low priority / validate"))))</x:f>
      </x:c>
      <x:c r="S658" s="45" t="n">
        <x:v>6.781766815745286</x:v>
      </x:c>
      <x:c r="T658" t="str">
        <x:v>NEAR</x:v>
      </x:c>
      <x:c r="U658" s="32" t="n">
        <x:f>PERCENTRANK.INC($G$2:$G$941,G658)</x:f>
        <x:v>0.73</x:v>
      </x:c>
      <x:c r="V658" s="32" t="n">
        <x:f>PERCENTRANK.INC($H$2:$H$941,H658)</x:f>
        <x:v>0.53</x:v>
      </x:c>
      <x:c r="W658" t="n">
        <x:f>ROUND((U658*55+V658*45)*IF(S658&lt;=5,1,IF(S658&lt;=10,0.95,IF(S658&lt;=20,0.85,0.70))),0)</x:f>
        <x:v>61</x:v>
      </x:c>
      <x:c r="X658" t="n">
        <x:v>58</x:v>
      </x:c>
      <x:c r="Y658" t="str">
        <x:v>PARTNER</x:v>
      </x:c>
      <x:c r="Z658" s="12" t="str">
        <x:v>Family + verified grassroots + straight-line geo only; transport not yet routed</x:v>
      </x:c>
      <x:c r="AA658" s="12"/>
      <x:c r="AB658" s="12"/>
      <x:c r="AC658" s="12"/>
      <x:c r="AD658" s="12"/>
      <x:c r="AE658" t="str">
        <x:v>Charlton Athletic Women</x:v>
      </x:c>
      <x:c r="AF658" s="45" t="n">
        <x:v>4.144754387557524</x:v>
      </x:c>
      <x:c r="AG658" t="str">
        <x:v>Dulwich Hamlet Women</x:v>
      </x:c>
      <x:c r="AH658" s="45" t="n">
        <x:v>6.830080973085198</x:v>
      </x:c>
      <x:c r="AI658" t="n">
        <x:v>81</x:v>
      </x:c>
      <x:c r="AJ658" t="str">
        <x:v>HIGH</x:v>
      </x:c>
    </x:row>
    <x:row r="659">
      <x:c r="A659" s="12" t="str">
        <x:v>E01003287</x:v>
      </x:c>
      <x:c r="B659" s="12" t="str">
        <x:v>Lewisham 016D</x:v>
      </x:c>
      <x:c r="C659" s="12" t="str">
        <x:v>Lewisham</x:v>
      </x:c>
      <x:c r="D659" s="44" t="n">
        <x:v>51.45219778439623</x:v>
      </x:c>
      <x:c r="E659" s="44" t="n">
        <x:v>0.005048056586166434</x:v>
      </x:c>
      <x:c r="F659" s="33" t="n">
        <x:v>762</x:v>
      </x:c>
      <x:c r="G659" s="33" t="n">
        <x:v>309</x:v>
      </x:c>
      <x:c r="H659" s="26" t="n">
        <x:v>0.40551181102362205</x:v>
      </x:c>
      <x:c r="I659" s="12" t="n">
        <x:v>1</x:v>
      </x:c>
      <x:c r="J659" s="12" t="n">
        <x:v>53</x:v>
      </x:c>
      <x:c r="K659" s="12"/>
      <x:c r="L659" s="12"/>
      <x:c r="M659" s="12" t="str">
        <x:f>IF(K659="", "", MAX(0,IF(K659&lt;=20,100,IF(K659&lt;=30,85,IF(K659&lt;=40,70,IF(K659&lt;=50,55,IF(K659&lt;=60,40,20)))))-MIN(L659*5,20)))</x:f>
      </x:c>
      <x:c r="N659" s="12"/>
      <x:c r="O659" s="12"/>
      <x:c r="P659" s="12" t="str">
        <x:f>IF(OR(H659="",J659="",M659=""),"",ROUND(PERCENTRANK.INC($H$2:$H$941,H659)*35+J659*0.35+M659*0.30,0))</x:f>
      </x:c>
      <x:c r="Q659" s="12" t="str">
        <x:f>IF(P659="","",IF(P659&gt;=80,"ATTACK",IF(P659&gt;=65,"GROW",IF(P659&gt;=50,"PARTNER","WATCH"))))</x:f>
      </x:c>
      <x:c r="R659" s="12" t="str">
        <x:f>IF(Q659="","",IF(Q659="ATTACK","Grassroots + family acquisition",IF(Q659="GROW","Test local campaign",IF(Q659="PARTNER","Organisation-first partnership","Low priority / validate"))))</x:f>
      </x:c>
      <x:c r="S659" s="45" t="n">
        <x:v>6.863061783386731</x:v>
      </x:c>
      <x:c r="T659" t="str">
        <x:v>NEAR</x:v>
      </x:c>
      <x:c r="U659" s="32" t="n">
        <x:f>PERCENTRANK.INC($G$2:$G$941,G659)</x:f>
        <x:v>0.951</x:v>
      </x:c>
      <x:c r="V659" s="32" t="n">
        <x:f>PERCENTRANK.INC($H$2:$H$941,H659)</x:f>
        <x:v>0.922</x:v>
      </x:c>
      <x:c r="W659" t="n">
        <x:f>ROUND((U659*55+V659*45)*IF(S659&lt;=5,1,IF(S659&lt;=10,0.95,IF(S659&lt;=20,0.85,0.70))),0)</x:f>
        <x:v>89</x:v>
      </x:c>
      <x:c r="X659" t="n">
        <x:v>73</x:v>
      </x:c>
      <x:c r="Y659" t="str">
        <x:v>GROW</x:v>
      </x:c>
      <x:c r="Z659" s="12" t="str">
        <x:v>Family + verified grassroots + straight-line geo only; transport not yet routed</x:v>
      </x:c>
      <x:c r="AA659" s="12"/>
      <x:c r="AB659" s="12"/>
      <x:c r="AC659" s="12"/>
      <x:c r="AD659" s="12"/>
      <x:c r="AE659" t="str">
        <x:v>Charlton Athletic Women</x:v>
      </x:c>
      <x:c r="AF659" s="45" t="n">
        <x:v>4.3709157845368924</x:v>
      </x:c>
      <x:c r="AG659" t="str">
        <x:v>Dulwich Hamlet Women</x:v>
      </x:c>
      <x:c r="AH659" s="45" t="n">
        <x:v>6.251261250524858</x:v>
      </x:c>
      <x:c r="AI659" t="n">
        <x:v>81</x:v>
      </x:c>
      <x:c r="AJ659" t="str">
        <x:v>HIGH</x:v>
      </x:c>
    </x:row>
    <x:row r="660">
      <x:c r="A660" s="12" t="str">
        <x:v>E01003292</x:v>
      </x:c>
      <x:c r="B660" s="12" t="str">
        <x:v>Lewisham 017A</x:v>
      </x:c>
      <x:c r="C660" s="12" t="str">
        <x:v>Lewisham</x:v>
      </x:c>
      <x:c r="D660" s="44" t="n">
        <x:v>51.45112721602438</x:v>
      </x:c>
      <x:c r="E660" s="44" t="n">
        <x:v>-0.005981783266978474</x:v>
      </x:c>
      <x:c r="F660" s="33" t="n">
        <x:v>734</x:v>
      </x:c>
      <x:c r="G660" s="33" t="n">
        <x:v>228</x:v>
      </x:c>
      <x:c r="H660" s="26" t="n">
        <x:v>0.3106267029972752</x:v>
      </x:c>
      <x:c r="I660" s="12" t="n">
        <x:v>1</x:v>
      </x:c>
      <x:c r="J660" s="12" t="n">
        <x:v>60</x:v>
      </x:c>
      <x:c r="K660" s="12"/>
      <x:c r="L660" s="12"/>
      <x:c r="M660" s="12" t="str">
        <x:f>IF(K660="", "", MAX(0,IF(K660&lt;=20,100,IF(K660&lt;=30,85,IF(K660&lt;=40,70,IF(K660&lt;=50,55,IF(K660&lt;=60,40,20)))))-MIN(L660*5,20)))</x:f>
      </x:c>
      <x:c r="N660" s="12"/>
      <x:c r="O660" s="12"/>
      <x:c r="P660" s="12" t="str">
        <x:f>IF(OR(H660="",J660="",M660=""),"",ROUND(PERCENTRANK.INC($H$2:$H$941,H660)*35+J660*0.35+M660*0.30,0))</x:f>
      </x:c>
      <x:c r="Q660" s="12" t="str">
        <x:f>IF(P660="","",IF(P660&gt;=80,"ATTACK",IF(P660&gt;=65,"GROW",IF(P660&gt;=50,"PARTNER","WATCH"))))</x:f>
      </x:c>
      <x:c r="R660" s="12" t="str">
        <x:f>IF(Q660="","",IF(Q660="ATTACK","Grassroots + family acquisition",IF(Q660="GROW","Test local campaign",IF(Q660="PARTNER","Organisation-first partnership","Low priority / validate"))))</x:f>
      </x:c>
      <x:c r="S660" s="45" t="n">
        <x:v>6.886448613196672</x:v>
      </x:c>
      <x:c r="T660" t="str">
        <x:v>NEAR</x:v>
      </x:c>
      <x:c r="U660" s="32" t="n">
        <x:f>PERCENTRANK.INC($G$2:$G$941,G660)</x:f>
        <x:v>0.616</x:v>
      </x:c>
      <x:c r="V660" s="32" t="n">
        <x:f>PERCENTRANK.INC($H$2:$H$941,H660)</x:f>
        <x:v>0.452</x:v>
      </x:c>
      <x:c r="W660" t="n">
        <x:f>ROUND((U660*55+V660*45)*IF(S660&lt;=5,1,IF(S660&lt;=10,0.95,IF(S660&lt;=20,0.85,0.70))),0)</x:f>
        <x:v>52</x:v>
      </x:c>
      <x:c r="X660" t="n">
        <x:v>56</x:v>
      </x:c>
      <x:c r="Y660" t="str">
        <x:v>PARTNER</x:v>
      </x:c>
      <x:c r="Z660" s="12" t="str">
        <x:v>Family + verified grassroots + straight-line geo only; transport not yet routed</x:v>
      </x:c>
      <x:c r="AA660" s="12"/>
      <x:c r="AB660" s="12"/>
      <x:c r="AC660" s="12"/>
      <x:c r="AD660" s="12"/>
      <x:c r="AE660" t="str">
        <x:v>Charlton Athletic Women</x:v>
      </x:c>
      <x:c r="AF660" s="45" t="n">
        <x:v>4.888793741891962</x:v>
      </x:c>
      <x:c r="AG660" t="str">
        <x:v>Dulwich Hamlet Women</x:v>
      </x:c>
      <x:c r="AH660" s="45" t="n">
        <x:v>5.521833441320043</x:v>
      </x:c>
      <x:c r="AI660" t="n">
        <x:v>85</x:v>
      </x:c>
      <x:c r="AJ660" t="str">
        <x:v>HIGH</x:v>
      </x:c>
    </x:row>
    <x:row r="661">
      <x:c r="A661" s="12" t="str">
        <x:v>E01003293</x:v>
      </x:c>
      <x:c r="B661" s="12" t="str">
        <x:v>Lewisham 017B</x:v>
      </x:c>
      <x:c r="C661" s="12" t="str">
        <x:v>Lewisham</x:v>
      </x:c>
      <x:c r="D661" s="44" t="n">
        <x:v>51.451233416541385</x:v>
      </x:c>
      <x:c r="E661" s="44" t="n">
        <x:v>-0.011284675397553632</x:v>
      </x:c>
      <x:c r="F661" s="33" t="n">
        <x:v>637</x:v>
      </x:c>
      <x:c r="G661" s="33" t="n">
        <x:v>178</x:v>
      </x:c>
      <x:c r="H661" s="26" t="n">
        <x:v>0.2794348508634223</x:v>
      </x:c>
      <x:c r="I661" s="12" t="n">
        <x:v>2</x:v>
      </x:c>
      <x:c r="J661" s="12" t="n">
        <x:v>75</x:v>
      </x:c>
      <x:c r="K661" s="12"/>
      <x:c r="L661" s="12"/>
      <x:c r="M661" s="12" t="str">
        <x:f>IF(K661="", "", MAX(0,IF(K661&lt;=20,100,IF(K661&lt;=30,85,IF(K661&lt;=40,70,IF(K661&lt;=50,55,IF(K661&lt;=60,40,20)))))-MIN(L661*5,20)))</x:f>
      </x:c>
      <x:c r="N661" s="12"/>
      <x:c r="O661" s="12"/>
      <x:c r="P661" s="12" t="str">
        <x:f>IF(OR(H661="",J661="",M661=""),"",ROUND(PERCENTRANK.INC($H$2:$H$941,H661)*35+J661*0.35+M661*0.30,0))</x:f>
      </x:c>
      <x:c r="Q661" s="12" t="str">
        <x:f>IF(P661="","",IF(P661&gt;=80,"ATTACK",IF(P661&gt;=65,"GROW",IF(P661&gt;=50,"PARTNER","WATCH"))))</x:f>
      </x:c>
      <x:c r="R661" s="12" t="str">
        <x:f>IF(Q661="","",IF(Q661="ATTACK","Grassroots + family acquisition",IF(Q661="GROW","Test local campaign",IF(Q661="PARTNER","Organisation-first partnership","Low priority / validate"))))</x:f>
      </x:c>
      <x:c r="S661" s="45" t="n">
        <x:v>6.994611317199372</x:v>
      </x:c>
      <x:c r="T661" t="str">
        <x:v>NEAR</x:v>
      </x:c>
      <x:c r="U661" s="32" t="n">
        <x:f>PERCENTRANK.INC($G$2:$G$941,G661)</x:f>
        <x:v>0.21</x:v>
      </x:c>
      <x:c r="V661" s="32" t="n">
        <x:f>PERCENTRANK.INC($H$2:$H$941,H661)</x:f>
        <x:v>0.291</x:v>
      </x:c>
      <x:c r="W661" t="n">
        <x:f>ROUND((U661*55+V661*45)*IF(S661&lt;=5,1,IF(S661&lt;=10,0.95,IF(S661&lt;=20,0.85,0.70))),0)</x:f>
        <x:v>23</x:v>
      </x:c>
      <x:c r="X661" t="n">
        <x:v>47</x:v>
      </x:c>
      <x:c r="Y661" t="str">
        <x:v>WATCH</x:v>
      </x:c>
      <x:c r="Z661" s="12" t="str">
        <x:v>Family + verified grassroots + straight-line geo only; transport not yet routed</x:v>
      </x:c>
      <x:c r="AA661" s="12"/>
      <x:c r="AB661" s="12"/>
      <x:c r="AC661" s="12"/>
      <x:c r="AD661" s="12"/>
      <x:c r="AE661" t="str">
        <x:v>Charlton Athletic Women</x:v>
      </x:c>
      <x:c r="AF661" s="45" t="n">
        <x:v>5.107511639886459</x:v>
      </x:c>
      <x:c r="AG661" t="str">
        <x:v>Dulwich Hamlet Women</x:v>
      </x:c>
      <x:c r="AH661" s="45" t="n">
        <x:v>5.160200384069248</x:v>
      </x:c>
      <x:c r="AI661" t="n">
        <x:v>85</x:v>
      </x:c>
      <x:c r="AJ661" t="str">
        <x:v>HIGH</x:v>
      </x:c>
    </x:row>
    <x:row r="662">
      <x:c r="A662" s="12" t="str">
        <x:v>E01003295</x:v>
      </x:c>
      <x:c r="B662" s="12" t="str">
        <x:v>Lewisham 017D</x:v>
      </x:c>
      <x:c r="C662" s="12" t="str">
        <x:v>Lewisham</x:v>
      </x:c>
      <x:c r="D662" s="44" t="n">
        <x:v>51.448140974429585</x:v>
      </x:c>
      <x:c r="E662" s="44" t="n">
        <x:v>0.0007678630955311542</x:v>
      </x:c>
      <x:c r="F662" s="33" t="n">
        <x:v>726</x:v>
      </x:c>
      <x:c r="G662" s="33" t="n">
        <x:v>214</x:v>
      </x:c>
      <x:c r="H662" s="26" t="n">
        <x:v>0.29476584022038566</x:v>
      </x:c>
      <x:c r="I662" s="12" t="n">
        <x:v>1</x:v>
      </x:c>
      <x:c r="J662" s="12" t="n">
        <x:v>60</x:v>
      </x:c>
      <x:c r="K662" s="12"/>
      <x:c r="L662" s="12"/>
      <x:c r="M662" s="12" t="str">
        <x:f>IF(K662="", "", MAX(0,IF(K662&lt;=20,100,IF(K662&lt;=30,85,IF(K662&lt;=40,70,IF(K662&lt;=50,55,IF(K662&lt;=60,40,20)))))-MIN(L662*5,20)))</x:f>
      </x:c>
      <x:c r="N662" s="12"/>
      <x:c r="O662" s="12"/>
      <x:c r="P662" s="12" t="str">
        <x:f>IF(OR(H662="",J662="",M662=""),"",ROUND(PERCENTRANK.INC($H$2:$H$941,H662)*35+J662*0.35+M662*0.30,0))</x:f>
      </x:c>
      <x:c r="Q662" s="12" t="str">
        <x:f>IF(P662="","",IF(P662&gt;=80,"ATTACK",IF(P662&gt;=65,"GROW",IF(P662&gt;=50,"PARTNER","WATCH"))))</x:f>
      </x:c>
      <x:c r="R662" s="12" t="str">
        <x:f>IF(Q662="","",IF(Q662="ATTACK","Grassroots + family acquisition",IF(Q662="GROW","Test local campaign",IF(Q662="PARTNER","Organisation-first partnership","Low priority / validate"))))</x:f>
      </x:c>
      <x:c r="S662" s="45" t="n">
        <x:v>6.46324301292842</x:v>
      </x:c>
      <x:c r="T662" t="str">
        <x:v>NEAR</x:v>
      </x:c>
      <x:c r="U662" s="32" t="n">
        <x:f>PERCENTRANK.INC($G$2:$G$941,G662)</x:f>
        <x:v>0.502</x:v>
      </x:c>
      <x:c r="V662" s="32" t="n">
        <x:f>PERCENTRANK.INC($H$2:$H$941,H662)</x:f>
        <x:v>0.368</x:v>
      </x:c>
      <x:c r="W662" t="n">
        <x:f>ROUND((U662*55+V662*45)*IF(S662&lt;=5,1,IF(S662&lt;=10,0.95,IF(S662&lt;=20,0.85,0.70))),0)</x:f>
        <x:v>42</x:v>
      </x:c>
      <x:c r="X662" t="n">
        <x:v>50</x:v>
      </x:c>
      <x:c r="Y662" t="str">
        <x:v>PARTNER</x:v>
      </x:c>
      <x:c r="Z662" s="12" t="str">
        <x:v>Family + verified grassroots + straight-line geo only; transport not yet routed</x:v>
      </x:c>
      <x:c r="AA662" s="12"/>
      <x:c r="AB662" s="12"/>
      <x:c r="AC662" s="12"/>
      <x:c r="AD662" s="12"/>
      <x:c r="AE662" t="str">
        <x:v>Charlton Athletic Women</x:v>
      </x:c>
      <x:c r="AF662" s="45" t="n">
        <x:v>4.909725564680109</x:v>
      </x:c>
      <x:c r="AG662" t="str">
        <x:v>Dulwich Hamlet Women</x:v>
      </x:c>
      <x:c r="AH662" s="45" t="n">
        <x:v>6.052215482551418</x:v>
      </x:c>
      <x:c r="AI662" t="n">
        <x:v>81</x:v>
      </x:c>
      <x:c r="AJ662" t="str">
        <x:v>HIGH</x:v>
      </x:c>
    </x:row>
    <x:row r="663">
      <x:c r="A663" s="12" t="str">
        <x:v>E01033320</x:v>
      </x:c>
      <x:c r="B663" s="12" t="str">
        <x:v>Lewisham 017E</x:v>
      </x:c>
      <x:c r="C663" s="12" t="str">
        <x:v>Lewisham</x:v>
      </x:c>
      <x:c r="D663" s="44" t="n">
        <x:v>51.4467926079967</x:v>
      </x:c>
      <x:c r="E663" s="44" t="n">
        <x:v>-0.003595357822200757</x:v>
      </x:c>
      <x:c r="F663" s="33" t="n">
        <x:v>637</x:v>
      </x:c>
      <x:c r="G663" s="33" t="n">
        <x:v>193</x:v>
      </x:c>
      <x:c r="H663" s="26" t="n">
        <x:v>0.3029827315541601</x:v>
      </x:c>
      <x:c r="I663" s="12" t="n">
        <x:v>1</x:v>
      </x:c>
      <x:c r="J663" s="12" t="n">
        <x:v>67</x:v>
      </x:c>
      <x:c r="K663" s="12"/>
      <x:c r="L663" s="12"/>
      <x:c r="M663" s="12" t="str">
        <x:f>IF(K663="", "", MAX(0,IF(K663&lt;=20,100,IF(K663&lt;=30,85,IF(K663&lt;=40,70,IF(K663&lt;=50,55,IF(K663&lt;=60,40,20)))))-MIN(L663*5,20)))</x:f>
      </x:c>
      <x:c r="N663" s="12"/>
      <x:c r="O663" s="12"/>
      <x:c r="P663" s="12" t="str">
        <x:f>IF(OR(H663="",J663="",M663=""),"",ROUND(PERCENTRANK.INC($H$2:$H$941,H663)*35+J663*0.35+M663*0.30,0))</x:f>
      </x:c>
      <x:c r="Q663" s="12" t="str">
        <x:f>IF(P663="","",IF(P663&gt;=80,"ATTACK",IF(P663&gt;=65,"GROW",IF(P663&gt;=50,"PARTNER","WATCH"))))</x:f>
      </x:c>
      <x:c r="R663" s="12" t="str">
        <x:f>IF(Q663="","",IF(Q663="ATTACK","Grassroots + family acquisition",IF(Q663="GROW","Test local campaign",IF(Q663="PARTNER","Organisation-first partnership","Low priority / validate"))))</x:f>
      </x:c>
      <x:c r="S663" s="45" t="n">
        <x:v>6.379081996453654</x:v>
      </x:c>
      <x:c r="T663" t="str">
        <x:v>NEAR</x:v>
      </x:c>
      <x:c r="U663" s="32" t="n">
        <x:f>PERCENTRANK.INC($G$2:$G$941,G663)</x:f>
        <x:v>0.333</x:v>
      </x:c>
      <x:c r="V663" s="32" t="n">
        <x:f>PERCENTRANK.INC($H$2:$H$941,H663)</x:f>
        <x:v>0.412</x:v>
      </x:c>
      <x:c r="W663" t="n">
        <x:f>ROUND((U663*55+V663*45)*IF(S663&lt;=5,1,IF(S663&lt;=10,0.95,IF(S663&lt;=20,0.85,0.70))),0)</x:f>
        <x:v>35</x:v>
      </x:c>
      <x:c r="X663" t="n">
        <x:v>50</x:v>
      </x:c>
      <x:c r="Y663" t="str">
        <x:v>PARTNER</x:v>
      </x:c>
      <x:c r="Z663" s="12" t="str">
        <x:v>Family + verified grassroots + straight-line geo only; transport not yet routed</x:v>
      </x:c>
      <x:c r="AA663" s="12"/>
      <x:c r="AB663" s="12"/>
      <x:c r="AC663" s="12"/>
      <x:c r="AD663" s="12"/>
      <x:c r="AE663" t="str">
        <x:v>Charlton Athletic Women</x:v>
      </x:c>
      <x:c r="AF663" s="45" t="n">
        <x:v>5.193908639948021</x:v>
      </x:c>
      <x:c r="AG663" t="str">
        <x:v>Dulwich Hamlet Women</x:v>
      </x:c>
      <x:c r="AH663" s="45" t="n">
        <x:v>5.799393914478747</x:v>
      </x:c>
      <x:c r="AI663" t="n">
        <x:v>85</x:v>
      </x:c>
      <x:c r="AJ663" t="str">
        <x:v>HIGH</x:v>
      </x:c>
    </x:row>
    <x:row r="664">
      <x:c r="A664" s="12" t="str">
        <x:v>E01033322</x:v>
      </x:c>
      <x:c r="B664" s="12" t="str">
        <x:v>Lewisham 017F</x:v>
      </x:c>
      <x:c r="C664" s="12" t="str">
        <x:v>Lewisham</x:v>
      </x:c>
      <x:c r="D664" s="44" t="n">
        <x:v>51.44894828230444</x:v>
      </x:c>
      <x:c r="E664" s="44" t="n">
        <x:v>-0.003203640978624124</x:v>
      </x:c>
      <x:c r="F664" s="33" t="n">
        <x:v>574</x:v>
      </x:c>
      <x:c r="G664" s="33" t="n">
        <x:v>153</x:v>
      </x:c>
      <x:c r="H664" s="26" t="n">
        <x:v>0.2665505226480836</x:v>
      </x:c>
      <x:c r="I664" s="12" t="n">
        <x:v>1</x:v>
      </x:c>
      <x:c r="J664" s="12" t="n">
        <x:v>60</x:v>
      </x:c>
      <x:c r="K664" s="12"/>
      <x:c r="L664" s="12"/>
      <x:c r="M664" s="12" t="str">
        <x:f>IF(K664="", "", MAX(0,IF(K664&lt;=20,100,IF(K664&lt;=30,85,IF(K664&lt;=40,70,IF(K664&lt;=50,55,IF(K664&lt;=60,40,20)))))-MIN(L664*5,20)))</x:f>
      </x:c>
      <x:c r="N664" s="12"/>
      <x:c r="O664" s="12"/>
      <x:c r="P664" s="12" t="str">
        <x:f>IF(OR(H664="",J664="",M664=""),"",ROUND(PERCENTRANK.INC($H$2:$H$941,H664)*35+J664*0.35+M664*0.30,0))</x:f>
      </x:c>
      <x:c r="Q664" s="12" t="str">
        <x:f>IF(P664="","",IF(P664&gt;=80,"ATTACK",IF(P664&gt;=65,"GROW",IF(P664&gt;=50,"PARTNER","WATCH"))))</x:f>
      </x:c>
      <x:c r="R664" s="12" t="str">
        <x:f>IF(Q664="","",IF(Q664="ATTACK","Grassroots + family acquisition",IF(Q664="GROW","Test local campaign",IF(Q664="PARTNER","Organisation-first partnership","Low priority / validate"))))</x:f>
      </x:c>
      <x:c r="S664" s="45" t="n">
        <x:v>6.606474906515341</x:v>
      </x:c>
      <x:c r="T664" t="str">
        <x:v>NEAR</x:v>
      </x:c>
      <x:c r="U664" s="32" t="n">
        <x:f>PERCENTRANK.INC($G$2:$G$941,G664)</x:f>
        <x:v>0.101</x:v>
      </x:c>
      <x:c r="V664" s="32" t="n">
        <x:f>PERCENTRANK.INC($H$2:$H$941,H664)</x:f>
        <x:v>0.246</x:v>
      </x:c>
      <x:c r="W664" t="n">
        <x:f>ROUND((U664*55+V664*45)*IF(S664&lt;=5,1,IF(S664&lt;=10,0.95,IF(S664&lt;=20,0.85,0.70))),0)</x:f>
        <x:v>16</x:v>
      </x:c>
      <x:c r="X664" t="n">
        <x:v>36</x:v>
      </x:c>
      <x:c r="Y664" t="str">
        <x:v>WATCH</x:v>
      </x:c>
      <x:c r="Z664" s="12" t="str">
        <x:v>Family + verified grassroots + straight-line geo only; transport not yet routed</x:v>
      </x:c>
      <x:c r="AA664" s="12"/>
      <x:c r="AB664" s="12"/>
      <x:c r="AC664" s="12"/>
      <x:c r="AD664" s="12"/>
      <x:c r="AE664" t="str">
        <x:v>Charlton Athletic Women</x:v>
      </x:c>
      <x:c r="AF664" s="45" t="n">
        <x:v>4.9773247700122045</x:v>
      </x:c>
      <x:c r="AG664" t="str">
        <x:v>Dulwich Hamlet Women</x:v>
      </x:c>
      <x:c r="AH664" s="45" t="n">
        <x:v>5.763473710678572</x:v>
      </x:c>
      <x:c r="AI664" t="n">
        <x:v>85</x:v>
      </x:c>
      <x:c r="AJ664" t="str">
        <x:v>HIGH</x:v>
      </x:c>
    </x:row>
    <x:row r="665">
      <x:c r="A665" s="12" t="str">
        <x:v>E01003319</x:v>
      </x:c>
      <x:c r="B665" s="12" t="str">
        <x:v>Lewisham 018A</x:v>
      </x:c>
      <x:c r="C665" s="12" t="str">
        <x:v>Lewisham</x:v>
      </x:c>
      <x:c r="D665" s="44" t="n">
        <x:v>51.44427291974676</x:v>
      </x:c>
      <x:c r="E665" s="44" t="n">
        <x:v>-0.015566706412889935</x:v>
      </x:c>
      <x:c r="F665" s="33" t="n">
        <x:v>750</x:v>
      </x:c>
      <x:c r="G665" s="33" t="n">
        <x:v>222</x:v>
      </x:c>
      <x:c r="H665" s="26" t="n">
        <x:v>0.296</x:v>
      </x:c>
      <x:c r="I665" s="12" t="n">
        <x:v>1</x:v>
      </x:c>
      <x:c r="J665" s="12" t="n">
        <x:v>67</x:v>
      </x:c>
      <x:c r="K665" s="12"/>
      <x:c r="L665" s="12"/>
      <x:c r="M665" s="12" t="str">
        <x:f>IF(K665="", "", MAX(0,IF(K665&lt;=20,100,IF(K665&lt;=30,85,IF(K665&lt;=40,70,IF(K665&lt;=50,55,IF(K665&lt;=60,40,20)))))-MIN(L665*5,20)))</x:f>
      </x:c>
      <x:c r="N665" s="12"/>
      <x:c r="O665" s="12"/>
      <x:c r="P665" s="12" t="str">
        <x:f>IF(OR(H665="",J665="",M665=""),"",ROUND(PERCENTRANK.INC($H$2:$H$941,H665)*35+J665*0.35+M665*0.30,0))</x:f>
      </x:c>
      <x:c r="Q665" s="12" t="str">
        <x:f>IF(P665="","",IF(P665&gt;=80,"ATTACK",IF(P665&gt;=65,"GROW",IF(P665&gt;=50,"PARTNER","WATCH"))))</x:f>
      </x:c>
      <x:c r="R665" s="12" t="str">
        <x:f>IF(Q665="","",IF(Q665="ATTACK","Grassroots + family acquisition",IF(Q665="GROW","Test local campaign",IF(Q665="PARTNER","Organisation-first partnership","Low priority / validate"))))</x:f>
      </x:c>
      <x:c r="S665" s="45" t="n">
        <x:v>6.358940791823799</x:v>
      </x:c>
      <x:c r="T665" t="str">
        <x:v>NEAR</x:v>
      </x:c>
      <x:c r="U665" s="32" t="n">
        <x:f>PERCENTRANK.INC($G$2:$G$941,G665)</x:f>
        <x:v>0.559</x:v>
      </x:c>
      <x:c r="V665" s="32" t="n">
        <x:f>PERCENTRANK.INC($H$2:$H$941,H665)</x:f>
        <x:v>0.373</x:v>
      </x:c>
      <x:c r="W665" t="n">
        <x:f>ROUND((U665*55+V665*45)*IF(S665&lt;=5,1,IF(S665&lt;=10,0.95,IF(S665&lt;=20,0.85,0.70))),0)</x:f>
        <x:v>45</x:v>
      </x:c>
      <x:c r="X665" t="n">
        <x:v>55</x:v>
      </x:c>
      <x:c r="Y665" t="str">
        <x:v>PARTNER</x:v>
      </x:c>
      <x:c r="Z665" s="12" t="str">
        <x:v>Family + verified grassroots + straight-line geo only; transport not yet routed</x:v>
      </x:c>
      <x:c r="AA665" s="12"/>
      <x:c r="AB665" s="12"/>
      <x:c r="AC665" s="12"/>
      <x:c r="AD665" s="12"/>
      <x:c r="AE665" t="str">
        <x:v>Charlton Athletic Women</x:v>
      </x:c>
      <x:c r="AF665" s="45" t="n">
        <x:v>5.897268871452769</x:v>
      </x:c>
      <x:c r="AG665" t="str">
        <x:v>Dulwich Hamlet Women</x:v>
      </x:c>
      <x:c r="AH665" s="45" t="n">
        <x:v>5.105442993618392</x:v>
      </x:c>
      <x:c r="AI665" t="n">
        <x:v>85</x:v>
      </x:c>
      <x:c r="AJ665" t="str">
        <x:v>HIGH</x:v>
      </x:c>
    </x:row>
    <x:row r="666">
      <x:c r="A666" s="12" t="str">
        <x:v>E01003320</x:v>
      </x:c>
      <x:c r="B666" s="12" t="str">
        <x:v>Lewisham 018B</x:v>
      </x:c>
      <x:c r="C666" s="12" t="str">
        <x:v>Lewisham</x:v>
      </x:c>
      <x:c r="D666" s="44" t="n">
        <x:v>51.444293168838584</x:v>
      </x:c>
      <x:c r="E666" s="44" t="n">
        <x:v>-0.010763698801073628</x:v>
      </x:c>
      <x:c r="F666" s="33" t="n">
        <x:v>620</x:v>
      </x:c>
      <x:c r="G666" s="33" t="n">
        <x:v>196</x:v>
      </x:c>
      <x:c r="H666" s="26" t="n">
        <x:v>0.3161290322580645</x:v>
      </x:c>
      <x:c r="I666" s="12" t="n">
        <x:v>1</x:v>
      </x:c>
      <x:c r="J666" s="12" t="n">
        <x:v>67</x:v>
      </x:c>
      <x:c r="K666" s="12"/>
      <x:c r="L666" s="12"/>
      <x:c r="M666" s="12" t="str">
        <x:f>IF(K666="", "", MAX(0,IF(K666&lt;=20,100,IF(K666&lt;=30,85,IF(K666&lt;=40,70,IF(K666&lt;=50,55,IF(K666&lt;=60,40,20)))))-MIN(L666*5,20)))</x:f>
      </x:c>
      <x:c r="N666" s="12"/>
      <x:c r="O666" s="12"/>
      <x:c r="P666" s="12" t="str">
        <x:f>IF(OR(H666="",J666="",M666=""),"",ROUND(PERCENTRANK.INC($H$2:$H$941,H666)*35+J666*0.35+M666*0.30,0))</x:f>
      </x:c>
      <x:c r="Q666" s="12" t="str">
        <x:f>IF(P666="","",IF(P666&gt;=80,"ATTACK",IF(P666&gt;=65,"GROW",IF(P666&gt;=50,"PARTNER","WATCH"))))</x:f>
      </x:c>
      <x:c r="R666" s="12" t="str">
        <x:f>IF(Q666="","",IF(Q666="ATTACK","Grassroots + family acquisition",IF(Q666="GROW","Test local campaign",IF(Q666="PARTNER","Organisation-first partnership","Low priority / validate"))))</x:f>
      </x:c>
      <x:c r="S666" s="45" t="n">
        <x:v>6.24792614114462</x:v>
      </x:c>
      <x:c r="T666" t="str">
        <x:v>NEAR</x:v>
      </x:c>
      <x:c r="U666" s="32" t="n">
        <x:f>PERCENTRANK.INC($G$2:$G$941,G666)</x:f>
        <x:v>0.351</x:v>
      </x:c>
      <x:c r="V666" s="32" t="n">
        <x:f>PERCENTRANK.INC($H$2:$H$941,H666)</x:f>
        <x:v>0.49</x:v>
      </x:c>
      <x:c r="W666" t="n">
        <x:f>ROUND((U666*55+V666*45)*IF(S666&lt;=5,1,IF(S666&lt;=10,0.95,IF(S666&lt;=20,0.85,0.70))),0)</x:f>
        <x:v>39</x:v>
      </x:c>
      <x:c r="X666" t="n">
        <x:v>52</x:v>
      </x:c>
      <x:c r="Y666" t="str">
        <x:v>PARTNER</x:v>
      </x:c>
      <x:c r="Z666" s="12" t="str">
        <x:v>Family + verified grassroots + straight-line geo only; transport not yet routed</x:v>
      </x:c>
      <x:c r="AA666" s="12"/>
      <x:c r="AB666" s="12"/>
      <x:c r="AC666" s="12"/>
      <x:c r="AD666" s="12"/>
      <x:c r="AE666" t="str">
        <x:v>Charlton Athletic Women</x:v>
      </x:c>
      <x:c r="AF666" s="45" t="n">
        <x:v>5.699420860404879</x:v>
      </x:c>
      <x:c r="AG666" t="str">
        <x:v>Dulwich Hamlet Women</x:v>
      </x:c>
      <x:c r="AH666" s="45" t="n">
        <x:v>5.415086094893404</x:v>
      </x:c>
      <x:c r="AI666" t="n">
        <x:v>85</x:v>
      </x:c>
      <x:c r="AJ666" t="str">
        <x:v>HIGH</x:v>
      </x:c>
    </x:row>
    <x:row r="667">
      <x:c r="A667" s="12" t="str">
        <x:v>E01003323</x:v>
      </x:c>
      <x:c r="B667" s="12" t="str">
        <x:v>Lewisham 018C</x:v>
      </x:c>
      <x:c r="C667" s="12" t="str">
        <x:v>Lewisham</x:v>
      </x:c>
      <x:c r="D667" s="44" t="n">
        <x:v>51.44930632330841</x:v>
      </x:c>
      <x:c r="E667" s="44" t="n">
        <x:v>-0.012193556614680407</x:v>
      </x:c>
      <x:c r="F667" s="33" t="n">
        <x:v>622</x:v>
      </x:c>
      <x:c r="G667" s="33" t="n">
        <x:v>178</x:v>
      </x:c>
      <x:c r="H667" s="26" t="n">
        <x:v>0.2861736334405145</x:v>
      </x:c>
      <x:c r="I667" s="12" t="n">
        <x:v>2</x:v>
      </x:c>
      <x:c r="J667" s="12" t="n">
        <x:v>75</x:v>
      </x:c>
      <x:c r="K667" s="12"/>
      <x:c r="L667" s="12"/>
      <x:c r="M667" s="12" t="str">
        <x:f>IF(K667="", "", MAX(0,IF(K667&lt;=20,100,IF(K667&lt;=30,85,IF(K667&lt;=40,70,IF(K667&lt;=50,55,IF(K667&lt;=60,40,20)))))-MIN(L667*5,20)))</x:f>
      </x:c>
      <x:c r="N667" s="12"/>
      <x:c r="O667" s="12"/>
      <x:c r="P667" s="12" t="str">
        <x:f>IF(OR(H667="",J667="",M667=""),"",ROUND(PERCENTRANK.INC($H$2:$H$941,H667)*35+J667*0.35+M667*0.30,0))</x:f>
      </x:c>
      <x:c r="Q667" s="12" t="str">
        <x:f>IF(P667="","",IF(P667&gt;=80,"ATTACK",IF(P667&gt;=65,"GROW",IF(P667&gt;=50,"PARTNER","WATCH"))))</x:f>
      </x:c>
      <x:c r="R667" s="12" t="str">
        <x:f>IF(Q667="","",IF(Q667="ATTACK","Grassroots + family acquisition",IF(Q667="GROW","Test local campaign",IF(Q667="PARTNER","Organisation-first partnership","Low priority / validate"))))</x:f>
      </x:c>
      <x:c r="S667" s="45" t="n">
        <x:v>6.808591214825361</x:v>
      </x:c>
      <x:c r="T667" t="str">
        <x:v>NEAR</x:v>
      </x:c>
      <x:c r="U667" s="32" t="n">
        <x:f>PERCENTRANK.INC($G$2:$G$941,G667)</x:f>
        <x:v>0.21</x:v>
      </x:c>
      <x:c r="V667" s="32" t="n">
        <x:f>PERCENTRANK.INC($H$2:$H$941,H667)</x:f>
        <x:v>0.323</x:v>
      </x:c>
      <x:c r="W667" t="n">
        <x:f>ROUND((U667*55+V667*45)*IF(S667&lt;=5,1,IF(S667&lt;=10,0.95,IF(S667&lt;=20,0.85,0.70))),0)</x:f>
        <x:v>25</x:v>
      </x:c>
      <x:c r="X667" t="n">
        <x:v>48</x:v>
      </x:c>
      <x:c r="Y667" t="str">
        <x:v>WATCH</x:v>
      </x:c>
      <x:c r="Z667" s="12" t="str">
        <x:v>Family + verified grassroots + straight-line geo only; transport not yet routed</x:v>
      </x:c>
      <x:c r="AA667" s="12"/>
      <x:c r="AB667" s="12"/>
      <x:c r="AC667" s="12"/>
      <x:c r="AD667" s="12"/>
      <x:c r="AE667" t="str">
        <x:v>Charlton Athletic Women</x:v>
      </x:c>
      <x:c r="AF667" s="45" t="n">
        <x:v>5.312869869766449</x:v>
      </x:c>
      <x:c r="AG667" t="str">
        <x:v>Dulwich Hamlet Women</x:v>
      </x:c>
      <x:c r="AH667" s="45" t="n">
        <x:v>5.150232107307828</x:v>
      </x:c>
      <x:c r="AI667" t="n">
        <x:v>85</x:v>
      </x:c>
      <x:c r="AJ667" t="str">
        <x:v>HIGH</x:v>
      </x:c>
    </x:row>
    <x:row r="668">
      <x:c r="A668" s="12" t="str">
        <x:v>E01003325</x:v>
      </x:c>
      <x:c r="B668" s="12" t="str">
        <x:v>Lewisham 018D</x:v>
      </x:c>
      <x:c r="C668" s="12" t="str">
        <x:v>Lewisham</x:v>
      </x:c>
      <x:c r="D668" s="44" t="n">
        <x:v>51.4472859464212</x:v>
      </x:c>
      <x:c r="E668" s="44" t="n">
        <x:v>-0.01476677537728602</x:v>
      </x:c>
      <x:c r="F668" s="33" t="n">
        <x:v>787</x:v>
      </x:c>
      <x:c r="G668" s="33" t="n">
        <x:v>282</x:v>
      </x:c>
      <x:c r="H668" s="26" t="n">
        <x:v>0.3583227445997459</x:v>
      </x:c>
      <x:c r="I668" s="12" t="n">
        <x:v>2</x:v>
      </x:c>
      <x:c r="J668" s="12" t="n">
        <x:v>75</x:v>
      </x:c>
      <x:c r="K668" s="12"/>
      <x:c r="L668" s="12"/>
      <x:c r="M668" s="12" t="str">
        <x:f>IF(K668="", "", MAX(0,IF(K668&lt;=20,100,IF(K668&lt;=30,85,IF(K668&lt;=40,70,IF(K668&lt;=50,55,IF(K668&lt;=60,40,20)))))-MIN(L668*5,20)))</x:f>
      </x:c>
      <x:c r="N668" s="12"/>
      <x:c r="O668" s="12"/>
      <x:c r="P668" s="12" t="str">
        <x:f>IF(OR(H668="",J668="",M668=""),"",ROUND(PERCENTRANK.INC($H$2:$H$941,H668)*35+J668*0.35+M668*0.30,0))</x:f>
      </x:c>
      <x:c r="Q668" s="12" t="str">
        <x:f>IF(P668="","",IF(P668&gt;=80,"ATTACK",IF(P668&gt;=65,"GROW",IF(P668&gt;=50,"PARTNER","WATCH"))))</x:f>
      </x:c>
      <x:c r="R668" s="12" t="str">
        <x:f>IF(Q668="","",IF(Q668="ATTACK","Grassroots + family acquisition",IF(Q668="GROW","Test local campaign",IF(Q668="PARTNER","Organisation-first partnership","Low priority / validate"))))</x:f>
      </x:c>
      <x:c r="S668" s="45" t="n">
        <x:v>6.653237402116456</x:v>
      </x:c>
      <x:c r="T668" t="str">
        <x:v>NEAR</x:v>
      </x:c>
      <x:c r="U668" s="32" t="n">
        <x:f>PERCENTRANK.INC($G$2:$G$941,G668)</x:f>
        <x:v>0.909</x:v>
      </x:c>
      <x:c r="V668" s="32" t="n">
        <x:f>PERCENTRANK.INC($H$2:$H$941,H668)</x:f>
        <x:v>0.729</x:v>
      </x:c>
      <x:c r="W668" t="n">
        <x:f>ROUND((U668*55+V668*45)*IF(S668&lt;=5,1,IF(S668&lt;=10,0.95,IF(S668&lt;=20,0.85,0.70))),0)</x:f>
        <x:v>79</x:v>
      </x:c>
      <x:c r="X668" t="n">
        <x:v>77</x:v>
      </x:c>
      <x:c r="Y668" t="str">
        <x:v>GROW</x:v>
      </x:c>
      <x:c r="Z668" s="12" t="str">
        <x:v>Family + verified grassroots + straight-line geo only; transport not yet routed</x:v>
      </x:c>
      <x:c r="AA668" s="12"/>
      <x:c r="AB668" s="12"/>
      <x:c r="AC668" s="12"/>
      <x:c r="AD668" s="12"/>
      <x:c r="AE668" t="str">
        <x:v>Charlton Athletic Women</x:v>
      </x:c>
      <x:c r="AF668" s="45" t="n">
        <x:v>5.599679945571979</x:v>
      </x:c>
      <x:c r="AG668" t="str">
        <x:v>Dulwich Hamlet Women</x:v>
      </x:c>
      <x:c r="AH668" s="45" t="n">
        <x:v>5.043285284798771</x:v>
      </x:c>
      <x:c r="AI668" t="n">
        <x:v>85</x:v>
      </x:c>
      <x:c r="AJ668" t="str">
        <x:v>HIGH</x:v>
      </x:c>
    </x:row>
    <x:row r="669">
      <x:c r="A669" s="12" t="str">
        <x:v>E01003226</x:v>
      </x:c>
      <x:c r="B669" s="12" t="str">
        <x:v>Lewisham 019A</x:v>
      </x:c>
      <x:c r="C669" s="12" t="str">
        <x:v>Lewisham</x:v>
      </x:c>
      <x:c r="D669" s="44" t="n">
        <x:v>51.449610910465466</x:v>
      </x:c>
      <x:c r="E669" s="44" t="n">
        <x:v>-0.042176354924546265</x:v>
      </x:c>
      <x:c r="F669" s="33" t="n">
        <x:v>705</x:v>
      </x:c>
      <x:c r="G669" s="33" t="n">
        <x:v>235</x:v>
      </x:c>
      <x:c r="H669" s="26" t="n">
        <x:v>0.3333333333333333</x:v>
      </x:c>
      <x:c r="I669" s="12" t="n">
        <x:v>2</x:v>
      </x:c>
      <x:c r="J669" s="12" t="n">
        <x:v>59</x:v>
      </x:c>
      <x:c r="K669" s="12"/>
      <x:c r="L669" s="12"/>
      <x:c r="M669" s="12" t="str">
        <x:f>IF(K669="", "", MAX(0,IF(K669&lt;=20,100,IF(K669&lt;=30,85,IF(K669&lt;=40,70,IF(K669&lt;=50,55,IF(K669&lt;=60,40,20)))))-MIN(L669*5,20)))</x:f>
      </x:c>
      <x:c r="N669" s="12"/>
      <x:c r="O669" s="12"/>
      <x:c r="P669" s="12" t="str">
        <x:f>IF(OR(H669="",J669="",M669=""),"",ROUND(PERCENTRANK.INC($H$2:$H$941,H669)*35+J669*0.35+M669*0.30,0))</x:f>
      </x:c>
      <x:c r="Q669" s="12" t="str">
        <x:f>IF(P669="","",IF(P669&gt;=80,"ATTACK",IF(P669&gt;=65,"GROW",IF(P669&gt;=50,"PARTNER","WATCH"))))</x:f>
      </x:c>
      <x:c r="R669" s="12" t="str">
        <x:f>IF(Q669="","",IF(Q669="ATTACK","Grassroots + family acquisition",IF(Q669="GROW","Test local campaign",IF(Q669="PARTNER","Organisation-first partnership","Low priority / validate"))))</x:f>
      </x:c>
      <x:c r="S669" s="45" t="n">
        <x:v>7.7292857088966676</x:v>
      </x:c>
      <x:c r="T669" t="str">
        <x:v>NEAR</x:v>
      </x:c>
      <x:c r="U669" s="32" t="n">
        <x:f>PERCENTRANK.INC($G$2:$G$941,G669)</x:f>
        <x:v>0.667</x:v>
      </x:c>
      <x:c r="V669" s="32" t="n">
        <x:f>PERCENTRANK.INC($H$2:$H$941,H669)</x:f>
        <x:v>0.591</x:v>
      </x:c>
      <x:c r="W669" t="n">
        <x:f>ROUND((U669*55+V669*45)*IF(S669&lt;=5,1,IF(S669&lt;=10,0.95,IF(S669&lt;=20,0.85,0.70))),0)</x:f>
        <x:v>60</x:v>
      </x:c>
      <x:c r="X669" t="n">
        <x:v>60</x:v>
      </x:c>
      <x:c r="Y669" t="str">
        <x:v>PARTNER</x:v>
      </x:c>
      <x:c r="Z669" s="12" t="str">
        <x:v>Family + verified grassroots + straight-line geo only; transport not yet routed</x:v>
      </x:c>
      <x:c r="AA669" s="12"/>
      <x:c r="AB669" s="12"/>
      <x:c r="AC669" s="12"/>
      <x:c r="AD669" s="12"/>
      <x:c r="AE669" t="str">
        <x:v>Crystal Palace Women</x:v>
      </x:c>
      <x:c r="AF669" s="45" t="n">
        <x:v>6.438671423354588</x:v>
      </x:c>
      <x:c r="AG669" t="str">
        <x:v>Dulwich Hamlet Women</x:v>
      </x:c>
      <x:c r="AH669" s="45" t="n">
        <x:v>3.1756716216272705</x:v>
      </x:c>
      <x:c r="AI669" t="n">
        <x:v>74</x:v>
      </x:c>
      <x:c r="AJ669" t="str">
        <x:v>MEDIUM</x:v>
      </x:c>
    </x:row>
    <x:row r="670">
      <x:c r="A670" s="12" t="str">
        <x:v>E01003227</x:v>
      </x:c>
      <x:c r="B670" s="12" t="str">
        <x:v>Lewisham 019B</x:v>
      </x:c>
      <x:c r="C670" s="12" t="str">
        <x:v>Lewisham</x:v>
      </x:c>
      <x:c r="D670" s="44" t="n">
        <x:v>51.44806012248566</x:v>
      </x:c>
      <x:c r="E670" s="44" t="n">
        <x:v>-0.03812330389565566</x:v>
      </x:c>
      <x:c r="F670" s="33" t="n">
        <x:v>658</x:v>
      </x:c>
      <x:c r="G670" s="33" t="n">
        <x:v>214</x:v>
      </x:c>
      <x:c r="H670" s="26" t="n">
        <x:v>0.3252279635258359</x:v>
      </x:c>
      <x:c r="I670" s="12" t="n">
        <x:v>2</x:v>
      </x:c>
      <x:c r="J670" s="12" t="n">
        <x:v>59</x:v>
      </x:c>
      <x:c r="K670" s="12"/>
      <x:c r="L670" s="12"/>
      <x:c r="M670" s="12" t="str">
        <x:f>IF(K670="", "", MAX(0,IF(K670&lt;=20,100,IF(K670&lt;=30,85,IF(K670&lt;=40,70,IF(K670&lt;=50,55,IF(K670&lt;=60,40,20)))))-MIN(L670*5,20)))</x:f>
      </x:c>
      <x:c r="N670" s="12"/>
      <x:c r="O670" s="12"/>
      <x:c r="P670" s="12" t="str">
        <x:f>IF(OR(H670="",J670="",M670=""),"",ROUND(PERCENTRANK.INC($H$2:$H$941,H670)*35+J670*0.35+M670*0.30,0))</x:f>
      </x:c>
      <x:c r="Q670" s="12" t="str">
        <x:f>IF(P670="","",IF(P670&gt;=80,"ATTACK",IF(P670&gt;=65,"GROW",IF(P670&gt;=50,"PARTNER","WATCH"))))</x:f>
      </x:c>
      <x:c r="R670" s="12" t="str">
        <x:f>IF(Q670="","",IF(Q670="ATTACK","Grassroots + family acquisition",IF(Q670="GROW","Test local campaign",IF(Q670="PARTNER","Organisation-first partnership","Low priority / validate"))))</x:f>
      </x:c>
      <x:c r="S670" s="45" t="n">
        <x:v>7.434290004082019</x:v>
      </x:c>
      <x:c r="T670" t="str">
        <x:v>NEAR</x:v>
      </x:c>
      <x:c r="U670" s="32" t="n">
        <x:f>PERCENTRANK.INC($G$2:$G$941,G670)</x:f>
        <x:v>0.502</x:v>
      </x:c>
      <x:c r="V670" s="32" t="n">
        <x:f>PERCENTRANK.INC($H$2:$H$941,H670)</x:f>
        <x:v>0.543</x:v>
      </x:c>
      <x:c r="W670" t="n">
        <x:f>ROUND((U670*55+V670*45)*IF(S670&lt;=5,1,IF(S670&lt;=10,0.95,IF(S670&lt;=20,0.85,0.70))),0)</x:f>
        <x:v>49</x:v>
      </x:c>
      <x:c r="X670" t="n">
        <x:v>54</x:v>
      </x:c>
      <x:c r="Y670" t="str">
        <x:v>PARTNER</x:v>
      </x:c>
      <x:c r="Z670" s="12" t="str">
        <x:v>Family + verified grassroots + straight-line geo only; transport not yet routed</x:v>
      </x:c>
      <x:c r="AA670" s="12"/>
      <x:c r="AB670" s="12"/>
      <x:c r="AC670" s="12"/>
      <x:c r="AD670" s="12"/>
      <x:c r="AE670" t="str">
        <x:v>Crystal Palace Women</x:v>
      </x:c>
      <x:c r="AF670" s="45" t="n">
        <x:v>6.4243095336704</x:v>
      </x:c>
      <x:c r="AG670" t="str">
        <x:v>Dulwich Hamlet Women</x:v>
      </x:c>
      <x:c r="AH670" s="45" t="n">
        <x:v>3.502813675612815</x:v>
      </x:c>
      <x:c r="AI670" t="n">
        <x:v>74</x:v>
      </x:c>
      <x:c r="AJ670" t="str">
        <x:v>MEDIUM</x:v>
      </x:c>
    </x:row>
    <x:row r="671">
      <x:c r="A671" s="12" t="str">
        <x:v>E01003228</x:v>
      </x:c>
      <x:c r="B671" s="12" t="str">
        <x:v>Lewisham 019C</x:v>
      </x:c>
      <x:c r="C671" s="12" t="str">
        <x:v>Lewisham</x:v>
      </x:c>
      <x:c r="D671" s="44" t="n">
        <x:v>51.44675386832771</x:v>
      </x:c>
      <x:c r="E671" s="44" t="n">
        <x:v>-0.04497055463355463</x:v>
      </x:c>
      <x:c r="F671" s="33" t="n">
        <x:v>667</x:v>
      </x:c>
      <x:c r="G671" s="33" t="n">
        <x:v>211</x:v>
      </x:c>
      <x:c r="H671" s="26" t="n">
        <x:v>0.31634182908545727</x:v>
      </x:c>
      <x:c r="I671" s="12" t="n">
        <x:v>2</x:v>
      </x:c>
      <x:c r="J671" s="12" t="n">
        <x:v>59</x:v>
      </x:c>
      <x:c r="K671" s="12"/>
      <x:c r="L671" s="12"/>
      <x:c r="M671" s="12" t="str">
        <x:f>IF(K671="", "", MAX(0,IF(K671&lt;=20,100,IF(K671&lt;=30,85,IF(K671&lt;=40,70,IF(K671&lt;=50,55,IF(K671&lt;=60,40,20)))))-MIN(L671*5,20)))</x:f>
      </x:c>
      <x:c r="N671" s="12"/>
      <x:c r="O671" s="12"/>
      <x:c r="P671" s="12" t="str">
        <x:f>IF(OR(H671="",J671="",M671=""),"",ROUND(PERCENTRANK.INC($H$2:$H$941,H671)*35+J671*0.35+M671*0.30,0))</x:f>
      </x:c>
      <x:c r="Q671" s="12" t="str">
        <x:f>IF(P671="","",IF(P671&gt;=80,"ATTACK",IF(P671&gt;=65,"GROW",IF(P671&gt;=50,"PARTNER","WATCH"))))</x:f>
      </x:c>
      <x:c r="R671" s="12" t="str">
        <x:f>IF(Q671="","",IF(Q671="ATTACK","Grassroots + family acquisition",IF(Q671="GROW","Test local campaign",IF(Q671="PARTNER","Organisation-first partnership","Low priority / validate"))))</x:f>
      </x:c>
      <x:c r="S671" s="45" t="n">
        <x:v>7.572887980845226</x:v>
      </x:c>
      <x:c r="T671" t="str">
        <x:v>NEAR</x:v>
      </x:c>
      <x:c r="U671" s="32" t="n">
        <x:f>PERCENTRANK.INC($G$2:$G$941,G671)</x:f>
        <x:v>0.482</x:v>
      </x:c>
      <x:c r="V671" s="32" t="n">
        <x:f>PERCENTRANK.INC($H$2:$H$941,H671)</x:f>
        <x:v>0.492</x:v>
      </x:c>
      <x:c r="W671" t="n">
        <x:f>ROUND((U671*55+V671*45)*IF(S671&lt;=5,1,IF(S671&lt;=10,0.95,IF(S671&lt;=20,0.85,0.70))),0)</x:f>
        <x:v>46</x:v>
      </x:c>
      <x:c r="X671" t="n">
        <x:v>52</x:v>
      </x:c>
      <x:c r="Y671" t="str">
        <x:v>PARTNER</x:v>
      </x:c>
      <x:c r="Z671" s="12" t="str">
        <x:v>Family + verified grassroots + straight-line geo only; transport not yet routed</x:v>
      </x:c>
      <x:c r="AA671" s="12"/>
      <x:c r="AB671" s="12"/>
      <x:c r="AC671" s="12"/>
      <x:c r="AD671" s="12"/>
      <x:c r="AE671" t="str">
        <x:v>Crystal Palace Women</x:v>
      </x:c>
      <x:c r="AF671" s="45" t="n">
        <x:v>6.067480954064999</x:v>
      </x:c>
      <x:c r="AG671" t="str">
        <x:v>Dulwich Hamlet Women</x:v>
      </x:c>
      <x:c r="AH671" s="45" t="n">
        <x:v>3.1511047617561956</x:v>
      </x:c>
      <x:c r="AI671" t="n">
        <x:v>74</x:v>
      </x:c>
      <x:c r="AJ671" t="str">
        <x:v>MEDIUM</x:v>
      </x:c>
    </x:row>
    <x:row r="672">
      <x:c r="A672" s="12" t="str">
        <x:v>E01003229</x:v>
      </x:c>
      <x:c r="B672" s="12" t="str">
        <x:v>Lewisham 019D</x:v>
      </x:c>
      <x:c r="C672" s="12" t="str">
        <x:v>Lewisham</x:v>
      </x:c>
      <x:c r="D672" s="44" t="n">
        <x:v>51.44372684587154</x:v>
      </x:c>
      <x:c r="E672" s="44" t="n">
        <x:v>-0.04496159430957563</x:v>
      </x:c>
      <x:c r="F672" s="33" t="n">
        <x:v>781</x:v>
      </x:c>
      <x:c r="G672" s="33" t="n">
        <x:v>222</x:v>
      </x:c>
      <x:c r="H672" s="26" t="n">
        <x:v>0.28425096030729835</x:v>
      </x:c>
      <x:c r="I672" s="12" t="n">
        <x:v>3</x:v>
      </x:c>
      <x:c r="J672" s="12" t="n">
        <x:v>67</x:v>
      </x:c>
      <x:c r="K672" s="12"/>
      <x:c r="L672" s="12"/>
      <x:c r="M672" s="12" t="str">
        <x:f>IF(K672="", "", MAX(0,IF(K672&lt;=20,100,IF(K672&lt;=30,85,IF(K672&lt;=40,70,IF(K672&lt;=50,55,IF(K672&lt;=60,40,20)))))-MIN(L672*5,20)))</x:f>
      </x:c>
      <x:c r="N672" s="12"/>
      <x:c r="O672" s="12"/>
      <x:c r="P672" s="12" t="str">
        <x:f>IF(OR(H672="",J672="",M672=""),"",ROUND(PERCENTRANK.INC($H$2:$H$941,H672)*35+J672*0.35+M672*0.30,0))</x:f>
      </x:c>
      <x:c r="Q672" s="12" t="str">
        <x:f>IF(P672="","",IF(P672&gt;=80,"ATTACK",IF(P672&gt;=65,"GROW",IF(P672&gt;=50,"PARTNER","WATCH"))))</x:f>
      </x:c>
      <x:c r="R672" s="12" t="str">
        <x:f>IF(Q672="","",IF(Q672="ATTACK","Grassroots + family acquisition",IF(Q672="GROW","Test local campaign",IF(Q672="PARTNER","Organisation-first partnership","Low priority / validate"))))</x:f>
      </x:c>
      <x:c r="S672" s="45" t="n">
        <x:v>7.299531574351046</x:v>
      </x:c>
      <x:c r="T672" t="str">
        <x:v>NEAR</x:v>
      </x:c>
      <x:c r="U672" s="32" t="n">
        <x:f>PERCENTRANK.INC($G$2:$G$941,G672)</x:f>
        <x:v>0.559</x:v>
      </x:c>
      <x:c r="V672" s="32" t="n">
        <x:f>PERCENTRANK.INC($H$2:$H$941,H672)</x:f>
        <x:v>0.31</x:v>
      </x:c>
      <x:c r="W672" t="n">
        <x:f>ROUND((U672*55+V672*45)*IF(S672&lt;=5,1,IF(S672&lt;=10,0.95,IF(S672&lt;=20,0.85,0.70))),0)</x:f>
        <x:v>42</x:v>
      </x:c>
      <x:c r="X672" t="n">
        <x:v>54</x:v>
      </x:c>
      <x:c r="Y672" t="str">
        <x:v>PARTNER</x:v>
      </x:c>
      <x:c r="Z672" s="12" t="str">
        <x:v>Family + verified grassroots + straight-line geo only; transport not yet routed</x:v>
      </x:c>
      <x:c r="AA672" s="12"/>
      <x:c r="AB672" s="12"/>
      <x:c r="AC672" s="12"/>
      <x:c r="AD672" s="12"/>
      <x:c r="AE672" t="str">
        <x:v>Crystal Palace Women</x:v>
      </x:c>
      <x:c r="AF672" s="45" t="n">
        <x:v>5.770885291989889</x:v>
      </x:c>
      <x:c r="AG672" t="str">
        <x:v>Dulwich Hamlet Women</x:v>
      </x:c>
      <x:c r="AH672" s="45" t="n">
        <x:v>3.33720437608661</x:v>
      </x:c>
      <x:c r="AI672" t="n">
        <x:v>85</x:v>
      </x:c>
      <x:c r="AJ672" t="str">
        <x:v>HIGH</x:v>
      </x:c>
    </x:row>
    <x:row r="673">
      <x:c r="A673" s="12" t="str">
        <x:v>E01003230</x:v>
      </x:c>
      <x:c r="B673" s="12" t="str">
        <x:v>Lewisham 019E</x:v>
      </x:c>
      <x:c r="C673" s="12" t="str">
        <x:v>Lewisham</x:v>
      </x:c>
      <x:c r="D673" s="44" t="n">
        <x:v>51.44395820439458</x:v>
      </x:c>
      <x:c r="E673" s="44" t="n">
        <x:v>-0.03693974039145309</x:v>
      </x:c>
      <x:c r="F673" s="33" t="n">
        <x:v>870</x:v>
      </x:c>
      <x:c r="G673" s="33" t="n">
        <x:v>281</x:v>
      </x:c>
      <x:c r="H673" s="26" t="n">
        <x:v>0.32298850574712645</x:v>
      </x:c>
      <x:c r="I673" s="12" t="n">
        <x:v>2</x:v>
      </x:c>
      <x:c r="J673" s="12" t="n">
        <x:v>59</x:v>
      </x:c>
      <x:c r="K673" s="12"/>
      <x:c r="L673" s="12"/>
      <x:c r="M673" s="12" t="str">
        <x:f>IF(K673="", "", MAX(0,IF(K673&lt;=20,100,IF(K673&lt;=30,85,IF(K673&lt;=40,70,IF(K673&lt;=50,55,IF(K673&lt;=60,40,20)))))-MIN(L673*5,20)))</x:f>
      </x:c>
      <x:c r="N673" s="12"/>
      <x:c r="O673" s="12"/>
      <x:c r="P673" s="12" t="str">
        <x:f>IF(OR(H673="",J673="",M673=""),"",ROUND(PERCENTRANK.INC($H$2:$H$941,H673)*35+J673*0.35+M673*0.30,0))</x:f>
      </x:c>
      <x:c r="Q673" s="12" t="str">
        <x:f>IF(P673="","",IF(P673&gt;=80,"ATTACK",IF(P673&gt;=65,"GROW",IF(P673&gt;=50,"PARTNER","WATCH"))))</x:f>
      </x:c>
      <x:c r="R673" s="12" t="str">
        <x:f>IF(Q673="","",IF(Q673="ATTACK","Grassroots + family acquisition",IF(Q673="GROW","Test local campaign",IF(Q673="PARTNER","Organisation-first partnership","Low priority / validate"))))</x:f>
      </x:c>
      <x:c r="S673" s="45" t="n">
        <x:v>7.004263757001921</x:v>
      </x:c>
      <x:c r="T673" t="str">
        <x:v>NEAR</x:v>
      </x:c>
      <x:c r="U673" s="32" t="n">
        <x:f>PERCENTRANK.INC($G$2:$G$941,G673)</x:f>
        <x:v>0.906</x:v>
      </x:c>
      <x:c r="V673" s="32" t="n">
        <x:f>PERCENTRANK.INC($H$2:$H$941,H673)</x:f>
        <x:v>0.528</x:v>
      </x:c>
      <x:c r="W673" t="n">
        <x:f>ROUND((U673*55+V673*45)*IF(S673&lt;=5,1,IF(S673&lt;=10,0.95,IF(S673&lt;=20,0.85,0.70))),0)</x:f>
        <x:v>70</x:v>
      </x:c>
      <x:c r="X673" t="n">
        <x:v>65</x:v>
      </x:c>
      <x:c r="Y673" t="str">
        <x:v>GROW</x:v>
      </x:c>
      <x:c r="Z673" s="12" t="str">
        <x:v>Family + verified grassroots + straight-line geo only; transport not yet routed</x:v>
      </x:c>
      <x:c r="AA673" s="12"/>
      <x:c r="AB673" s="12"/>
      <x:c r="AC673" s="12"/>
      <x:c r="AD673" s="12"/>
      <x:c r="AE673" t="str">
        <x:v>Crystal Palace Women</x:v>
      </x:c>
      <x:c r="AF673" s="45" t="n">
        <x:v>6.080563989030493</x:v>
      </x:c>
      <x:c r="AG673" t="str">
        <x:v>Dulwich Hamlet Women</x:v>
      </x:c>
      <x:c r="AH673" s="45" t="n">
        <x:v>3.788348291034298</x:v>
      </x:c>
      <x:c r="AI673" t="n">
        <x:v>74</x:v>
      </x:c>
      <x:c r="AJ673" t="str">
        <x:v>MEDIUM</x:v>
      </x:c>
    </x:row>
    <x:row r="674">
      <x:c r="A674" s="12" t="str">
        <x:v>E01003318</x:v>
      </x:c>
      <x:c r="B674" s="12" t="str">
        <x:v>Lewisham 020B</x:v>
      </x:c>
      <x:c r="C674" s="12" t="str">
        <x:v>Lewisham</x:v>
      </x:c>
      <x:c r="D674" s="44" t="n">
        <x:v>51.443006457755594</x:v>
      </x:c>
      <x:c r="E674" s="44" t="n">
        <x:v>-0.021645997149625607</x:v>
      </x:c>
      <x:c r="F674" s="33" t="n">
        <x:v>775</x:v>
      </x:c>
      <x:c r="G674" s="33" t="n">
        <x:v>264</x:v>
      </x:c>
      <x:c r="H674" s="26" t="n">
        <x:v>0.3406451612903226</x:v>
      </x:c>
      <x:c r="I674" s="12" t="n">
        <x:v>1</x:v>
      </x:c>
      <x:c r="J674" s="12" t="n">
        <x:v>59</x:v>
      </x:c>
      <x:c r="K674" s="12"/>
      <x:c r="L674" s="12"/>
      <x:c r="M674" s="12" t="str">
        <x:f>IF(K674="", "", MAX(0,IF(K674&lt;=20,100,IF(K674&lt;=30,85,IF(K674&lt;=40,70,IF(K674&lt;=50,55,IF(K674&lt;=60,40,20)))))-MIN(L674*5,20)))</x:f>
      </x:c>
      <x:c r="N674" s="12"/>
      <x:c r="O674" s="12"/>
      <x:c r="P674" s="12" t="str">
        <x:f>IF(OR(H674="",J674="",M674=""),"",ROUND(PERCENTRANK.INC($H$2:$H$941,H674)*35+J674*0.35+M674*0.30,0))</x:f>
      </x:c>
      <x:c r="Q674" s="12" t="str">
        <x:f>IF(P674="","",IF(P674&gt;=80,"ATTACK",IF(P674&gt;=65,"GROW",IF(P674&gt;=50,"PARTNER","WATCH"))))</x:f>
      </x:c>
      <x:c r="R674" s="12" t="str">
        <x:f>IF(Q674="","",IF(Q674="ATTACK","Grassroots + family acquisition",IF(Q674="GROW","Test local campaign",IF(Q674="PARTNER","Organisation-first partnership","Low priority / validate"))))</x:f>
      </x:c>
      <x:c r="S674" s="45" t="n">
        <x:v>6.396141190177508</x:v>
      </x:c>
      <x:c r="T674" t="str">
        <x:v>NEAR</x:v>
      </x:c>
      <x:c r="U674" s="32" t="n">
        <x:f>PERCENTRANK.INC($G$2:$G$941,G674)</x:f>
        <x:v>0.847</x:v>
      </x:c>
      <x:c r="V674" s="32" t="n">
        <x:f>PERCENTRANK.INC($H$2:$H$941,H674)</x:f>
        <x:v>0.62</x:v>
      </x:c>
      <x:c r="W674" t="n">
        <x:f>ROUND((U674*55+V674*45)*IF(S674&lt;=5,1,IF(S674&lt;=10,0.95,IF(S674&lt;=20,0.85,0.70))),0)</x:f>
        <x:v>71</x:v>
      </x:c>
      <x:c r="X674" t="n">
        <x:v>66</x:v>
      </x:c>
      <x:c r="Y674" t="str">
        <x:v>GROW</x:v>
      </x:c>
      <x:c r="Z674" s="12" t="str">
        <x:v>Family + verified grassroots + straight-line geo only; transport not yet routed</x:v>
      </x:c>
      <x:c r="AA674" s="12"/>
      <x:c r="AB674" s="12"/>
      <x:c r="AC674" s="12"/>
      <x:c r="AD674" s="12"/>
      <x:c r="AE674" t="str">
        <x:v>Charlton Athletic Women</x:v>
      </x:c>
      <x:c r="AF674" s="45" t="n">
        <x:v>6.269945777619068</x:v>
      </x:c>
      <x:c r="AG674" t="str">
        <x:v>Dulwich Hamlet Women</x:v>
      </x:c>
      <x:c r="AH674" s="45" t="n">
        <x:v>4.775287377015656</x:v>
      </x:c>
      <x:c r="AI674" t="n">
        <x:v>74</x:v>
      </x:c>
      <x:c r="AJ674" t="str">
        <x:v>MEDIUM</x:v>
      </x:c>
    </x:row>
    <x:row r="675">
      <x:c r="A675" s="12" t="str">
        <x:v>E01003321</x:v>
      </x:c>
      <x:c r="B675" s="12" t="str">
        <x:v>Lewisham 020C</x:v>
      </x:c>
      <x:c r="C675" s="12" t="str">
        <x:v>Lewisham</x:v>
      </x:c>
      <x:c r="D675" s="44" t="n">
        <x:v>51.44191798043266</x:v>
      </x:c>
      <x:c r="E675" s="44" t="n">
        <x:v>-0.0313706654685895</x:v>
      </x:c>
      <x:c r="F675" s="33" t="n">
        <x:v>760</x:v>
      </x:c>
      <x:c r="G675" s="33" t="n">
        <x:v>214</x:v>
      </x:c>
      <x:c r="H675" s="26" t="n">
        <x:v>0.28157894736842104</x:v>
      </x:c>
      <x:c r="I675" s="12" t="n">
        <x:v>2</x:v>
      </x:c>
      <x:c r="J675" s="12" t="n">
        <x:v>59</x:v>
      </x:c>
      <x:c r="K675" s="12"/>
      <x:c r="L675" s="12"/>
      <x:c r="M675" s="12" t="str">
        <x:f>IF(K675="", "", MAX(0,IF(K675&lt;=20,100,IF(K675&lt;=30,85,IF(K675&lt;=40,70,IF(K675&lt;=50,55,IF(K675&lt;=60,40,20)))))-MIN(L675*5,20)))</x:f>
      </x:c>
      <x:c r="N675" s="12"/>
      <x:c r="O675" s="12"/>
      <x:c r="P675" s="12" t="str">
        <x:f>IF(OR(H675="",J675="",M675=""),"",ROUND(PERCENTRANK.INC($H$2:$H$941,H675)*35+J675*0.35+M675*0.30,0))</x:f>
      </x:c>
      <x:c r="Q675" s="12" t="str">
        <x:f>IF(P675="","",IF(P675&gt;=80,"ATTACK",IF(P675&gt;=65,"GROW",IF(P675&gt;=50,"PARTNER","WATCH"))))</x:f>
      </x:c>
      <x:c r="R675" s="12" t="str">
        <x:f>IF(Q675="","",IF(Q675="ATTACK","Grassroots + family acquisition",IF(Q675="GROW","Test local campaign",IF(Q675="PARTNER","Organisation-first partnership","Low priority / validate"))))</x:f>
      </x:c>
      <x:c r="S675" s="45" t="n">
        <x:v>6.607651068022791</x:v>
      </x:c>
      <x:c r="T675" t="str">
        <x:v>NEAR</x:v>
      </x:c>
      <x:c r="U675" s="32" t="n">
        <x:f>PERCENTRANK.INC($G$2:$G$941,G675)</x:f>
        <x:v>0.502</x:v>
      </x:c>
      <x:c r="V675" s="32" t="n">
        <x:f>PERCENTRANK.INC($H$2:$H$941,H675)</x:f>
        <x:v>0.303</x:v>
      </x:c>
      <x:c r="W675" t="n">
        <x:f>ROUND((U675*55+V675*45)*IF(S675&lt;=5,1,IF(S675&lt;=10,0.95,IF(S675&lt;=20,0.85,0.70))),0)</x:f>
        <x:v>39</x:v>
      </x:c>
      <x:c r="X675" t="n">
        <x:v>48</x:v>
      </x:c>
      <x:c r="Y675" t="str">
        <x:v>WATCH</x:v>
      </x:c>
      <x:c r="Z675" s="12" t="str">
        <x:v>Family + verified grassroots + straight-line geo only; transport not yet routed</x:v>
      </x:c>
      <x:c r="AA675" s="12"/>
      <x:c r="AB675" s="12"/>
      <x:c r="AC675" s="12"/>
      <x:c r="AD675" s="12"/>
      <x:c r="AE675" t="str">
        <x:v>Crystal Palace Women</x:v>
      </x:c>
      <x:c r="AF675" s="45" t="n">
        <x:v>6.119780587019615</x:v>
      </x:c>
      <x:c r="AG675" t="str">
        <x:v>Dulwich Hamlet Women</x:v>
      </x:c>
      <x:c r="AH675" s="45" t="n">
        <x:v>4.2360563686938395</x:v>
      </x:c>
      <x:c r="AI675" t="n">
        <x:v>74</x:v>
      </x:c>
      <x:c r="AJ675" t="str">
        <x:v>MEDIUM</x:v>
      </x:c>
    </x:row>
    <x:row r="676">
      <x:c r="A676" s="12" t="str">
        <x:v>E01003322</x:v>
      </x:c>
      <x:c r="B676" s="12" t="str">
        <x:v>Lewisham 020D</x:v>
      </x:c>
      <x:c r="C676" s="12" t="str">
        <x:v>Lewisham</x:v>
      </x:c>
      <x:c r="D676" s="44" t="n">
        <x:v>51.45011598362035</x:v>
      </x:c>
      <x:c r="E676" s="44" t="n">
        <x:v>-0.019801129401522982</x:v>
      </x:c>
      <x:c r="F676" s="33" t="n">
        <x:v>608</x:v>
      </x:c>
      <x:c r="G676" s="33" t="n">
        <x:v>201</x:v>
      </x:c>
      <x:c r="H676" s="26" t="n">
        <x:v>0.3305921052631579</x:v>
      </x:c>
      <x:c r="I676" s="12" t="n">
        <x:v>2</x:v>
      </x:c>
      <x:c r="J676" s="12" t="n">
        <x:v>59</x:v>
      </x:c>
      <x:c r="K676" s="12"/>
      <x:c r="L676" s="12"/>
      <x:c r="M676" s="12" t="str">
        <x:f>IF(K676="", "", MAX(0,IF(K676&lt;=20,100,IF(K676&lt;=30,85,IF(K676&lt;=40,70,IF(K676&lt;=50,55,IF(K676&lt;=60,40,20)))))-MIN(L676*5,20)))</x:f>
      </x:c>
      <x:c r="N676" s="12"/>
      <x:c r="O676" s="12"/>
      <x:c r="P676" s="12" t="str">
        <x:f>IF(OR(H676="",J676="",M676=""),"",ROUND(PERCENTRANK.INC($H$2:$H$941,H676)*35+J676*0.35+M676*0.30,0))</x:f>
      </x:c>
      <x:c r="Q676" s="12" t="str">
        <x:f>IF(P676="","",IF(P676&gt;=80,"ATTACK",IF(P676&gt;=65,"GROW",IF(P676&gt;=50,"PARTNER","WATCH"))))</x:f>
      </x:c>
      <x:c r="R676" s="12" t="str">
        <x:f>IF(Q676="","",IF(Q676="ATTACK","Grassroots + family acquisition",IF(Q676="GROW","Test local campaign",IF(Q676="PARTNER","Organisation-first partnership","Low priority / validate"))))</x:f>
      </x:c>
      <x:c r="S676" s="45" t="n">
        <x:v>7.0709691678249</x:v>
      </x:c>
      <x:c r="T676" t="str">
        <x:v>NEAR</x:v>
      </x:c>
      <x:c r="U676" s="32" t="n">
        <x:f>PERCENTRANK.INC($G$2:$G$941,G676)</x:f>
        <x:v>0.396</x:v>
      </x:c>
      <x:c r="V676" s="32" t="n">
        <x:f>PERCENTRANK.INC($H$2:$H$941,H676)</x:f>
        <x:v>0.568</x:v>
      </x:c>
      <x:c r="W676" t="n">
        <x:f>ROUND((U676*55+V676*45)*IF(S676&lt;=5,1,IF(S676&lt;=10,0.95,IF(S676&lt;=20,0.85,0.70))),0)</x:f>
        <x:v>45</x:v>
      </x:c>
      <x:c r="X676" t="n">
        <x:v>52</x:v>
      </x:c>
      <x:c r="Y676" t="str">
        <x:v>PARTNER</x:v>
      </x:c>
      <x:c r="Z676" s="12" t="str">
        <x:v>Family + verified grassroots + straight-line geo only; transport not yet routed</x:v>
      </x:c>
      <x:c r="AA676" s="12"/>
      <x:c r="AB676" s="12"/>
      <x:c r="AC676" s="12"/>
      <x:c r="AD676" s="12"/>
      <x:c r="AE676" t="str">
        <x:v>Charlton Athletic Women</x:v>
      </x:c>
      <x:c r="AF676" s="45" t="n">
        <x:v>5.594534009141077</x:v>
      </x:c>
      <x:c r="AG676" t="str">
        <x:v>Dulwich Hamlet Women</x:v>
      </x:c>
      <x:c r="AH676" s="45" t="n">
        <x:v>4.6180340641909545</x:v>
      </x:c>
      <x:c r="AI676" t="n">
        <x:v>85</x:v>
      </x:c>
      <x:c r="AJ676" t="str">
        <x:v>HIGH</x:v>
      </x:c>
    </x:row>
    <x:row r="677">
      <x:c r="A677" s="12" t="str">
        <x:v>E01003324</x:v>
      </x:c>
      <x:c r="B677" s="12" t="str">
        <x:v>Lewisham 020E</x:v>
      </x:c>
      <x:c r="C677" s="12" t="str">
        <x:v>Lewisham</x:v>
      </x:c>
      <x:c r="D677" s="44" t="n">
        <x:v>51.44755919329298</x:v>
      </x:c>
      <x:c r="E677" s="44" t="n">
        <x:v>-0.02095084126462023</x:v>
      </x:c>
      <x:c r="F677" s="33" t="n">
        <x:v>723</x:v>
      </x:c>
      <x:c r="G677" s="33" t="n">
        <x:v>261</x:v>
      </x:c>
      <x:c r="H677" s="26" t="n">
        <x:v>0.36099585062240663</x:v>
      </x:c>
      <x:c r="I677" s="12" t="n">
        <x:v>2</x:v>
      </x:c>
      <x:c r="J677" s="12" t="n">
        <x:v>67</x:v>
      </x:c>
      <x:c r="K677" s="12"/>
      <x:c r="L677" s="12"/>
      <x:c r="M677" s="12" t="str">
        <x:f>IF(K677="", "", MAX(0,IF(K677&lt;=20,100,IF(K677&lt;=30,85,IF(K677&lt;=40,70,IF(K677&lt;=50,55,IF(K677&lt;=60,40,20)))))-MIN(L677*5,20)))</x:f>
      </x:c>
      <x:c r="N677" s="12"/>
      <x:c r="O677" s="12"/>
      <x:c r="P677" s="12" t="str">
        <x:f>IF(OR(H677="",J677="",M677=""),"",ROUND(PERCENTRANK.INC($H$2:$H$941,H677)*35+J677*0.35+M677*0.30,0))</x:f>
      </x:c>
      <x:c r="Q677" s="12" t="str">
        <x:f>IF(P677="","",IF(P677&gt;=80,"ATTACK",IF(P677&gt;=65,"GROW",IF(P677&gt;=50,"PARTNER","WATCH"))))</x:f>
      </x:c>
      <x:c r="R677" s="12" t="str">
        <x:f>IF(Q677="","",IF(Q677="ATTACK","Grassroots + family acquisition",IF(Q677="GROW","Test local campaign",IF(Q677="PARTNER","Organisation-first partnership","Low priority / validate"))))</x:f>
      </x:c>
      <x:c r="S677" s="45" t="n">
        <x:v>6.838291696358495</x:v>
      </x:c>
      <x:c r="T677" t="str">
        <x:v>NEAR</x:v>
      </x:c>
      <x:c r="U677" s="32" t="n">
        <x:f>PERCENTRANK.INC($G$2:$G$941,G677)</x:f>
        <x:v>0.832</x:v>
      </x:c>
      <x:c r="V677" s="32" t="n">
        <x:f>PERCENTRANK.INC($H$2:$H$941,H677)</x:f>
        <x:v>0.739</x:v>
      </x:c>
      <x:c r="W677" t="n">
        <x:f>ROUND((U677*55+V677*45)*IF(S677&lt;=5,1,IF(S677&lt;=10,0.95,IF(S677&lt;=20,0.85,0.70))),0)</x:f>
        <x:v>75</x:v>
      </x:c>
      <x:c r="X677" t="n">
        <x:v>72</x:v>
      </x:c>
      <x:c r="Y677" t="str">
        <x:v>GROW</x:v>
      </x:c>
      <x:c r="Z677" s="12" t="str">
        <x:v>Family + verified grassroots + straight-line geo only; transport not yet routed</x:v>
      </x:c>
      <x:c r="AA677" s="12"/>
      <x:c r="AB677" s="12"/>
      <x:c r="AC677" s="12"/>
      <x:c r="AD677" s="12"/>
      <x:c r="AE677" t="str">
        <x:v>Charlton Athletic Women</x:v>
      </x:c>
      <x:c r="AF677" s="45" t="n">
        <x:v>5.856471843672038</x:v>
      </x:c>
      <x:c r="AG677" t="str">
        <x:v>Dulwich Hamlet Women</x:v>
      </x:c>
      <x:c r="AH677" s="45" t="n">
        <x:v>4.6275686336670185</x:v>
      </x:c>
      <x:c r="AI677" t="n">
        <x:v>85</x:v>
      </x:c>
      <x:c r="AJ677" t="str">
        <x:v>HIGH</x:v>
      </x:c>
    </x:row>
    <x:row r="678">
      <x:c r="A678" s="12" t="str">
        <x:v>E01034390</x:v>
      </x:c>
      <x:c r="B678" s="12" t="str">
        <x:v>Lewisham 020F</x:v>
      </x:c>
      <x:c r="C678" s="12" t="str">
        <x:v>Lewisham</x:v>
      </x:c>
      <x:c r="D678" s="44" t="n">
        <x:v>51.4476863403309</x:v>
      </x:c>
      <x:c r="E678" s="44" t="n">
        <x:v>-0.02482835871868746</x:v>
      </x:c>
      <x:c r="F678" s="33" t="n">
        <x:v>690</x:v>
      </x:c>
      <x:c r="G678" s="33" t="n">
        <x:v>193</x:v>
      </x:c>
      <x:c r="H678" s="26" t="n">
        <x:v>0.2797101449275362</x:v>
      </x:c>
      <x:c r="I678" s="12" t="n">
        <x:v>2</x:v>
      </x:c>
      <x:c r="J678" s="12" t="n">
        <x:v>59</x:v>
      </x:c>
      <x:c r="K678" s="12"/>
      <x:c r="L678" s="12"/>
      <x:c r="M678" s="12" t="str">
        <x:f>IF(K678="", "", MAX(0,IF(K678&lt;=20,100,IF(K678&lt;=30,85,IF(K678&lt;=40,70,IF(K678&lt;=50,55,IF(K678&lt;=60,40,20)))))-MIN(L678*5,20)))</x:f>
      </x:c>
      <x:c r="N678" s="12"/>
      <x:c r="O678" s="12"/>
      <x:c r="P678" s="12" t="str">
        <x:f>IF(OR(H678="",J678="",M678=""),"",ROUND(PERCENTRANK.INC($H$2:$H$941,H678)*35+J678*0.35+M678*0.30,0))</x:f>
      </x:c>
      <x:c r="Q678" s="12" t="str">
        <x:f>IF(P678="","",IF(P678&gt;=80,"ATTACK",IF(P678&gt;=65,"GROW",IF(P678&gt;=50,"PARTNER","WATCH"))))</x:f>
      </x:c>
      <x:c r="R678" s="12" t="str">
        <x:f>IF(Q678="","",IF(Q678="ATTACK","Grassroots + family acquisition",IF(Q678="GROW","Test local campaign",IF(Q678="PARTNER","Organisation-first partnership","Low priority / validate"))))</x:f>
      </x:c>
      <x:c r="S678" s="45" t="n">
        <x:v>6.960908191739166</x:v>
      </x:c>
      <x:c r="T678" t="str">
        <x:v>NEAR</x:v>
      </x:c>
      <x:c r="U678" s="32" t="n">
        <x:f>PERCENTRANK.INC($G$2:$G$941,G678)</x:f>
        <x:v>0.333</x:v>
      </x:c>
      <x:c r="V678" s="32" t="n">
        <x:f>PERCENTRANK.INC($H$2:$H$941,H678)</x:f>
        <x:v>0.293</x:v>
      </x:c>
      <x:c r="W678" t="n">
        <x:f>ROUND((U678*55+V678*45)*IF(S678&lt;=5,1,IF(S678&lt;=10,0.95,IF(S678&lt;=20,0.85,0.70))),0)</x:f>
        <x:v>30</x:v>
      </x:c>
      <x:c r="X678" t="n">
        <x:v>43</x:v>
      </x:c>
      <x:c r="Y678" t="str">
        <x:v>WATCH</x:v>
      </x:c>
      <x:c r="Z678" s="12" t="str">
        <x:v>Family + verified grassroots + straight-line geo only; transport not yet routed</x:v>
      </x:c>
      <x:c r="AA678" s="12"/>
      <x:c r="AB678" s="12"/>
      <x:c r="AC678" s="12"/>
      <x:c r="AD678" s="12"/>
      <x:c r="AE678" t="str">
        <x:v>Charlton Athletic Women</x:v>
      </x:c>
      <x:c r="AF678" s="45" t="n">
        <x:v>6.031025690451034</x:v>
      </x:c>
      <x:c r="AG678" t="str">
        <x:v>Dulwich Hamlet Women</x:v>
      </x:c>
      <x:c r="AH678" s="45" t="n">
        <x:v>4.369980899614544</x:v>
      </x:c>
      <x:c r="AI678" t="n">
        <x:v>74</x:v>
      </x:c>
      <x:c r="AJ678" t="str">
        <x:v>MEDIUM</x:v>
      </x:c>
    </x:row>
    <x:row r="679">
      <x:c r="A679" s="12" t="str">
        <x:v>E01034391</x:v>
      </x:c>
      <x:c r="B679" s="12" t="str">
        <x:v>Lewisham 020G</x:v>
      </x:c>
      <x:c r="C679" s="12" t="str">
        <x:v>Lewisham</x:v>
      </x:c>
      <x:c r="D679" s="44" t="n">
        <x:v>51.445423807962186</x:v>
      </x:c>
      <x:c r="E679" s="44" t="n">
        <x:v>-0.028899552161683727</x:v>
      </x:c>
      <x:c r="F679" s="33" t="n">
        <x:v>636</x:v>
      </x:c>
      <x:c r="G679" s="33" t="n">
        <x:v>231</x:v>
      </x:c>
      <x:c r="H679" s="26" t="n">
        <x:v>0.3632075471698113</x:v>
      </x:c>
      <x:c r="I679" s="12" t="n">
        <x:v>2</x:v>
      </x:c>
      <x:c r="J679" s="12" t="n">
        <x:v>59</x:v>
      </x:c>
      <x:c r="K679" s="12"/>
      <x:c r="L679" s="12"/>
      <x:c r="M679" s="12" t="str">
        <x:f>IF(K679="", "", MAX(0,IF(K679&lt;=20,100,IF(K679&lt;=30,85,IF(K679&lt;=40,70,IF(K679&lt;=50,55,IF(K679&lt;=60,40,20)))))-MIN(L679*5,20)))</x:f>
      </x:c>
      <x:c r="N679" s="12"/>
      <x:c r="O679" s="12"/>
      <x:c r="P679" s="12" t="str">
        <x:f>IF(OR(H679="",J679="",M679=""),"",ROUND(PERCENTRANK.INC($H$2:$H$941,H679)*35+J679*0.35+M679*0.30,0))</x:f>
      </x:c>
      <x:c r="Q679" s="12" t="str">
        <x:f>IF(P679="","",IF(P679&gt;=80,"ATTACK",IF(P679&gt;=65,"GROW",IF(P679&gt;=50,"PARTNER","WATCH"))))</x:f>
      </x:c>
      <x:c r="R679" s="12" t="str">
        <x:f>IF(Q679="","",IF(Q679="ATTACK","Grassroots + family acquisition",IF(Q679="GROW","Test local campaign",IF(Q679="PARTNER","Organisation-first partnership","Low priority / validate"))))</x:f>
      </x:c>
      <x:c r="S679" s="45" t="n">
        <x:v>6.862270747752872</x:v>
      </x:c>
      <x:c r="T679" t="str">
        <x:v>NEAR</x:v>
      </x:c>
      <x:c r="U679" s="32" t="n">
        <x:f>PERCENTRANK.INC($G$2:$G$941,G679)</x:f>
        <x:v>0.638</x:v>
      </x:c>
      <x:c r="V679" s="32" t="n">
        <x:f>PERCENTRANK.INC($H$2:$H$941,H679)</x:f>
        <x:v>0.761</x:v>
      </x:c>
      <x:c r="W679" t="n">
        <x:f>ROUND((U679*55+V679*45)*IF(S679&lt;=5,1,IF(S679&lt;=10,0.95,IF(S679&lt;=20,0.85,0.70))),0)</x:f>
        <x:v>66</x:v>
      </x:c>
      <x:c r="X679" t="n">
        <x:v>63</x:v>
      </x:c>
      <x:c r="Y679" t="str">
        <x:v>PARTNER</x:v>
      </x:c>
      <x:c r="Z679" s="12" t="str">
        <x:v>Family + verified grassroots + straight-line geo only; transport not yet routed</x:v>
      </x:c>
      <x:c r="AA679" s="12"/>
      <x:c r="AB679" s="12"/>
      <x:c r="AC679" s="12"/>
      <x:c r="AD679" s="12"/>
      <x:c r="AE679" t="str">
        <x:v>Charlton Athletic Women</x:v>
      </x:c>
      <x:c r="AF679" s="45" t="n">
        <x:v>6.408242330457034</x:v>
      </x:c>
      <x:c r="AG679" t="str">
        <x:v>Dulwich Hamlet Women</x:v>
      </x:c>
      <x:c r="AH679" s="45" t="n">
        <x:v>4.206038728799232</x:v>
      </x:c>
      <x:c r="AI679" t="n">
        <x:v>74</x:v>
      </x:c>
      <x:c r="AJ679" t="str">
        <x:v>MEDIUM</x:v>
      </x:c>
    </x:row>
    <x:row r="680">
      <x:c r="A680" s="12" t="str">
        <x:v>E01003254</x:v>
      </x:c>
      <x:c r="B680" s="12" t="str">
        <x:v>Lewisham 021A</x:v>
      </x:c>
      <x:c r="C680" s="12" t="str">
        <x:v>Lewisham</x:v>
      </x:c>
      <x:c r="D680" s="44" t="n">
        <x:v>51.44363243124646</x:v>
      </x:c>
      <x:c r="E680" s="44" t="n">
        <x:v>-0.058240632158445986</x:v>
      </x:c>
      <x:c r="F680" s="33" t="n">
        <x:v>604</x:v>
      </x:c>
      <x:c r="G680" s="33" t="n">
        <x:v>182</x:v>
      </x:c>
      <x:c r="H680" s="26" t="n">
        <x:v>0.30132450331125826</x:v>
      </x:c>
      <x:c r="I680" s="12" t="n">
        <x:v>3</x:v>
      </x:c>
      <x:c r="J680" s="12" t="n">
        <x:v>67</x:v>
      </x:c>
      <x:c r="K680" s="12"/>
      <x:c r="L680" s="12"/>
      <x:c r="M680" s="12" t="str">
        <x:f>IF(K680="", "", MAX(0,IF(K680&lt;=20,100,IF(K680&lt;=30,85,IF(K680&lt;=40,70,IF(K680&lt;=50,55,IF(K680&lt;=60,40,20)))))-MIN(L680*5,20)))</x:f>
      </x:c>
      <x:c r="N680" s="12"/>
      <x:c r="O680" s="12"/>
      <x:c r="P680" s="12" t="str">
        <x:f>IF(OR(H680="",J680="",M680=""),"",ROUND(PERCENTRANK.INC($H$2:$H$941,H680)*35+J680*0.35+M680*0.30,0))</x:f>
      </x:c>
      <x:c r="Q680" s="12" t="str">
        <x:f>IF(P680="","",IF(P680&gt;=80,"ATTACK",IF(P680&gt;=65,"GROW",IF(P680&gt;=50,"PARTNER","WATCH"))))</x:f>
      </x:c>
      <x:c r="R680" s="12" t="str">
        <x:f>IF(Q680="","",IF(Q680="ATTACK","Grassroots + family acquisition",IF(Q680="GROW","Test local campaign",IF(Q680="PARTNER","Organisation-first partnership","Low priority / validate"))))</x:f>
      </x:c>
      <x:c r="S680" s="45" t="n">
        <x:v>7.874782845001089</x:v>
      </x:c>
      <x:c r="T680" t="str">
        <x:v>NEAR</x:v>
      </x:c>
      <x:c r="U680" s="32" t="n">
        <x:f>PERCENTRANK.INC($G$2:$G$941,G680)</x:f>
        <x:v>0.238</x:v>
      </x:c>
      <x:c r="V680" s="32" t="n">
        <x:f>PERCENTRANK.INC($H$2:$H$941,H680)</x:f>
        <x:v>0.4</x:v>
      </x:c>
      <x:c r="W680" t="n">
        <x:f>ROUND((U680*55+V680*45)*IF(S680&lt;=5,1,IF(S680&lt;=10,0.95,IF(S680&lt;=20,0.85,0.70))),0)</x:f>
        <x:v>30</x:v>
      </x:c>
      <x:c r="X680" t="n">
        <x:v>47</x:v>
      </x:c>
      <x:c r="Y680" t="str">
        <x:v>WATCH</x:v>
      </x:c>
      <x:c r="Z680" s="12" t="str">
        <x:v>Family + verified grassroots + straight-line geo only; transport not yet routed</x:v>
      </x:c>
      <x:c r="AA680" s="12"/>
      <x:c r="AB680" s="12"/>
      <x:c r="AC680" s="12"/>
      <x:c r="AD680" s="12"/>
      <x:c r="AE680" t="str">
        <x:v>Crystal Palace Women</x:v>
      </x:c>
      <x:c r="AF680" s="45" t="n">
        <x:v>5.3770939340030806</x:v>
      </x:c>
      <x:c r="AG680" t="str">
        <x:v>Dulwich Hamlet Women</x:v>
      </x:c>
      <x:c r="AH680" s="45" t="n">
        <x:v>2.655040514906815</x:v>
      </x:c>
      <x:c r="AI680" t="n">
        <x:v>89</x:v>
      </x:c>
      <x:c r="AJ680" t="str">
        <x:v>HIGH</x:v>
      </x:c>
    </x:row>
    <x:row r="681">
      <x:c r="A681" s="12" t="str">
        <x:v>E01003255</x:v>
      </x:c>
      <x:c r="B681" s="12" t="str">
        <x:v>Lewisham 021B</x:v>
      </x:c>
      <x:c r="C681" s="12" t="str">
        <x:v>Lewisham</x:v>
      </x:c>
      <x:c r="D681" s="44" t="n">
        <x:v>51.44008059472544</x:v>
      </x:c>
      <x:c r="E681" s="44" t="n">
        <x:v>-0.055955441746757734</x:v>
      </x:c>
      <x:c r="F681" s="33" t="n">
        <x:v>984</x:v>
      </x:c>
      <x:c r="G681" s="33" t="n">
        <x:v>221</x:v>
      </x:c>
      <x:c r="H681" s="26" t="n">
        <x:v>0.22459349593495934</x:v>
      </x:c>
      <x:c r="I681" s="12" t="n">
        <x:v>3</x:v>
      </x:c>
      <x:c r="J681" s="12" t="n">
        <x:v>67</x:v>
      </x:c>
      <x:c r="K681" s="12"/>
      <x:c r="L681" s="12"/>
      <x:c r="M681" s="12" t="str">
        <x:f>IF(K681="", "", MAX(0,IF(K681&lt;=20,100,IF(K681&lt;=30,85,IF(K681&lt;=40,70,IF(K681&lt;=50,55,IF(K681&lt;=60,40,20)))))-MIN(L681*5,20)))</x:f>
      </x:c>
      <x:c r="N681" s="12"/>
      <x:c r="O681" s="12"/>
      <x:c r="P681" s="12" t="str">
        <x:f>IF(OR(H681="",J681="",M681=""),"",ROUND(PERCENTRANK.INC($H$2:$H$941,H681)*35+J681*0.35+M681*0.30,0))</x:f>
      </x:c>
      <x:c r="Q681" s="12" t="str">
        <x:f>IF(P681="","",IF(P681&gt;=80,"ATTACK",IF(P681&gt;=65,"GROW",IF(P681&gt;=50,"PARTNER","WATCH"))))</x:f>
      </x:c>
      <x:c r="R681" s="12" t="str">
        <x:f>IF(Q681="","",IF(Q681="ATTACK","Grassroots + family acquisition",IF(Q681="GROW","Test local campaign",IF(Q681="PARTNER","Organisation-first partnership","Low priority / validate"))))</x:f>
      </x:c>
      <x:c r="S681" s="45" t="n">
        <x:v>7.476752285816916</x:v>
      </x:c>
      <x:c r="T681" t="str">
        <x:v>NEAR</x:v>
      </x:c>
      <x:c r="U681" s="32" t="n">
        <x:f>PERCENTRANK.INC($G$2:$G$941,G681)</x:f>
        <x:v>0.552</x:v>
      </x:c>
      <x:c r="V681" s="32" t="n">
        <x:f>PERCENTRANK.INC($H$2:$H$941,H681)</x:f>
        <x:v>0.113</x:v>
      </x:c>
      <x:c r="W681" t="n">
        <x:f>ROUND((U681*55+V681*45)*IF(S681&lt;=5,1,IF(S681&lt;=10,0.95,IF(S681&lt;=20,0.85,0.70))),0)</x:f>
        <x:v>34</x:v>
      </x:c>
      <x:c r="X681" t="n">
        <x:v>49</x:v>
      </x:c>
      <x:c r="Y681" t="str">
        <x:v>WATCH</x:v>
      </x:c>
      <x:c r="Z681" s="12" t="str">
        <x:v>Family + verified grassroots + straight-line geo only; transport not yet routed</x:v>
      </x:c>
      <x:c r="AA681" s="12"/>
      <x:c r="AB681" s="12"/>
      <x:c r="AC681" s="12"/>
      <x:c r="AD681" s="12"/>
      <x:c r="AE681" t="str">
        <x:v>Crystal Palace Women</x:v>
      </x:c>
      <x:c r="AF681" s="45" t="n">
        <x:v>5.069760621340208</x:v>
      </x:c>
      <x:c r="AG681" t="str">
        <x:v>Dulwich Hamlet Women</x:v>
      </x:c>
      <x:c r="AH681" s="45" t="n">
        <x:v>3.0576084655787032</x:v>
      </x:c>
      <x:c r="AI681" t="n">
        <x:v>85</x:v>
      </x:c>
      <x:c r="AJ681" t="str">
        <x:v>HIGH</x:v>
      </x:c>
    </x:row>
    <x:row r="682">
      <x:c r="A682" s="12" t="str">
        <x:v>E01003260</x:v>
      </x:c>
      <x:c r="B682" s="12" t="str">
        <x:v>Lewisham 021C</x:v>
      </x:c>
      <x:c r="C682" s="12" t="str">
        <x:v>Lewisham</x:v>
      </x:c>
      <x:c r="D682" s="44" t="n">
        <x:v>51.4478629813669</x:v>
      </x:c>
      <x:c r="E682" s="44" t="n">
        <x:v>-0.05860871425558896</x:v>
      </x:c>
      <x:c r="F682" s="33" t="n">
        <x:v>635</x:v>
      </x:c>
      <x:c r="G682" s="33" t="n">
        <x:v>226</x:v>
      </x:c>
      <x:c r="H682" s="26" t="n">
        <x:v>0.35590551181102364</x:v>
      </x:c>
      <x:c r="I682" s="12" t="n">
        <x:v>3</x:v>
      </x:c>
      <x:c r="J682" s="12" t="n">
        <x:v>51</x:v>
      </x:c>
      <x:c r="K682" s="12"/>
      <x:c r="L682" s="12"/>
      <x:c r="M682" s="12" t="str">
        <x:f>IF(K682="", "", MAX(0,IF(K682&lt;=20,100,IF(K682&lt;=30,85,IF(K682&lt;=40,70,IF(K682&lt;=50,55,IF(K682&lt;=60,40,20)))))-MIN(L682*5,20)))</x:f>
      </x:c>
      <x:c r="N682" s="12"/>
      <x:c r="O682" s="12"/>
      <x:c r="P682" s="12" t="str">
        <x:f>IF(OR(H682="",J682="",M682=""),"",ROUND(PERCENTRANK.INC($H$2:$H$941,H682)*35+J682*0.35+M682*0.30,0))</x:f>
      </x:c>
      <x:c r="Q682" s="12" t="str">
        <x:f>IF(P682="","",IF(P682&gt;=80,"ATTACK",IF(P682&gt;=65,"GROW",IF(P682&gt;=50,"PARTNER","WATCH"))))</x:f>
      </x:c>
      <x:c r="R682" s="12" t="str">
        <x:f>IF(Q682="","",IF(Q682="ATTACK","Grassroots + family acquisition",IF(Q682="GROW","Test local campaign",IF(Q682="PARTNER","Organisation-first partnership","Low priority / validate"))))</x:f>
      </x:c>
      <x:c r="S682" s="45" t="n">
        <x:v>8.246714196010052</x:v>
      </x:c>
      <x:c r="T682" t="str">
        <x:v>NEAR</x:v>
      </x:c>
      <x:c r="U682" s="32" t="n">
        <x:f>PERCENTRANK.INC($G$2:$G$941,G682)</x:f>
        <x:v>0.595</x:v>
      </x:c>
      <x:c r="V682" s="32" t="n">
        <x:f>PERCENTRANK.INC($H$2:$H$941,H682)</x:f>
        <x:v>0.718</x:v>
      </x:c>
      <x:c r="W682" t="n">
        <x:f>ROUND((U682*55+V682*45)*IF(S682&lt;=5,1,IF(S682&lt;=10,0.95,IF(S682&lt;=20,0.85,0.70))),0)</x:f>
        <x:v>62</x:v>
      </x:c>
      <x:c r="X682" t="n">
        <x:v>57</x:v>
      </x:c>
      <x:c r="Y682" t="str">
        <x:v>PARTNER</x:v>
      </x:c>
      <x:c r="Z682" s="12" t="str">
        <x:v>Family + verified grassroots + straight-line geo only; transport not yet routed</x:v>
      </x:c>
      <x:c r="AA682" s="12"/>
      <x:c r="AB682" s="12"/>
      <x:c r="AC682" s="12"/>
      <x:c r="AD682" s="12"/>
      <x:c r="AE682" t="str">
        <x:v>Crystal Palace Women</x:v>
      </x:c>
      <x:c r="AF682" s="45" t="n">
        <x:v>5.812409975718897</x:v>
      </x:c>
      <x:c r="AG682" t="str">
        <x:v>Dulwich Hamlet Women</x:v>
      </x:c>
      <x:c r="AH682" s="45" t="n">
        <x:v>2.3085738713568293</x:v>
      </x:c>
      <x:c r="AI682" t="n">
        <x:v>89</x:v>
      </x:c>
      <x:c r="AJ682" t="str">
        <x:v>HIGH</x:v>
      </x:c>
    </x:row>
    <x:row r="683">
      <x:c r="A683" s="12" t="str">
        <x:v>E01003261</x:v>
      </x:c>
      <x:c r="B683" s="12" t="str">
        <x:v>Lewisham 021D</x:v>
      </x:c>
      <x:c r="C683" s="12" t="str">
        <x:v>Lewisham</x:v>
      </x:c>
      <x:c r="D683" s="44" t="n">
        <x:v>51.44807181330882</x:v>
      </x:c>
      <x:c r="E683" s="44" t="n">
        <x:v>-0.049980544434587035</x:v>
      </x:c>
      <x:c r="F683" s="33" t="n">
        <x:v>607</x:v>
      </x:c>
      <x:c r="G683" s="33" t="n">
        <x:v>186</x:v>
      </x:c>
      <x:c r="H683" s="26" t="n">
        <x:v>0.30642504118616143</x:v>
      </x:c>
      <x:c r="I683" s="12" t="n">
        <x:v>2</x:v>
      </x:c>
      <x:c r="J683" s="12" t="n">
        <x:v>59</x:v>
      </x:c>
      <x:c r="K683" s="12"/>
      <x:c r="L683" s="12"/>
      <x:c r="M683" s="12" t="str">
        <x:f>IF(K683="", "", MAX(0,IF(K683&lt;=20,100,IF(K683&lt;=30,85,IF(K683&lt;=40,70,IF(K683&lt;=50,55,IF(K683&lt;=60,40,20)))))-MIN(L683*5,20)))</x:f>
      </x:c>
      <x:c r="N683" s="12"/>
      <x:c r="O683" s="12"/>
      <x:c r="P683" s="12" t="str">
        <x:f>IF(OR(H683="",J683="",M683=""),"",ROUND(PERCENTRANK.INC($H$2:$H$941,H683)*35+J683*0.35+M683*0.30,0))</x:f>
      </x:c>
      <x:c r="Q683" s="12" t="str">
        <x:f>IF(P683="","",IF(P683&gt;=80,"ATTACK",IF(P683&gt;=65,"GROW",IF(P683&gt;=50,"PARTNER","WATCH"))))</x:f>
      </x:c>
      <x:c r="R683" s="12" t="str">
        <x:f>IF(Q683="","",IF(Q683="ATTACK","Grassroots + family acquisition",IF(Q683="GROW","Test local campaign",IF(Q683="PARTNER","Organisation-first partnership","Low priority / validate"))))</x:f>
      </x:c>
      <x:c r="S683" s="45" t="n">
        <x:v>7.894796606434113</x:v>
      </x:c>
      <x:c r="T683" t="str">
        <x:v>NEAR</x:v>
      </x:c>
      <x:c r="U683" s="32" t="n">
        <x:f>PERCENTRANK.INC($G$2:$G$941,G683)</x:f>
        <x:v>0.277</x:v>
      </x:c>
      <x:c r="V683" s="32" t="n">
        <x:f>PERCENTRANK.INC($H$2:$H$941,H683)</x:f>
        <x:v>0.425</x:v>
      </x:c>
      <x:c r="W683" t="n">
        <x:f>ROUND((U683*55+V683*45)*IF(S683&lt;=5,1,IF(S683&lt;=10,0.95,IF(S683&lt;=20,0.85,0.70))),0)</x:f>
        <x:v>33</x:v>
      </x:c>
      <x:c r="X683" t="n">
        <x:v>45</x:v>
      </x:c>
      <x:c r="Y683" t="str">
        <x:v>WATCH</x:v>
      </x:c>
      <x:c r="Z683" s="12" t="str">
        <x:v>Family + verified grassroots + straight-line geo only; transport not yet routed</x:v>
      </x:c>
      <x:c r="AA683" s="12"/>
      <x:c r="AB683" s="12"/>
      <x:c r="AC683" s="12"/>
      <x:c r="AD683" s="12"/>
      <x:c r="AE683" t="str">
        <x:v>Crystal Palace Women</x:v>
      </x:c>
      <x:c r="AF683" s="45" t="n">
        <x:v>6.04983638480312</x:v>
      </x:c>
      <x:c r="AG683" t="str">
        <x:v>Dulwich Hamlet Women</x:v>
      </x:c>
      <x:c r="AH683" s="45" t="n">
        <x:v>2.778473674844528</x:v>
      </x:c>
      <x:c r="AI683" t="n">
        <x:v>78</x:v>
      </x:c>
      <x:c r="AJ683" t="str">
        <x:v>HIGH</x:v>
      </x:c>
    </x:row>
    <x:row r="684">
      <x:c r="A684" s="12" t="str">
        <x:v>E01003262</x:v>
      </x:c>
      <x:c r="B684" s="12" t="str">
        <x:v>Lewisham 021E</x:v>
      </x:c>
      <x:c r="C684" s="12" t="str">
        <x:v>Lewisham</x:v>
      </x:c>
      <x:c r="D684" s="44" t="n">
        <x:v>51.444490025690214</x:v>
      </x:c>
      <x:c r="E684" s="44" t="n">
        <x:v>-0.052560258135727116</x:v>
      </x:c>
      <x:c r="F684" s="33" t="n">
        <x:v>661</x:v>
      </x:c>
      <x:c r="G684" s="33" t="n">
        <x:v>188</x:v>
      </x:c>
      <x:c r="H684" s="26" t="n">
        <x:v>0.2844175491679274</x:v>
      </x:c>
      <x:c r="I684" s="12" t="n">
        <x:v>3</x:v>
      </x:c>
      <x:c r="J684" s="12" t="n">
        <x:v>60</x:v>
      </x:c>
      <x:c r="K684" s="12"/>
      <x:c r="L684" s="12"/>
      <x:c r="M684" s="12" t="str">
        <x:f>IF(K684="", "", MAX(0,IF(K684&lt;=20,100,IF(K684&lt;=30,85,IF(K684&lt;=40,70,IF(K684&lt;=50,55,IF(K684&lt;=60,40,20)))))-MIN(L684*5,20)))</x:f>
      </x:c>
      <x:c r="N684" s="12"/>
      <x:c r="O684" s="12"/>
      <x:c r="P684" s="12" t="str">
        <x:f>IF(OR(H684="",J684="",M684=""),"",ROUND(PERCENTRANK.INC($H$2:$H$941,H684)*35+J684*0.35+M684*0.30,0))</x:f>
      </x:c>
      <x:c r="Q684" s="12" t="str">
        <x:f>IF(P684="","",IF(P684&gt;=80,"ATTACK",IF(P684&gt;=65,"GROW",IF(P684&gt;=50,"PARTNER","WATCH"))))</x:f>
      </x:c>
      <x:c r="R684" s="12" t="str">
        <x:f>IF(Q684="","",IF(Q684="ATTACK","Grassroots + family acquisition",IF(Q684="GROW","Test local campaign",IF(Q684="PARTNER","Organisation-first partnership","Low priority / validate"))))</x:f>
      </x:c>
      <x:c r="S684" s="45" t="n">
        <x:v>7.690460049769798</x:v>
      </x:c>
      <x:c r="T684" t="str">
        <x:v>NEAR</x:v>
      </x:c>
      <x:c r="U684" s="32" t="n">
        <x:f>PERCENTRANK.INC($G$2:$G$941,G684)</x:f>
        <x:v>0.303</x:v>
      </x:c>
      <x:c r="V684" s="32" t="n">
        <x:f>PERCENTRANK.INC($H$2:$H$941,H684)</x:f>
        <x:v>0.312</x:v>
      </x:c>
      <x:c r="W684" t="n">
        <x:f>ROUND((U684*55+V684*45)*IF(S684&lt;=5,1,IF(S684&lt;=10,0.95,IF(S684&lt;=20,0.85,0.70))),0)</x:f>
        <x:v>29</x:v>
      </x:c>
      <x:c r="X684" t="n">
        <x:v>43</x:v>
      </x:c>
      <x:c r="Y684" t="str">
        <x:v>WATCH</x:v>
      </x:c>
      <x:c r="Z684" s="12" t="str">
        <x:v>Family + verified grassroots + straight-line geo only; transport not yet routed</x:v>
      </x:c>
      <x:c r="AA684" s="12"/>
      <x:c r="AB684" s="12"/>
      <x:c r="AC684" s="12"/>
      <x:c r="AD684" s="12"/>
      <x:c r="AE684" t="str">
        <x:v>Crystal Palace Women</x:v>
      </x:c>
      <x:c r="AF684" s="45" t="n">
        <x:v>5.613284796941635</x:v>
      </x:c>
      <x:c r="AG684" t="str">
        <x:v>Dulwich Hamlet Women</x:v>
      </x:c>
      <x:c r="AH684" s="45" t="n">
        <x:v>2.8709076092803585</x:v>
      </x:c>
      <x:c r="AI684" t="n">
        <x:v>89</x:v>
      </x:c>
      <x:c r="AJ684" t="str">
        <x:v>HIGH</x:v>
      </x:c>
    </x:row>
    <x:row r="685">
      <x:c r="A685" s="12" t="str">
        <x:v>E01003217</x:v>
      </x:c>
      <x:c r="B685" s="12" t="str">
        <x:v>Lewisham 022A</x:v>
      </x:c>
      <x:c r="C685" s="12" t="str">
        <x:v>Lewisham</x:v>
      </x:c>
      <x:c r="D685" s="44" t="n">
        <x:v>51.441239723522436</x:v>
      </x:c>
      <x:c r="E685" s="44" t="n">
        <x:v>-0.007164966083398655</x:v>
      </x:c>
      <x:c r="F685" s="33" t="n">
        <x:v>655</x:v>
      </x:c>
      <x:c r="G685" s="33" t="n">
        <x:v>249</x:v>
      </x:c>
      <x:c r="H685" s="26" t="n">
        <x:v>0.3801526717557252</x:v>
      </x:c>
      <x:c r="I685" s="12" t="n">
        <x:v>2</x:v>
      </x:c>
      <x:c r="J685" s="12" t="n">
        <x:v>76</x:v>
      </x:c>
      <x:c r="K685" s="12"/>
      <x:c r="L685" s="12"/>
      <x:c r="M685" s="12" t="str">
        <x:f>IF(K685="", "", MAX(0,IF(K685&lt;=20,100,IF(K685&lt;=30,85,IF(K685&lt;=40,70,IF(K685&lt;=50,55,IF(K685&lt;=60,40,20)))))-MIN(L685*5,20)))</x:f>
      </x:c>
      <x:c r="N685" s="12"/>
      <x:c r="O685" s="12"/>
      <x:c r="P685" s="12" t="str">
        <x:f>IF(OR(H685="",J685="",M685=""),"",ROUND(PERCENTRANK.INC($H$2:$H$941,H685)*35+J685*0.35+M685*0.30,0))</x:f>
      </x:c>
      <x:c r="Q685" s="12" t="str">
        <x:f>IF(P685="","",IF(P685&gt;=80,"ATTACK",IF(P685&gt;=65,"GROW",IF(P685&gt;=50,"PARTNER","WATCH"))))</x:f>
      </x:c>
      <x:c r="R685" s="12" t="str">
        <x:f>IF(Q685="","",IF(Q685="ATTACK","Grassroots + family acquisition",IF(Q685="GROW","Test local campaign",IF(Q685="PARTNER","Organisation-first partnership","Low priority / validate"))))</x:f>
      </x:c>
      <x:c r="S685" s="45" t="n">
        <x:v>5.848382226865404</x:v>
      </x:c>
      <x:c r="T685" t="str">
        <x:v>NEAR</x:v>
      </x:c>
      <x:c r="U685" s="32" t="n">
        <x:f>PERCENTRANK.INC($G$2:$G$941,G685)</x:f>
        <x:v>0.766</x:v>
      </x:c>
      <x:c r="V685" s="32" t="n">
        <x:f>PERCENTRANK.INC($H$2:$H$941,H685)</x:f>
        <x:v>0.83</x:v>
      </x:c>
      <x:c r="W685" t="n">
        <x:f>ROUND((U685*55+V685*45)*IF(S685&lt;=5,1,IF(S685&lt;=10,0.95,IF(S685&lt;=20,0.85,0.70))),0)</x:f>
        <x:v>76</x:v>
      </x:c>
      <x:c r="X685" t="n">
        <x:v>76</x:v>
      </x:c>
      <x:c r="Y685" t="str">
        <x:v>GROW</x:v>
      </x:c>
      <x:c r="Z685" s="12" t="str">
        <x:v>Family + verified grassroots + straight-line geo only; transport not yet routed</x:v>
      </x:c>
      <x:c r="AA685" s="12"/>
      <x:c r="AB685" s="12"/>
      <x:c r="AC685" s="12"/>
      <x:c r="AD685" s="12"/>
      <x:c r="AE685" t="str">
        <x:v>Charlton Athletic Women</x:v>
      </x:c>
      <x:c r="AF685" s="45" t="n">
        <x:v>5.849826149651216</x:v>
      </x:c>
      <x:c r="AG685" t="str">
        <x:v>Dulwich Hamlet Women</x:v>
      </x:c>
      <x:c r="AH685" s="45" t="n">
        <x:v>5.772207437845346</x:v>
      </x:c>
      <x:c r="AI685" t="n">
        <x:v>85</x:v>
      </x:c>
      <x:c r="AJ685" t="str">
        <x:v>HIGH</x:v>
      </x:c>
    </x:row>
    <x:row r="686">
      <x:c r="A686" s="12" t="str">
        <x:v>E01003218</x:v>
      </x:c>
      <x:c r="B686" s="12" t="str">
        <x:v>Lewisham 022B</x:v>
      </x:c>
      <x:c r="C686" s="12" t="str">
        <x:v>Lewisham</x:v>
      </x:c>
      <x:c r="D686" s="44" t="n">
        <x:v>51.438778253820885</x:v>
      </x:c>
      <x:c r="E686" s="44" t="n">
        <x:v>-0.0021221063212843384</x:v>
      </x:c>
      <x:c r="F686" s="33" t="n">
        <x:v>549</x:v>
      </x:c>
      <x:c r="G686" s="33" t="n">
        <x:v>214</x:v>
      </x:c>
      <x:c r="H686" s="26" t="n">
        <x:v>0.38979963570127507</x:v>
      </x:c>
      <x:c r="I686" s="12" t="n">
        <x:v>2</x:v>
      </x:c>
      <x:c r="J686" s="12" t="n">
        <x:v>76</x:v>
      </x:c>
      <x:c r="K686" s="12"/>
      <x:c r="L686" s="12"/>
      <x:c r="M686" s="12" t="str">
        <x:f>IF(K686="", "", MAX(0,IF(K686&lt;=20,100,IF(K686&lt;=30,85,IF(K686&lt;=40,70,IF(K686&lt;=50,55,IF(K686&lt;=60,40,20)))))-MIN(L686*5,20)))</x:f>
      </x:c>
      <x:c r="N686" s="12"/>
      <x:c r="O686" s="12"/>
      <x:c r="P686" s="12" t="str">
        <x:f>IF(OR(H686="",J686="",M686=""),"",ROUND(PERCENTRANK.INC($H$2:$H$941,H686)*35+J686*0.35+M686*0.30,0))</x:f>
      </x:c>
      <x:c r="Q686" s="12" t="str">
        <x:f>IF(P686="","",IF(P686&gt;=80,"ATTACK",IF(P686&gt;=65,"GROW",IF(P686&gt;=50,"PARTNER","WATCH"))))</x:f>
      </x:c>
      <x:c r="R686" s="12" t="str">
        <x:f>IF(Q686="","",IF(Q686="ATTACK","Grassroots + family acquisition",IF(Q686="GROW","Test local campaign",IF(Q686="PARTNER","Organisation-first partnership","Low priority / validate"))))</x:f>
      </x:c>
      <x:c r="S686" s="45" t="n">
        <x:v>5.489567626476374</x:v>
      </x:c>
      <x:c r="T686" t="str">
        <x:v>NEAR</x:v>
      </x:c>
      <x:c r="U686" s="32" t="n">
        <x:f>PERCENTRANK.INC($G$2:$G$941,G686)</x:f>
        <x:v>0.502</x:v>
      </x:c>
      <x:c r="V686" s="32" t="n">
        <x:f>PERCENTRANK.INC($H$2:$H$941,H686)</x:f>
        <x:v>0.873</x:v>
      </x:c>
      <x:c r="W686" t="n">
        <x:f>ROUND((U686*55+V686*45)*IF(S686&lt;=5,1,IF(S686&lt;=10,0.95,IF(S686&lt;=20,0.85,0.70))),0)</x:f>
        <x:v>64</x:v>
      </x:c>
      <x:c r="X686" t="n">
        <x:v>70</x:v>
      </x:c>
      <x:c r="Y686" t="str">
        <x:v>GROW</x:v>
      </x:c>
      <x:c r="Z686" s="12" t="str">
        <x:v>Family + verified grassroots + straight-line geo only; transport not yet routed</x:v>
      </x:c>
      <x:c r="AA686" s="12"/>
      <x:c r="AB686" s="12"/>
      <x:c r="AC686" s="12"/>
      <x:c r="AD686" s="12"/>
      <x:c r="AE686" t="str">
        <x:v>Charlton Athletic Women</x:v>
      </x:c>
      <x:c r="AF686" s="45" t="n">
        <x:v>5.922002572902065</x:v>
      </x:c>
      <x:c r="AG686" t="str">
        <x:v>Dulwich Hamlet Women</x:v>
      </x:c>
      <x:c r="AH686" s="45" t="n">
        <x:v>6.201569999922889</x:v>
      </x:c>
      <x:c r="AI686" t="n">
        <x:v>81</x:v>
      </x:c>
      <x:c r="AJ686" t="str">
        <x:v>HIGH</x:v>
      </x:c>
    </x:row>
    <x:row r="687">
      <x:c r="A687" s="12" t="str">
        <x:v>E01003220</x:v>
      </x:c>
      <x:c r="B687" s="12" t="str">
        <x:v>Lewisham 022C</x:v>
      </x:c>
      <x:c r="C687" s="12" t="str">
        <x:v>Lewisham</x:v>
      </x:c>
      <x:c r="D687" s="44" t="n">
        <x:v>51.44353881392421</x:v>
      </x:c>
      <x:c r="E687" s="44" t="n">
        <x:v>0.001197879293876903</x:v>
      </x:c>
      <x:c r="F687" s="33" t="n">
        <x:v>598</x:v>
      </x:c>
      <x:c r="G687" s="33" t="n">
        <x:v>188</x:v>
      </x:c>
      <x:c r="H687" s="26" t="n">
        <x:v>0.31438127090301005</x:v>
      </x:c>
      <x:c r="I687" s="12" t="n">
        <x:v>2</x:v>
      </x:c>
      <x:c r="J687" s="12" t="n">
        <x:v>76</x:v>
      </x:c>
      <x:c r="K687" s="12"/>
      <x:c r="L687" s="12"/>
      <x:c r="M687" s="12" t="str">
        <x:f>IF(K687="", "", MAX(0,IF(K687&lt;=20,100,IF(K687&lt;=30,85,IF(K687&lt;=40,70,IF(K687&lt;=50,55,IF(K687&lt;=60,40,20)))))-MIN(L687*5,20)))</x:f>
      </x:c>
      <x:c r="N687" s="12"/>
      <x:c r="O687" s="12"/>
      <x:c r="P687" s="12" t="str">
        <x:f>IF(OR(H687="",J687="",M687=""),"",ROUND(PERCENTRANK.INC($H$2:$H$941,H687)*35+J687*0.35+M687*0.30,0))</x:f>
      </x:c>
      <x:c r="Q687" s="12" t="str">
        <x:f>IF(P687="","",IF(P687&gt;=80,"ATTACK",IF(P687&gt;=65,"GROW",IF(P687&gt;=50,"PARTNER","WATCH"))))</x:f>
      </x:c>
      <x:c r="R687" s="12" t="str">
        <x:f>IF(Q687="","",IF(Q687="ATTACK","Grassroots + family acquisition",IF(Q687="GROW","Test local campaign",IF(Q687="PARTNER","Organisation-first partnership","Low priority / validate"))))</x:f>
      </x:c>
      <x:c r="S687" s="45" t="n">
        <x:v>5.954961950122031</x:v>
      </x:c>
      <x:c r="T687" t="str">
        <x:v>NEAR</x:v>
      </x:c>
      <x:c r="U687" s="32" t="n">
        <x:f>PERCENTRANK.INC($G$2:$G$941,G687)</x:f>
        <x:v>0.303</x:v>
      </x:c>
      <x:c r="V687" s="32" t="n">
        <x:f>PERCENTRANK.INC($H$2:$H$941,H687)</x:f>
        <x:v>0.479</x:v>
      </x:c>
      <x:c r="W687" t="n">
        <x:f>ROUND((U687*55+V687*45)*IF(S687&lt;=5,1,IF(S687&lt;=10,0.95,IF(S687&lt;=20,0.85,0.70))),0)</x:f>
        <x:v>36</x:v>
      </x:c>
      <x:c r="X687" t="n">
        <x:v>54</x:v>
      </x:c>
      <x:c r="Y687" t="str">
        <x:v>PARTNER</x:v>
      </x:c>
      <x:c r="Z687" s="12" t="str">
        <x:v>Family + verified grassroots + straight-line geo only; transport not yet routed</x:v>
      </x:c>
      <x:c r="AA687" s="12"/>
      <x:c r="AB687" s="12"/>
      <x:c r="AC687" s="12"/>
      <x:c r="AD687" s="12"/>
      <x:c r="AE687" t="str">
        <x:v>Charlton Athletic Women</x:v>
      </x:c>
      <x:c r="AF687" s="45" t="n">
        <x:v>5.345730018936091</x:v>
      </x:c>
      <x:c r="AG687" t="str">
        <x:v>Dulwich Hamlet Women</x:v>
      </x:c>
      <x:c r="AH687" s="45" t="n">
        <x:v>6.2245768092481155</x:v>
      </x:c>
      <x:c r="AI687" t="n">
        <x:v>81</x:v>
      </x:c>
      <x:c r="AJ687" t="str">
        <x:v>HIGH</x:v>
      </x:c>
    </x:row>
    <x:row r="688">
      <x:c r="A688" s="12" t="str">
        <x:v>E01003222</x:v>
      </x:c>
      <x:c r="B688" s="12" t="str">
        <x:v>Lewisham 022D</x:v>
      </x:c>
      <x:c r="C688" s="12" t="str">
        <x:v>Lewisham</x:v>
      </x:c>
      <x:c r="D688" s="44" t="n">
        <x:v>51.43961453766003</x:v>
      </x:c>
      <x:c r="E688" s="44" t="n">
        <x:v>0.001883084075422044</x:v>
      </x:c>
      <x:c r="F688" s="33" t="n">
        <x:v>618</x:v>
      </x:c>
      <x:c r="G688" s="33" t="n">
        <x:v>194</x:v>
      </x:c>
      <x:c r="H688" s="26" t="n">
        <x:v>0.313915857605178</x:v>
      </x:c>
      <x:c r="I688" s="12" t="n">
        <x:v>2</x:v>
      </x:c>
      <x:c r="J688" s="12" t="n">
        <x:v>76</x:v>
      </x:c>
      <x:c r="K688" s="12"/>
      <x:c r="L688" s="12"/>
      <x:c r="M688" s="12" t="str">
        <x:f>IF(K688="", "", MAX(0,IF(K688&lt;=20,100,IF(K688&lt;=30,85,IF(K688&lt;=40,70,IF(K688&lt;=50,55,IF(K688&lt;=60,40,20)))))-MIN(L688*5,20)))</x:f>
      </x:c>
      <x:c r="N688" s="12"/>
      <x:c r="O688" s="12"/>
      <x:c r="P688" s="12" t="str">
        <x:f>IF(OR(H688="",J688="",M688=""),"",ROUND(PERCENTRANK.INC($H$2:$H$941,H688)*35+J688*0.35+M688*0.30,0))</x:f>
      </x:c>
      <x:c r="Q688" s="12" t="str">
        <x:f>IF(P688="","",IF(P688&gt;=80,"ATTACK",IF(P688&gt;=65,"GROW",IF(P688&gt;=50,"PARTNER","WATCH"))))</x:f>
      </x:c>
      <x:c r="R688" s="12" t="str">
        <x:f>IF(Q688="","",IF(Q688="ATTACK","Grassroots + family acquisition",IF(Q688="GROW","Test local campaign",IF(Q688="PARTNER","Organisation-first partnership","Low priority / validate"))))</x:f>
      </x:c>
      <x:c r="S688" s="45" t="n">
        <x:v>5.517743230409334</x:v>
      </x:c>
      <x:c r="T688" t="str">
        <x:v>NEAR</x:v>
      </x:c>
      <x:c r="U688" s="32" t="n">
        <x:f>PERCENTRANK.INC($G$2:$G$941,G688)</x:f>
        <x:v>0.343</x:v>
      </x:c>
      <x:c r="V688" s="32" t="n">
        <x:f>PERCENTRANK.INC($H$2:$H$941,H688)</x:f>
        <x:v>0.472</x:v>
      </x:c>
      <x:c r="W688" t="n">
        <x:f>ROUND((U688*55+V688*45)*IF(S688&lt;=5,1,IF(S688&lt;=10,0.95,IF(S688&lt;=20,0.85,0.70))),0)</x:f>
        <x:v>38</x:v>
      </x:c>
      <x:c r="X688" t="n">
        <x:v>55</x:v>
      </x:c>
      <x:c r="Y688" t="str">
        <x:v>PARTNER</x:v>
      </x:c>
      <x:c r="Z688" s="12" t="str">
        <x:v>Family + verified grassroots + straight-line geo only; transport not yet routed</x:v>
      </x:c>
      <x:c r="AA688" s="12"/>
      <x:c r="AB688" s="12"/>
      <x:c r="AC688" s="12"/>
      <x:c r="AD688" s="12"/>
      <x:c r="AE688" t="str">
        <x:v>Charlton Athletic Women</x:v>
      </x:c>
      <x:c r="AF688" s="45" t="n">
        <x:v>5.718344407158221</x:v>
      </x:c>
      <x:c r="AG688" t="str">
        <x:v>Dulwich Hamlet Women</x:v>
      </x:c>
      <x:c r="AH688" s="45" t="n">
        <x:v>6.420830157877489</x:v>
      </x:c>
      <x:c r="AI688" t="n">
        <x:v>81</x:v>
      </x:c>
      <x:c r="AJ688" t="str">
        <x:v>HIGH</x:v>
      </x:c>
    </x:row>
    <x:row r="689">
      <x:c r="A689" s="12" t="str">
        <x:v>E01003224</x:v>
      </x:c>
      <x:c r="B689" s="12" t="str">
        <x:v>Lewisham 022E</x:v>
      </x:c>
      <x:c r="C689" s="12" t="str">
        <x:v>Lewisham</x:v>
      </x:c>
      <x:c r="D689" s="44" t="n">
        <x:v>51.443540198488996</x:v>
      </x:c>
      <x:c r="E689" s="44" t="n">
        <x:v>-0.00500669303356725</x:v>
      </x:c>
      <x:c r="F689" s="33" t="n">
        <x:v>640</x:v>
      </x:c>
      <x:c r="G689" s="33" t="n">
        <x:v>244</x:v>
      </x:c>
      <x:c r="H689" s="26" t="n">
        <x:v>0.38125</x:v>
      </x:c>
      <x:c r="I689" s="12" t="n">
        <x:v>1</x:v>
      </x:c>
      <x:c r="J689" s="12" t="n">
        <x:v>67</x:v>
      </x:c>
      <x:c r="K689" s="12"/>
      <x:c r="L689" s="12"/>
      <x:c r="M689" s="12" t="str">
        <x:f>IF(K689="", "", MAX(0,IF(K689&lt;=20,100,IF(K689&lt;=30,85,IF(K689&lt;=40,70,IF(K689&lt;=50,55,IF(K689&lt;=60,40,20)))))-MIN(L689*5,20)))</x:f>
      </x:c>
      <x:c r="N689" s="12"/>
      <x:c r="O689" s="12"/>
      <x:c r="P689" s="12" t="str">
        <x:f>IF(OR(H689="",J689="",M689=""),"",ROUND(PERCENTRANK.INC($H$2:$H$941,H689)*35+J689*0.35+M689*0.30,0))</x:f>
      </x:c>
      <x:c r="Q689" s="12" t="str">
        <x:f>IF(P689="","",IF(P689&gt;=80,"ATTACK",IF(P689&gt;=65,"GROW",IF(P689&gt;=50,"PARTNER","WATCH"))))</x:f>
      </x:c>
      <x:c r="R689" s="12" t="str">
        <x:f>IF(Q689="","",IF(Q689="ATTACK","Grassroots + family acquisition",IF(Q689="GROW","Test local campaign",IF(Q689="PARTNER","Organisation-first partnership","Low priority / validate"))))</x:f>
      </x:c>
      <x:c r="S689" s="45" t="n">
        <x:v>6.052589930626593</x:v>
      </x:c>
      <x:c r="T689" t="str">
        <x:v>NEAR</x:v>
      </x:c>
      <x:c r="U689" s="32" t="n">
        <x:f>PERCENTRANK.INC($G$2:$G$941,G689)</x:f>
        <x:v>0.739</x:v>
      </x:c>
      <x:c r="V689" s="32" t="n">
        <x:f>PERCENTRANK.INC($H$2:$H$941,H689)</x:f>
        <x:v>0.834</x:v>
      </x:c>
      <x:c r="W689" t="n">
        <x:f>ROUND((U689*55+V689*45)*IF(S689&lt;=5,1,IF(S689&lt;=10,0.95,IF(S689&lt;=20,0.85,0.70))),0)</x:f>
        <x:v>74</x:v>
      </x:c>
      <x:c r="X689" t="n">
        <x:v>71</x:v>
      </x:c>
      <x:c r="Y689" t="str">
        <x:v>GROW</x:v>
      </x:c>
      <x:c r="Z689" s="12" t="str">
        <x:v>Family + verified grassroots + straight-line geo only; transport not yet routed</x:v>
      </x:c>
      <x:c r="AA689" s="12"/>
      <x:c r="AB689" s="12"/>
      <x:c r="AC689" s="12"/>
      <x:c r="AD689" s="12"/>
      <x:c r="AE689" t="str">
        <x:v>Charlton Athletic Women</x:v>
      </x:c>
      <x:c r="AF689" s="45" t="n">
        <x:v>5.553511343931102</x:v>
      </x:c>
      <x:c r="AG689" t="str">
        <x:v>Dulwich Hamlet Women</x:v>
      </x:c>
      <x:c r="AH689" s="45" t="n">
        <x:v>5.818460914231758</x:v>
      </x:c>
      <x:c r="AI689" t="n">
        <x:v>85</x:v>
      </x:c>
      <x:c r="AJ689" t="str">
        <x:v>HIGH</x:v>
      </x:c>
    </x:row>
    <x:row r="690">
      <x:c r="A690" s="12" t="str">
        <x:v>E01003263</x:v>
      </x:c>
      <x:c r="B690" s="12" t="str">
        <x:v>Lewisham 023A</x:v>
      </x:c>
      <x:c r="C690" s="12" t="str">
        <x:v>Lewisham</x:v>
      </x:c>
      <x:c r="D690" s="44" t="n">
        <x:v>51.434633059278895</x:v>
      </x:c>
      <x:c r="E690" s="44" t="n">
        <x:v>0.021520879736405013</x:v>
      </x:c>
      <x:c r="F690" s="33" t="n">
        <x:v>741</x:v>
      </x:c>
      <x:c r="G690" s="33" t="n">
        <x:v>269</x:v>
      </x:c>
      <x:c r="H690" s="26" t="n">
        <x:v>0.3630229419703104</x:v>
      </x:c>
      <x:c r="I690" s="12" t="n">
        <x:v>4</x:v>
      </x:c>
      <x:c r="J690" s="12" t="n">
        <x:v>69</x:v>
      </x:c>
      <x:c r="K690" s="12"/>
      <x:c r="L690" s="12"/>
      <x:c r="M690" s="12" t="str">
        <x:f>IF(K690="", "", MAX(0,IF(K690&lt;=20,100,IF(K690&lt;=30,85,IF(K690&lt;=40,70,IF(K690&lt;=50,55,IF(K690&lt;=60,40,20)))))-MIN(L690*5,20)))</x:f>
      </x:c>
      <x:c r="N690" s="12"/>
      <x:c r="O690" s="12"/>
      <x:c r="P690" s="12" t="str">
        <x:f>IF(OR(H690="",J690="",M690=""),"",ROUND(PERCENTRANK.INC($H$2:$H$941,H690)*35+J690*0.35+M690*0.30,0))</x:f>
      </x:c>
      <x:c r="Q690" s="12" t="str">
        <x:f>IF(P690="","",IF(P690&gt;=80,"ATTACK",IF(P690&gt;=65,"GROW",IF(P690&gt;=50,"PARTNER","WATCH"))))</x:f>
      </x:c>
      <x:c r="R690" s="12" t="str">
        <x:f>IF(Q690="","",IF(Q690="ATTACK","Grassroots + family acquisition",IF(Q690="GROW","Test local campaign",IF(Q690="PARTNER","Organisation-first partnership","Low priority / validate"))))</x:f>
      </x:c>
      <x:c r="S690" s="45" t="n">
        <x:v>4.860751291827224</x:v>
      </x:c>
      <x:c r="T690" t="str">
        <x:v>CORE</x:v>
      </x:c>
      <x:c r="U690" s="32" t="n">
        <x:f>PERCENTRANK.INC($G$2:$G$941,G690)</x:f>
        <x:v>0.866</x:v>
      </x:c>
      <x:c r="V690" s="32" t="n">
        <x:f>PERCENTRANK.INC($H$2:$H$941,H690)</x:f>
        <x:v>0.76</x:v>
      </x:c>
      <x:c r="W690" t="n">
        <x:f>ROUND((U690*55+V690*45)*IF(S690&lt;=5,1,IF(S690&lt;=10,0.95,IF(S690&lt;=20,0.85,0.70))),0)</x:f>
        <x:v>82</x:v>
      </x:c>
      <x:c r="X690" t="n">
        <x:v>76</x:v>
      </x:c>
      <x:c r="Y690" t="str">
        <x:v>GROW</x:v>
      </x:c>
      <x:c r="Z690" s="12" t="str">
        <x:v>Family + verified grassroots + straight-line geo only; transport not yet routed</x:v>
      </x:c>
      <x:c r="AA690" s="12"/>
      <x:c r="AB690" s="12"/>
      <x:c r="AC690" s="12"/>
      <x:c r="AD690" s="12"/>
      <x:c r="AE690" t="str">
        <x:v>Charlton Athletic Women</x:v>
      </x:c>
      <x:c r="AF690" s="45" t="n">
        <x:v>5.844773903954362</x:v>
      </x:c>
      <x:c r="AG690" t="str">
        <x:v>Dulwich Hamlet Women</x:v>
      </x:c>
      <x:c r="AH690" s="45" t="n">
        <x:v>7.890430682656201</x:v>
      </x:c>
      <x:c r="AI690" t="n">
        <x:v>81</x:v>
      </x:c>
      <x:c r="AJ690" t="str">
        <x:v>HIGH</x:v>
      </x:c>
    </x:row>
    <x:row r="691">
      <x:c r="A691" s="12" t="str">
        <x:v>E01003268</x:v>
      </x:c>
      <x:c r="B691" s="12" t="str">
        <x:v>Lewisham 023B</x:v>
      </x:c>
      <x:c r="C691" s="12" t="str">
        <x:v>Lewisham</x:v>
      </x:c>
      <x:c r="D691" s="44" t="n">
        <x:v>51.44432226452802</x:v>
      </x:c>
      <x:c r="E691" s="44" t="n">
        <x:v>0.013226689147360242</x:v>
      </x:c>
      <x:c r="F691" s="33" t="n">
        <x:v>766</x:v>
      </x:c>
      <x:c r="G691" s="33" t="n">
        <x:v>241</x:v>
      </x:c>
      <x:c r="H691" s="26" t="n">
        <x:v>0.31462140992167104</x:v>
      </x:c>
      <x:c r="I691" s="12" t="n">
        <x:v>3</x:v>
      </x:c>
      <x:c r="J691" s="12" t="n">
        <x:v>69</x:v>
      </x:c>
      <x:c r="K691" s="12"/>
      <x:c r="L691" s="12"/>
      <x:c r="M691" s="12" t="str">
        <x:f>IF(K691="", "", MAX(0,IF(K691&lt;=20,100,IF(K691&lt;=30,85,IF(K691&lt;=40,70,IF(K691&lt;=50,55,IF(K691&lt;=60,40,20)))))-MIN(L691*5,20)))</x:f>
      </x:c>
      <x:c r="N691" s="12"/>
      <x:c r="O691" s="12"/>
      <x:c r="P691" s="12" t="str">
        <x:f>IF(OR(H691="",J691="",M691=""),"",ROUND(PERCENTRANK.INC($H$2:$H$941,H691)*35+J691*0.35+M691*0.30,0))</x:f>
      </x:c>
      <x:c r="Q691" s="12" t="str">
        <x:f>IF(P691="","",IF(P691&gt;=80,"ATTACK",IF(P691&gt;=65,"GROW",IF(P691&gt;=50,"PARTNER","WATCH"))))</x:f>
      </x:c>
      <x:c r="R691" s="12" t="str">
        <x:f>IF(Q691="","",IF(Q691="ATTACK","Grassroots + family acquisition",IF(Q691="GROW","Test local campaign",IF(Q691="PARTNER","Organisation-first partnership","Low priority / validate"))))</x:f>
      </x:c>
      <x:c r="S691" s="45" t="n">
        <x:v>5.939095565745057</x:v>
      </x:c>
      <x:c r="T691" t="str">
        <x:v>NEAR</x:v>
      </x:c>
      <x:c r="U691" s="32" t="n">
        <x:f>PERCENTRANK.INC($G$2:$G$941,G691)</x:f>
        <x:v>0.714</x:v>
      </x:c>
      <x:c r="V691" s="32" t="n">
        <x:f>PERCENTRANK.INC($H$2:$H$941,H691)</x:f>
        <x:v>0.481</x:v>
      </x:c>
      <x:c r="W691" t="n">
        <x:f>ROUND((U691*55+V691*45)*IF(S691&lt;=5,1,IF(S691&lt;=10,0.95,IF(S691&lt;=20,0.85,0.70))),0)</x:f>
        <x:v>58</x:v>
      </x:c>
      <x:c r="X691" t="n">
        <x:v>63</x:v>
      </x:c>
      <x:c r="Y691" t="str">
        <x:v>PARTNER</x:v>
      </x:c>
      <x:c r="Z691" s="12" t="str">
        <x:v>Family + verified grassroots + straight-line geo only; transport not yet routed</x:v>
      </x:c>
      <x:c r="AA691" s="12"/>
      <x:c r="AB691" s="12"/>
      <x:c r="AC691" s="12"/>
      <x:c r="AD691" s="12"/>
      <x:c r="AE691" t="str">
        <x:v>Charlton Athletic Women</x:v>
      </x:c>
      <x:c r="AF691" s="45" t="n">
        <x:v>4.940968133568766</x:v>
      </x:c>
      <x:c r="AG691" t="str">
        <x:v>Dulwich Hamlet Women</x:v>
      </x:c>
      <x:c r="AH691" s="45" t="n">
        <x:v>6.995821633869833</x:v>
      </x:c>
      <x:c r="AI691" t="n">
        <x:v>81</x:v>
      </x:c>
      <x:c r="AJ691" t="str">
        <x:v>HIGH</x:v>
      </x:c>
    </x:row>
    <x:row r="692">
      <x:c r="A692" s="12" t="str">
        <x:v>E01003269</x:v>
      </x:c>
      <x:c r="B692" s="12" t="str">
        <x:v>Lewisham 023C</x:v>
      </x:c>
      <x:c r="C692" s="12" t="str">
        <x:v>Lewisham</x:v>
      </x:c>
      <x:c r="D692" s="44" t="n">
        <x:v>51.44412819276418</x:v>
      </x:c>
      <x:c r="E692" s="44" t="n">
        <x:v>0.019030885591992043</x:v>
      </x:c>
      <x:c r="F692" s="33" t="n">
        <x:v>639</x:v>
      </x:c>
      <x:c r="G692" s="33" t="n">
        <x:v>200</x:v>
      </x:c>
      <x:c r="H692" s="26" t="n">
        <x:v>0.3129890453834116</x:v>
      </x:c>
      <x:c r="I692" s="12" t="n">
        <x:v>3</x:v>
      </x:c>
      <x:c r="J692" s="12" t="n">
        <x:v>62</x:v>
      </x:c>
      <x:c r="K692" s="12"/>
      <x:c r="L692" s="12"/>
      <x:c r="M692" s="12" t="str">
        <x:f>IF(K692="", "", MAX(0,IF(K692&lt;=20,100,IF(K692&lt;=30,85,IF(K692&lt;=40,70,IF(K692&lt;=50,55,IF(K692&lt;=60,40,20)))))-MIN(L692*5,20)))</x:f>
      </x:c>
      <x:c r="N692" s="12"/>
      <x:c r="O692" s="12"/>
      <x:c r="P692" s="12" t="str">
        <x:f>IF(OR(H692="",J692="",M692=""),"",ROUND(PERCENTRANK.INC($H$2:$H$941,H692)*35+J692*0.35+M692*0.30,0))</x:f>
      </x:c>
      <x:c r="Q692" s="12" t="str">
        <x:f>IF(P692="","",IF(P692&gt;=80,"ATTACK",IF(P692&gt;=65,"GROW",IF(P692&gt;=50,"PARTNER","WATCH"))))</x:f>
      </x:c>
      <x:c r="R692" s="12" t="str">
        <x:f>IF(Q692="","",IF(Q692="ATTACK","Grassroots + family acquisition",IF(Q692="GROW","Test local campaign",IF(Q692="PARTNER","Organisation-first partnership","Low priority / validate"))))</x:f>
      </x:c>
      <x:c r="S692" s="45" t="n">
        <x:v>5.91008263716157</x:v>
      </x:c>
      <x:c r="T692" t="str">
        <x:v>NEAR</x:v>
      </x:c>
      <x:c r="U692" s="32" t="n">
        <x:f>PERCENTRANK.INC($G$2:$G$941,G692)</x:f>
        <x:v>0.388</x:v>
      </x:c>
      <x:c r="V692" s="32" t="n">
        <x:f>PERCENTRANK.INC($H$2:$H$941,H692)</x:f>
        <x:v>0.466</x:v>
      </x:c>
      <x:c r="W692" t="n">
        <x:f>ROUND((U692*55+V692*45)*IF(S692&lt;=5,1,IF(S692&lt;=10,0.95,IF(S692&lt;=20,0.85,0.70))),0)</x:f>
        <x:v>40</x:v>
      </x:c>
      <x:c r="X692" t="n">
        <x:v>50</x:v>
      </x:c>
      <x:c r="Y692" t="str">
        <x:v>PARTNER</x:v>
      </x:c>
      <x:c r="Z692" s="12" t="str">
        <x:v>Family + verified grassroots + straight-line geo only; transport not yet routed</x:v>
      </x:c>
      <x:c r="AA692" s="12"/>
      <x:c r="AB692" s="12"/>
      <x:c r="AC692" s="12"/>
      <x:c r="AD692" s="12"/>
      <x:c r="AE692" t="str">
        <x:v>Charlton Athletic Women</x:v>
      </x:c>
      <x:c r="AF692" s="45" t="n">
        <x:v>4.847708012487911</x:v>
      </x:c>
      <x:c r="AG692" t="str">
        <x:v>Dulwich Hamlet Women</x:v>
      </x:c>
      <x:c r="AH692" s="45" t="n">
        <x:v>7.3894182721876325</x:v>
      </x:c>
      <x:c r="AI692" t="n">
        <x:v>81</x:v>
      </x:c>
      <x:c r="AJ692" t="str">
        <x:v>HIGH</x:v>
      </x:c>
    </x:row>
    <x:row r="693">
      <x:c r="A693" s="12" t="str">
        <x:v>E01003270</x:v>
      </x:c>
      <x:c r="B693" s="12" t="str">
        <x:v>Lewisham 023D</x:v>
      </x:c>
      <x:c r="C693" s="12" t="str">
        <x:v>Lewisham</x:v>
      </x:c>
      <x:c r="D693" s="44" t="n">
        <x:v>51.44054536141089</x:v>
      </x:c>
      <x:c r="E693" s="44" t="n">
        <x:v>0.016590937610368565</x:v>
      </x:c>
      <x:c r="F693" s="33" t="n">
        <x:v>655</x:v>
      </x:c>
      <x:c r="G693" s="33" t="n">
        <x:v>183</x:v>
      </x:c>
      <x:c r="H693" s="26" t="n">
        <x:v>0.27938931297709924</x:v>
      </x:c>
      <x:c r="I693" s="12" t="n">
        <x:v>4</x:v>
      </x:c>
      <x:c r="J693" s="12" t="n">
        <x:v>69</x:v>
      </x:c>
      <x:c r="K693" s="12"/>
      <x:c r="L693" s="12"/>
      <x:c r="M693" s="12" t="str">
        <x:f>IF(K693="", "", MAX(0,IF(K693&lt;=20,100,IF(K693&lt;=30,85,IF(K693&lt;=40,70,IF(K693&lt;=50,55,IF(K693&lt;=60,40,20)))))-MIN(L693*5,20)))</x:f>
      </x:c>
      <x:c r="N693" s="12"/>
      <x:c r="O693" s="12"/>
      <x:c r="P693" s="12" t="str">
        <x:f>IF(OR(H693="",J693="",M693=""),"",ROUND(PERCENTRANK.INC($H$2:$H$941,H693)*35+J693*0.35+M693*0.30,0))</x:f>
      </x:c>
      <x:c r="Q693" s="12" t="str">
        <x:f>IF(P693="","",IF(P693&gt;=80,"ATTACK",IF(P693&gt;=65,"GROW",IF(P693&gt;=50,"PARTNER","WATCH"))))</x:f>
      </x:c>
      <x:c r="R693" s="12" t="str">
        <x:f>IF(Q693="","",IF(Q693="ATTACK","Grassroots + family acquisition",IF(Q693="GROW","Test local campaign",IF(Q693="PARTNER","Organisation-first partnership","Low priority / validate"))))</x:f>
      </x:c>
      <x:c r="S693" s="45" t="n">
        <x:v>5.511525946841585</x:v>
      </x:c>
      <x:c r="T693" t="str">
        <x:v>NEAR</x:v>
      </x:c>
      <x:c r="U693" s="32" t="n">
        <x:f>PERCENTRANK.INC($G$2:$G$941,G693)</x:f>
        <x:v>0.248</x:v>
      </x:c>
      <x:c r="V693" s="32" t="n">
        <x:f>PERCENTRANK.INC($H$2:$H$941,H693)</x:f>
        <x:v>0.29</x:v>
      </x:c>
      <x:c r="W693" t="n">
        <x:f>ROUND((U693*55+V693*45)*IF(S693&lt;=5,1,IF(S693&lt;=10,0.95,IF(S693&lt;=20,0.85,0.70))),0)</x:f>
        <x:v>25</x:v>
      </x:c>
      <x:c r="X693" t="n">
        <x:v>45</x:v>
      </x:c>
      <x:c r="Y693" t="str">
        <x:v>WATCH</x:v>
      </x:c>
      <x:c r="Z693" s="12" t="str">
        <x:v>Family + verified grassroots + straight-line geo only; transport not yet routed</x:v>
      </x:c>
      <x:c r="AA693" s="12"/>
      <x:c r="AB693" s="12"/>
      <x:c r="AC693" s="12"/>
      <x:c r="AD693" s="12"/>
      <x:c r="AE693" t="str">
        <x:v>Charlton Athletic Women</x:v>
      </x:c>
      <x:c r="AF693" s="45" t="n">
        <x:v>5.275776728665186</x:v>
      </x:c>
      <x:c r="AG693" t="str">
        <x:v>Dulwich Hamlet Women</x:v>
      </x:c>
      <x:c r="AH693" s="45" t="n">
        <x:v>7.341947549019956</x:v>
      </x:c>
      <x:c r="AI693" t="n">
        <x:v>81</x:v>
      </x:c>
      <x:c r="AJ693" t="str">
        <x:v>HIGH</x:v>
      </x:c>
    </x:row>
    <x:row r="694">
      <x:c r="A694" s="12" t="str">
        <x:v>E01003271</x:v>
      </x:c>
      <x:c r="B694" s="12" t="str">
        <x:v>Lewisham 023E</x:v>
      </x:c>
      <x:c r="C694" s="12" t="str">
        <x:v>Lewisham</x:v>
      </x:c>
      <x:c r="D694" s="44" t="n">
        <x:v>51.43953607380195</x:v>
      </x:c>
      <x:c r="E694" s="44" t="n">
        <x:v>0.023858848824440025</x:v>
      </x:c>
      <x:c r="F694" s="33" t="n">
        <x:v>621</x:v>
      </x:c>
      <x:c r="G694" s="33" t="n">
        <x:v>197</x:v>
      </x:c>
      <x:c r="H694" s="26" t="n">
        <x:v>0.3172302737520129</x:v>
      </x:c>
      <x:c r="I694" s="12" t="n">
        <x:v>4</x:v>
      </x:c>
      <x:c r="J694" s="12" t="n">
        <x:v>69</x:v>
      </x:c>
      <x:c r="K694" s="12"/>
      <x:c r="L694" s="12"/>
      <x:c r="M694" s="12" t="str">
        <x:f>IF(K694="", "", MAX(0,IF(K694&lt;=20,100,IF(K694&lt;=30,85,IF(K694&lt;=40,70,IF(K694&lt;=50,55,IF(K694&lt;=60,40,20)))))-MIN(L694*5,20)))</x:f>
      </x:c>
      <x:c r="N694" s="12"/>
      <x:c r="O694" s="12"/>
      <x:c r="P694" s="12" t="str">
        <x:f>IF(OR(H694="",J694="",M694=""),"",ROUND(PERCENTRANK.INC($H$2:$H$941,H694)*35+J694*0.35+M694*0.30,0))</x:f>
      </x:c>
      <x:c r="Q694" s="12" t="str">
        <x:f>IF(P694="","",IF(P694&gt;=80,"ATTACK",IF(P694&gt;=65,"GROW",IF(P694&gt;=50,"PARTNER","WATCH"))))</x:f>
      </x:c>
      <x:c r="R694" s="12" t="str">
        <x:f>IF(Q694="","",IF(Q694="ATTACK","Grassroots + family acquisition",IF(Q694="GROW","Test local campaign",IF(Q694="PARTNER","Organisation-first partnership","Low priority / validate"))))</x:f>
      </x:c>
      <x:c r="S694" s="45" t="n">
        <x:v>5.415565748221511</x:v>
      </x:c>
      <x:c r="T694" t="str">
        <x:v>NEAR</x:v>
      </x:c>
      <x:c r="U694" s="32" t="n">
        <x:f>PERCENTRANK.INC($G$2:$G$941,G694)</x:f>
        <x:v>0.356</x:v>
      </x:c>
      <x:c r="V694" s="32" t="n">
        <x:f>PERCENTRANK.INC($H$2:$H$941,H694)</x:f>
        <x:v>0.498</x:v>
      </x:c>
      <x:c r="W694" t="n">
        <x:f>ROUND((U694*55+V694*45)*IF(S694&lt;=5,1,IF(S694&lt;=10,0.95,IF(S694&lt;=20,0.85,0.70))),0)</x:f>
        <x:v>40</x:v>
      </x:c>
      <x:c r="X694" t="n">
        <x:v>53</x:v>
      </x:c>
      <x:c r="Y694" t="str">
        <x:v>PARTNER</x:v>
      </x:c>
      <x:c r="Z694" s="12" t="str">
        <x:v>Family + verified grassroots + straight-line geo only; transport not yet routed</x:v>
      </x:c>
      <x:c r="AA694" s="12"/>
      <x:c r="AB694" s="12"/>
      <x:c r="AC694" s="12"/>
      <x:c r="AD694" s="12"/>
      <x:c r="AE694" t="str">
        <x:v>Charlton Athletic Women</x:v>
      </x:c>
      <x:c r="AF694" s="45" t="n">
        <x:v>5.280147255812487</x:v>
      </x:c>
      <x:c r="AG694" t="str">
        <x:v>Dulwich Hamlet Women</x:v>
      </x:c>
      <x:c r="AH694" s="45" t="n">
        <x:v>7.85556075933652</x:v>
      </x:c>
      <x:c r="AI694" t="n">
        <x:v>81</x:v>
      </x:c>
      <x:c r="AJ694" t="str">
        <x:v>HIGH</x:v>
      </x:c>
    </x:row>
    <x:row r="695">
      <x:c r="A695" s="12" t="str">
        <x:v>E01003307</x:v>
      </x:c>
      <x:c r="B695" s="12" t="str">
        <x:v>Lewisham 024A</x:v>
      </x:c>
      <x:c r="C695" s="12" t="str">
        <x:v>Lewisham</x:v>
      </x:c>
      <x:c r="D695" s="44" t="n">
        <x:v>51.437304929919165</x:v>
      </x:c>
      <x:c r="E695" s="44" t="n">
        <x:v>-0.04407452243373849</x:v>
      </x:c>
      <x:c r="F695" s="33" t="n">
        <x:v>650</x:v>
      </x:c>
      <x:c r="G695" s="33" t="n">
        <x:v>208</x:v>
      </x:c>
      <x:c r="H695" s="26" t="n">
        <x:v>0.32</x:v>
      </x:c>
      <x:c r="I695" s="12" t="n">
        <x:v>3</x:v>
      </x:c>
      <x:c r="J695" s="12" t="n">
        <x:v>75</x:v>
      </x:c>
      <x:c r="K695" s="12"/>
      <x:c r="L695" s="12"/>
      <x:c r="M695" s="12" t="str">
        <x:f>IF(K695="", "", MAX(0,IF(K695&lt;=20,100,IF(K695&lt;=30,85,IF(K695&lt;=40,70,IF(K695&lt;=50,55,IF(K695&lt;=60,40,20)))))-MIN(L695*5,20)))</x:f>
      </x:c>
      <x:c r="N695" s="12"/>
      <x:c r="O695" s="12"/>
      <x:c r="P695" s="12" t="str">
        <x:f>IF(OR(H695="",J695="",M695=""),"",ROUND(PERCENTRANK.INC($H$2:$H$941,H695)*35+J695*0.35+M695*0.30,0))</x:f>
      </x:c>
      <x:c r="Q695" s="12" t="str">
        <x:f>IF(P695="","",IF(P695&gt;=80,"ATTACK",IF(P695&gt;=65,"GROW",IF(P695&gt;=50,"PARTNER","WATCH"))))</x:f>
      </x:c>
      <x:c r="R695" s="12" t="str">
        <x:f>IF(Q695="","",IF(Q695="ATTACK","Grassroots + family acquisition",IF(Q695="GROW","Test local campaign",IF(Q695="PARTNER","Organisation-first partnership","Low priority / validate"))))</x:f>
      </x:c>
      <x:c r="S695" s="45" t="n">
        <x:v>6.699917573769817</x:v>
      </x:c>
      <x:c r="T695" t="str">
        <x:v>NEAR</x:v>
      </x:c>
      <x:c r="U695" s="32" t="n">
        <x:f>PERCENTRANK.INC($G$2:$G$941,G695)</x:f>
        <x:v>0.448</x:v>
      </x:c>
      <x:c r="V695" s="32" t="n">
        <x:f>PERCENTRANK.INC($H$2:$H$941,H695)</x:f>
        <x:v>0.51</x:v>
      </x:c>
      <x:c r="W695" t="n">
        <x:f>ROUND((U695*55+V695*45)*IF(S695&lt;=5,1,IF(S695&lt;=10,0.95,IF(S695&lt;=20,0.85,0.70))),0)</x:f>
        <x:v>45</x:v>
      </x:c>
      <x:c r="X695" t="n">
        <x:v>59</x:v>
      </x:c>
      <x:c r="Y695" t="str">
        <x:v>PARTNER</x:v>
      </x:c>
      <x:c r="Z695" s="12" t="str">
        <x:v>Family + verified grassroots + straight-line geo only; transport not yet routed</x:v>
      </x:c>
      <x:c r="AA695" s="12"/>
      <x:c r="AB695" s="12"/>
      <x:c r="AC695" s="12"/>
      <x:c r="AD695" s="12"/>
      <x:c r="AE695" t="str">
        <x:v>Crystal Palace Women</x:v>
      </x:c>
      <x:c r="AF695" s="45" t="n">
        <x:v>5.190719023140044</x:v>
      </x:c>
      <x:c r="AG695" t="str">
        <x:v>Dulwich Hamlet Women</x:v>
      </x:c>
      <x:c r="AH695" s="45" t="n">
        <x:v>3.844213047036124</x:v>
      </x:c>
      <x:c r="AI695" t="n">
        <x:v>85</x:v>
      </x:c>
      <x:c r="AJ695" t="str">
        <x:v>HIGH</x:v>
      </x:c>
    </x:row>
    <x:row r="696">
      <x:c r="A696" s="12" t="str">
        <x:v>E01003308</x:v>
      </x:c>
      <x:c r="B696" s="12" t="str">
        <x:v>Lewisham 024B</x:v>
      </x:c>
      <x:c r="C696" s="12" t="str">
        <x:v>Lewisham</x:v>
      </x:c>
      <x:c r="D696" s="44" t="n">
        <x:v>51.44030715404964</x:v>
      </x:c>
      <x:c r="E696" s="44" t="n">
        <x:v>-0.03600726709035059</x:v>
      </x:c>
      <x:c r="F696" s="33" t="n">
        <x:v>708</x:v>
      </x:c>
      <x:c r="G696" s="33" t="n">
        <x:v>241</x:v>
      </x:c>
      <x:c r="H696" s="26" t="n">
        <x:v>0.3403954802259887</x:v>
      </x:c>
      <x:c r="I696" s="12" t="n">
        <x:v>3</x:v>
      </x:c>
      <x:c r="J696" s="12" t="n">
        <x:v>67</x:v>
      </x:c>
      <x:c r="K696" s="12"/>
      <x:c r="L696" s="12"/>
      <x:c r="M696" s="12" t="str">
        <x:f>IF(K696="", "", MAX(0,IF(K696&lt;=20,100,IF(K696&lt;=30,85,IF(K696&lt;=40,70,IF(K696&lt;=50,55,IF(K696&lt;=60,40,20)))))-MIN(L696*5,20)))</x:f>
      </x:c>
      <x:c r="N696" s="12"/>
      <x:c r="O696" s="12"/>
      <x:c r="P696" s="12" t="str">
        <x:f>IF(OR(H696="",J696="",M696=""),"",ROUND(PERCENTRANK.INC($H$2:$H$941,H696)*35+J696*0.35+M696*0.30,0))</x:f>
      </x:c>
      <x:c r="Q696" s="12" t="str">
        <x:f>IF(P696="","",IF(P696&gt;=80,"ATTACK",IF(P696&gt;=65,"GROW",IF(P696&gt;=50,"PARTNER","WATCH"))))</x:f>
      </x:c>
      <x:c r="R696" s="12" t="str">
        <x:f>IF(Q696="","",IF(Q696="ATTACK","Grassroots + family acquisition",IF(Q696="GROW","Test local campaign",IF(Q696="PARTNER","Organisation-first partnership","Low priority / validate"))))</x:f>
      </x:c>
      <x:c r="S696" s="45" t="n">
        <x:v>6.6299996397137395</x:v>
      </x:c>
      <x:c r="T696" t="str">
        <x:v>NEAR</x:v>
      </x:c>
      <x:c r="U696" s="32" t="n">
        <x:f>PERCENTRANK.INC($G$2:$G$941,G696)</x:f>
        <x:v>0.714</x:v>
      </x:c>
      <x:c r="V696" s="32" t="n">
        <x:f>PERCENTRANK.INC($H$2:$H$941,H696)</x:f>
        <x:v>0.618</x:v>
      </x:c>
      <x:c r="W696" t="n">
        <x:f>ROUND((U696*55+V696*45)*IF(S696&lt;=5,1,IF(S696&lt;=10,0.95,IF(S696&lt;=20,0.85,0.70))),0)</x:f>
        <x:v>64</x:v>
      </x:c>
      <x:c r="X696" t="n">
        <x:v>66</x:v>
      </x:c>
      <x:c r="Y696" t="str">
        <x:v>GROW</x:v>
      </x:c>
      <x:c r="Z696" s="12" t="str">
        <x:v>Family + verified grassroots + straight-line geo only; transport not yet routed</x:v>
      </x:c>
      <x:c r="AA696" s="12"/>
      <x:c r="AB696" s="12"/>
      <x:c r="AC696" s="12"/>
      <x:c r="AD696" s="12"/>
      <x:c r="AE696" t="str">
        <x:v>Crystal Palace Women</x:v>
      </x:c>
      <x:c r="AF696" s="45" t="n">
        <x:v>5.783717614535762</x:v>
      </x:c>
      <x:c r="AG696" t="str">
        <x:v>Dulwich Hamlet Women</x:v>
      </x:c>
      <x:c r="AH696" s="45" t="n">
        <x:v>4.063274672106116</x:v>
      </x:c>
      <x:c r="AI696" t="n">
        <x:v>85</x:v>
      </x:c>
      <x:c r="AJ696" t="str">
        <x:v>HIGH</x:v>
      </x:c>
    </x:row>
    <x:row r="697">
      <x:c r="A697" s="12" t="str">
        <x:v>E01003314</x:v>
      </x:c>
      <x:c r="B697" s="12" t="str">
        <x:v>Lewisham 024C</x:v>
      </x:c>
      <x:c r="C697" s="12" t="str">
        <x:v>Lewisham</x:v>
      </x:c>
      <x:c r="D697" s="44" t="n">
        <x:v>51.439014375712674</x:v>
      </x:c>
      <x:c r="E697" s="44" t="n">
        <x:v>-0.03895458742037185</x:v>
      </x:c>
      <x:c r="F697" s="33" t="n">
        <x:v>660</x:v>
      </x:c>
      <x:c r="G697" s="33" t="n">
        <x:v>268</x:v>
      </x:c>
      <x:c r="H697" s="26" t="n">
        <x:v>0.40606060606060607</x:v>
      </x:c>
      <x:c r="I697" s="12" t="n">
        <x:v>3</x:v>
      </x:c>
      <x:c r="J697" s="12" t="n">
        <x:v>75</x:v>
      </x:c>
      <x:c r="K697" s="12"/>
      <x:c r="L697" s="12"/>
      <x:c r="M697" s="12" t="str">
        <x:f>IF(K697="", "", MAX(0,IF(K697&lt;=20,100,IF(K697&lt;=30,85,IF(K697&lt;=40,70,IF(K697&lt;=50,55,IF(K697&lt;=60,40,20)))))-MIN(L697*5,20)))</x:f>
      </x:c>
      <x:c r="N697" s="12"/>
      <x:c r="O697" s="12"/>
      <x:c r="P697" s="12" t="str">
        <x:f>IF(OR(H697="",J697="",M697=""),"",ROUND(PERCENTRANK.INC($H$2:$H$941,H697)*35+J697*0.35+M697*0.30,0))</x:f>
      </x:c>
      <x:c r="Q697" s="12" t="str">
        <x:f>IF(P697="","",IF(P697&gt;=80,"ATTACK",IF(P697&gt;=65,"GROW",IF(P697&gt;=50,"PARTNER","WATCH"))))</x:f>
      </x:c>
      <x:c r="R697" s="12" t="str">
        <x:f>IF(Q697="","",IF(Q697="ATTACK","Grassroots + family acquisition",IF(Q697="GROW","Test local campaign",IF(Q697="PARTNER","Organisation-first partnership","Low priority / validate"))))</x:f>
      </x:c>
      <x:c r="S697" s="45" t="n">
        <x:v>6.630670233693519</x:v>
      </x:c>
      <x:c r="T697" t="str">
        <x:v>NEAR</x:v>
      </x:c>
      <x:c r="U697" s="32" t="n">
        <x:f>PERCENTRANK.INC($G$2:$G$941,G697)</x:f>
        <x:v>0.861</x:v>
      </x:c>
      <x:c r="V697" s="32" t="n">
        <x:f>PERCENTRANK.INC($H$2:$H$941,H697)</x:f>
        <x:v>0.925</x:v>
      </x:c>
      <x:c r="W697" t="n">
        <x:f>ROUND((U697*55+V697*45)*IF(S697&lt;=5,1,IF(S697&lt;=10,0.95,IF(S697&lt;=20,0.85,0.70))),0)</x:f>
        <x:v>85</x:v>
      </x:c>
      <x:c r="X697" t="n">
        <x:v>80</x:v>
      </x:c>
      <x:c r="Y697" t="str">
        <x:v>ATTACK</x:v>
      </x:c>
      <x:c r="Z697" s="12" t="str">
        <x:v>Family + verified grassroots + straight-line geo only; transport not yet routed</x:v>
      </x:c>
      <x:c r="AA697" s="12"/>
      <x:c r="AB697" s="12"/>
      <x:c r="AC697" s="12"/>
      <x:c r="AD697" s="12"/>
      <x:c r="AE697" t="str">
        <x:v>Crystal Palace Women</x:v>
      </x:c>
      <x:c r="AF697" s="45" t="n">
        <x:v>5.5477608712224376</x:v>
      </x:c>
      <x:c r="AG697" t="str">
        <x:v>Dulwich Hamlet Women</x:v>
      </x:c>
      <x:c r="AH697" s="45" t="n">
        <x:v>3.985816771966023</x:v>
      </x:c>
      <x:c r="AI697" t="n">
        <x:v>85</x:v>
      </x:c>
      <x:c r="AJ697" t="str">
        <x:v>HIGH</x:v>
      </x:c>
    </x:row>
    <x:row r="698">
      <x:c r="A698" s="12" t="str">
        <x:v>E01003315</x:v>
      </x:c>
      <x:c r="B698" s="12" t="str">
        <x:v>Lewisham 024D</x:v>
      </x:c>
      <x:c r="C698" s="12" t="str">
        <x:v>Lewisham</x:v>
      </x:c>
      <x:c r="D698" s="44" t="n">
        <x:v>51.44077048306263</x:v>
      </x:c>
      <x:c r="E698" s="44" t="n">
        <x:v>-0.04893770213751804</x:v>
      </x:c>
      <x:c r="F698" s="33" t="n">
        <x:v>592</x:v>
      </x:c>
      <x:c r="G698" s="33" t="n">
        <x:v>152</x:v>
      </x:c>
      <x:c r="H698" s="26" t="n">
        <x:v>0.25675675675675674</x:v>
      </x:c>
      <x:c r="I698" s="12" t="n">
        <x:v>3</x:v>
      </x:c>
      <x:c r="J698" s="12" t="n">
        <x:v>75</x:v>
      </x:c>
      <x:c r="K698" s="12"/>
      <x:c r="L698" s="12"/>
      <x:c r="M698" s="12" t="str">
        <x:f>IF(K698="", "", MAX(0,IF(K698&lt;=20,100,IF(K698&lt;=30,85,IF(K698&lt;=40,70,IF(K698&lt;=50,55,IF(K698&lt;=60,40,20)))))-MIN(L698*5,20)))</x:f>
      </x:c>
      <x:c r="N698" s="12"/>
      <x:c r="O698" s="12"/>
      <x:c r="P698" s="12" t="str">
        <x:f>IF(OR(H698="",J698="",M698=""),"",ROUND(PERCENTRANK.INC($H$2:$H$941,H698)*35+J698*0.35+M698*0.30,0))</x:f>
      </x:c>
      <x:c r="Q698" s="12" t="str">
        <x:f>IF(P698="","",IF(P698&gt;=80,"ATTACK",IF(P698&gt;=65,"GROW",IF(P698&gt;=50,"PARTNER","WATCH"))))</x:f>
      </x:c>
      <x:c r="R698" s="12" t="str">
        <x:f>IF(Q698="","",IF(Q698="ATTACK","Grassroots + family acquisition",IF(Q698="GROW","Test local campaign",IF(Q698="PARTNER","Organisation-first partnership","Low priority / validate"))))</x:f>
      </x:c>
      <x:c r="S698" s="45" t="n">
        <x:v>7.211754150887541</x:v>
      </x:c>
      <x:c r="T698" t="str">
        <x:v>NEAR</x:v>
      </x:c>
      <x:c r="U698" s="32" t="n">
        <x:f>PERCENTRANK.INC($G$2:$G$941,G698)</x:f>
        <x:v>0.1</x:v>
      </x:c>
      <x:c r="V698" s="32" t="n">
        <x:f>PERCENTRANK.INC($H$2:$H$941,H698)</x:f>
        <x:v>0.205</x:v>
      </x:c>
      <x:c r="W698" t="n">
        <x:f>ROUND((U698*55+V698*45)*IF(S698&lt;=5,1,IF(S698&lt;=10,0.95,IF(S698&lt;=20,0.85,0.70))),0)</x:f>
        <x:v>14</x:v>
      </x:c>
      <x:c r="X698" t="n">
        <x:v>41</x:v>
      </x:c>
      <x:c r="Y698" t="str">
        <x:v>WATCH</x:v>
      </x:c>
      <x:c r="Z698" s="12" t="str">
        <x:v>Family + verified grassroots + straight-line geo only; transport not yet routed</x:v>
      </x:c>
      <x:c r="AA698" s="12"/>
      <x:c r="AB698" s="12"/>
      <x:c r="AC698" s="12"/>
      <x:c r="AD698" s="12"/>
      <x:c r="AE698" t="str">
        <x:v>Crystal Palace Women</x:v>
      </x:c>
      <x:c r="AF698" s="45" t="n">
        <x:v>5.350562229613179</x:v>
      </x:c>
      <x:c r="AG698" t="str">
        <x:v>Dulwich Hamlet Women</x:v>
      </x:c>
      <x:c r="AH698" s="45" t="n">
        <x:v>3.33431513432697</x:v>
      </x:c>
      <x:c r="AI698" t="n">
        <x:v>85</x:v>
      </x:c>
      <x:c r="AJ698" t="str">
        <x:v>HIGH</x:v>
      </x:c>
    </x:row>
    <x:row r="699">
      <x:c r="A699" s="12" t="str">
        <x:v>E01003316</x:v>
      </x:c>
      <x:c r="B699" s="12" t="str">
        <x:v>Lewisham 024E</x:v>
      </x:c>
      <x:c r="C699" s="12" t="str">
        <x:v>Lewisham</x:v>
      </x:c>
      <x:c r="D699" s="44" t="n">
        <x:v>51.440473769815156</x:v>
      </x:c>
      <x:c r="E699" s="44" t="n">
        <x:v>-0.043794093751702935</x:v>
      </x:c>
      <x:c r="F699" s="33" t="n">
        <x:v>575</x:v>
      </x:c>
      <x:c r="G699" s="33" t="n">
        <x:v>186</x:v>
      </x:c>
      <x:c r="H699" s="26" t="n">
        <x:v>0.3234782608695652</x:v>
      </x:c>
      <x:c r="I699" s="12" t="n">
        <x:v>3</x:v>
      </x:c>
      <x:c r="J699" s="12" t="n">
        <x:v>75</x:v>
      </x:c>
      <x:c r="K699" s="12"/>
      <x:c r="L699" s="12"/>
      <x:c r="M699" s="12" t="str">
        <x:f>IF(K699="", "", MAX(0,IF(K699&lt;=20,100,IF(K699&lt;=30,85,IF(K699&lt;=40,70,IF(K699&lt;=50,55,IF(K699&lt;=60,40,20)))))-MIN(L699*5,20)))</x:f>
      </x:c>
      <x:c r="N699" s="12"/>
      <x:c r="O699" s="12"/>
      <x:c r="P699" s="12" t="str">
        <x:f>IF(OR(H699="",J699="",M699=""),"",ROUND(PERCENTRANK.INC($H$2:$H$941,H699)*35+J699*0.35+M699*0.30,0))</x:f>
      </x:c>
      <x:c r="Q699" s="12" t="str">
        <x:f>IF(P699="","",IF(P699&gt;=80,"ATTACK",IF(P699&gt;=65,"GROW",IF(P699&gt;=50,"PARTNER","WATCH"))))</x:f>
      </x:c>
      <x:c r="R699" s="12" t="str">
        <x:f>IF(Q699="","",IF(Q699="ATTACK","Grassroots + family acquisition",IF(Q699="GROW","Test local campaign",IF(Q699="PARTNER","Organisation-first partnership","Low priority / validate"))))</x:f>
      </x:c>
      <x:c r="S699" s="45" t="n">
        <x:v>6.962418680163991</x:v>
      </x:c>
      <x:c r="T699" t="str">
        <x:v>NEAR</x:v>
      </x:c>
      <x:c r="U699" s="32" t="n">
        <x:f>PERCENTRANK.INC($G$2:$G$941,G699)</x:f>
        <x:v>0.277</x:v>
      </x:c>
      <x:c r="V699" s="32" t="n">
        <x:f>PERCENTRANK.INC($H$2:$H$941,H699)</x:f>
        <x:v>0.532</x:v>
      </x:c>
      <x:c r="W699" t="n">
        <x:f>ROUND((U699*55+V699*45)*IF(S699&lt;=5,1,IF(S699&lt;=10,0.95,IF(S699&lt;=20,0.85,0.70))),0)</x:f>
        <x:v>37</x:v>
      </x:c>
      <x:c r="X699" t="n">
        <x:v>55</x:v>
      </x:c>
      <x:c r="Y699" t="str">
        <x:v>PARTNER</x:v>
      </x:c>
      <x:c r="Z699" s="12" t="str">
        <x:v>Family + verified grassroots + straight-line geo only; transport not yet routed</x:v>
      </x:c>
      <x:c r="AA699" s="12"/>
      <x:c r="AB699" s="12"/>
      <x:c r="AC699" s="12"/>
      <x:c r="AD699" s="12"/>
      <x:c r="AE699" t="str">
        <x:v>Crystal Palace Women</x:v>
      </x:c>
      <x:c r="AF699" s="45" t="n">
        <x:v>5.498759297004703</x:v>
      </x:c>
      <x:c r="AG699" t="str">
        <x:v>Dulwich Hamlet Women</x:v>
      </x:c>
      <x:c r="AH699" s="45" t="n">
        <x:v>3.6232026703681646</x:v>
      </x:c>
      <x:c r="AI699" t="n">
        <x:v>85</x:v>
      </x:c>
      <x:c r="AJ699" t="str">
        <x:v>HIGH</x:v>
      </x:c>
    </x:row>
    <x:row r="700">
      <x:c r="A700" s="12" t="str">
        <x:v>E01003216</x:v>
      </x:c>
      <x:c r="B700" s="12" t="str">
        <x:v>Lewisham 025A</x:v>
      </x:c>
      <x:c r="C700" s="12" t="str">
        <x:v>Lewisham</x:v>
      </x:c>
      <x:c r="D700" s="44" t="n">
        <x:v>51.44089520703729</x:v>
      </x:c>
      <x:c r="E700" s="44" t="n">
        <x:v>-0.013026725486112641</x:v>
      </x:c>
      <x:c r="F700" s="33" t="n">
        <x:v>617</x:v>
      </x:c>
      <x:c r="G700" s="33" t="n">
        <x:v>198</x:v>
      </x:c>
      <x:c r="H700" s="26" t="n">
        <x:v>0.3209076175040519</x:v>
      </x:c>
      <x:c r="I700" s="12" t="n">
        <x:v>2</x:v>
      </x:c>
      <x:c r="J700" s="12" t="n">
        <x:v>76</x:v>
      </x:c>
      <x:c r="K700" s="12"/>
      <x:c r="L700" s="12"/>
      <x:c r="M700" s="12" t="str">
        <x:f>IF(K700="", "", MAX(0,IF(K700&lt;=20,100,IF(K700&lt;=30,85,IF(K700&lt;=40,70,IF(K700&lt;=50,55,IF(K700&lt;=60,40,20)))))-MIN(L700*5,20)))</x:f>
      </x:c>
      <x:c r="N700" s="12"/>
      <x:c r="O700" s="12"/>
      <x:c r="P700" s="12" t="str">
        <x:f>IF(OR(H700="",J700="",M700=""),"",ROUND(PERCENTRANK.INC($H$2:$H$941,H700)*35+J700*0.35+M700*0.30,0))</x:f>
      </x:c>
      <x:c r="Q700" s="12" t="str">
        <x:f>IF(P700="","",IF(P700&gt;=80,"ATTACK",IF(P700&gt;=65,"GROW",IF(P700&gt;=50,"PARTNER","WATCH"))))</x:f>
      </x:c>
      <x:c r="R700" s="12" t="str">
        <x:f>IF(Q700="","",IF(Q700="ATTACK","Grassroots + family acquisition",IF(Q700="GROW","Test local campaign",IF(Q700="PARTNER","Organisation-first partnership","Low priority / validate"))))</x:f>
      </x:c>
      <x:c r="S700" s="45" t="n">
        <x:v>5.9451339067410345</x:v>
      </x:c>
      <x:c r="T700" t="str">
        <x:v>NEAR</x:v>
      </x:c>
      <x:c r="U700" s="32" t="n">
        <x:f>PERCENTRANK.INC($G$2:$G$941,G700)</x:f>
        <x:v>0.365</x:v>
      </x:c>
      <x:c r="V700" s="32" t="n">
        <x:f>PERCENTRANK.INC($H$2:$H$941,H700)</x:f>
        <x:v>0.521</x:v>
      </x:c>
      <x:c r="W700" t="n">
        <x:f>ROUND((U700*55+V700*45)*IF(S700&lt;=5,1,IF(S700&lt;=10,0.95,IF(S700&lt;=20,0.85,0.70))),0)</x:f>
        <x:v>41</x:v>
      </x:c>
      <x:c r="X700" t="n">
        <x:v>57</x:v>
      </x:c>
      <x:c r="Y700" t="str">
        <x:v>PARTNER</x:v>
      </x:c>
      <x:c r="Z700" s="12" t="str">
        <x:v>Family + verified grassroots + straight-line geo only; transport not yet routed</x:v>
      </x:c>
      <x:c r="AA700" s="12"/>
      <x:c r="AB700" s="12"/>
      <x:c r="AC700" s="12"/>
      <x:c r="AD700" s="12"/>
      <x:c r="AE700" t="str">
        <x:v>Charlton Athletic Women</x:v>
      </x:c>
      <x:c r="AF700" s="45" t="n">
        <x:v>6.099889947692288</x:v>
      </x:c>
      <x:c r="AG700" t="str">
        <x:v>Dulwich Hamlet Women</x:v>
      </x:c>
      <x:c r="AH700" s="45" t="n">
        <x:v>5.4158957170461175</x:v>
      </x:c>
      <x:c r="AI700" t="n">
        <x:v>74</x:v>
      </x:c>
      <x:c r="AJ700" t="str">
        <x:v>MEDIUM</x:v>
      </x:c>
    </x:row>
    <x:row r="701">
      <x:c r="A701" s="12" t="str">
        <x:v>E01003219</x:v>
      </x:c>
      <x:c r="B701" s="12" t="str">
        <x:v>Lewisham 025B</x:v>
      </x:c>
      <x:c r="C701" s="12" t="str">
        <x:v>Lewisham</x:v>
      </x:c>
      <x:c r="D701" s="44" t="n">
        <x:v>51.4372554535879</x:v>
      </x:c>
      <x:c r="E701" s="44" t="n">
        <x:v>-0.006635487140397985</x:v>
      </x:c>
      <x:c r="F701" s="33" t="n">
        <x:v>661</x:v>
      </x:c>
      <x:c r="G701" s="33" t="n">
        <x:v>203</x:v>
      </x:c>
      <x:c r="H701" s="26" t="n">
        <x:v>0.3071104387291982</x:v>
      </x:c>
      <x:c r="I701" s="12" t="n">
        <x:v>2</x:v>
      </x:c>
      <x:c r="J701" s="12" t="n">
        <x:v>76</x:v>
      </x:c>
      <x:c r="K701" s="12"/>
      <x:c r="L701" s="12"/>
      <x:c r="M701" s="12" t="str">
        <x:f>IF(K701="", "", MAX(0,IF(K701&lt;=20,100,IF(K701&lt;=30,85,IF(K701&lt;=40,70,IF(K701&lt;=50,55,IF(K701&lt;=60,40,20)))))-MIN(L701*5,20)))</x:f>
      </x:c>
      <x:c r="N701" s="12"/>
      <x:c r="O701" s="12"/>
      <x:c r="P701" s="12" t="str">
        <x:f>IF(OR(H701="",J701="",M701=""),"",ROUND(PERCENTRANK.INC($H$2:$H$941,H701)*35+J701*0.35+M701*0.30,0))</x:f>
      </x:c>
      <x:c r="Q701" s="12" t="str">
        <x:f>IF(P701="","",IF(P701&gt;=80,"ATTACK",IF(P701&gt;=65,"GROW",IF(P701&gt;=50,"PARTNER","WATCH"))))</x:f>
      </x:c>
      <x:c r="R701" s="12" t="str">
        <x:f>IF(Q701="","",IF(Q701="ATTACK","Grassroots + family acquisition",IF(Q701="GROW","Test local campaign",IF(Q701="PARTNER","Organisation-first partnership","Low priority / validate"))))</x:f>
      </x:c>
      <x:c r="S701" s="45" t="n">
        <x:v>5.415097760850968</x:v>
      </x:c>
      <x:c r="T701" t="str">
        <x:v>NEAR</x:v>
      </x:c>
      <x:c r="U701" s="32" t="n">
        <x:f>PERCENTRANK.INC($G$2:$G$941,G701)</x:f>
        <x:v>0.417</x:v>
      </x:c>
      <x:c r="V701" s="32" t="n">
        <x:f>PERCENTRANK.INC($H$2:$H$941,H701)</x:f>
        <x:v>0.43</x:v>
      </x:c>
      <x:c r="W701" t="n">
        <x:f>ROUND((U701*55+V701*45)*IF(S701&lt;=5,1,IF(S701&lt;=10,0.95,IF(S701&lt;=20,0.85,0.70))),0)</x:f>
        <x:v>40</x:v>
      </x:c>
      <x:c r="X701" t="n">
        <x:v>56</x:v>
      </x:c>
      <x:c r="Y701" t="str">
        <x:v>PARTNER</x:v>
      </x:c>
      <x:c r="Z701" s="12" t="str">
        <x:v>Family + verified grassroots + straight-line geo only; transport not yet routed</x:v>
      </x:c>
      <x:c r="AA701" s="12"/>
      <x:c r="AB701" s="12"/>
      <x:c r="AC701" s="12"/>
      <x:c r="AD701" s="12"/>
      <x:c r="AE701" t="str">
        <x:v>Charlton Athletic Women</x:v>
      </x:c>
      <x:c r="AF701" s="45" t="n">
        <x:v>6.2167658719752685</x:v>
      </x:c>
      <x:c r="AG701" t="str">
        <x:v>Dulwich Hamlet Women</x:v>
      </x:c>
      <x:c r="AH701" s="45" t="n">
        <x:v>5.990619674708796</x:v>
      </x:c>
      <x:c r="AI701" t="n">
        <x:v>74</x:v>
      </x:c>
      <x:c r="AJ701" t="str">
        <x:v>MEDIUM</x:v>
      </x:c>
    </x:row>
    <x:row r="702">
      <x:c r="A702" s="12" t="str">
        <x:v>E01003221</x:v>
      </x:c>
      <x:c r="B702" s="12" t="str">
        <x:v>Lewisham 025C</x:v>
      </x:c>
      <x:c r="C702" s="12" t="str">
        <x:v>Lewisham</x:v>
      </x:c>
      <x:c r="D702" s="44" t="n">
        <x:v>51.4389796635484</x:v>
      </x:c>
      <x:c r="E702" s="44" t="n">
        <x:v>-0.018239322740406703</x:v>
      </x:c>
      <x:c r="F702" s="33" t="n">
        <x:v>764</x:v>
      </x:c>
      <x:c r="G702" s="33" t="n">
        <x:v>279</x:v>
      </x:c>
      <x:c r="H702" s="26" t="n">
        <x:v>0.36518324607329844</x:v>
      </x:c>
      <x:c r="I702" s="12" t="n">
        <x:v>2</x:v>
      </x:c>
      <x:c r="J702" s="12" t="n">
        <x:v>76</x:v>
      </x:c>
      <x:c r="K702" s="12"/>
      <x:c r="L702" s="12"/>
      <x:c r="M702" s="12" t="str">
        <x:f>IF(K702="", "", MAX(0,IF(K702&lt;=20,100,IF(K702&lt;=30,85,IF(K702&lt;=40,70,IF(K702&lt;=50,55,IF(K702&lt;=60,40,20)))))-MIN(L702*5,20)))</x:f>
      </x:c>
      <x:c r="N702" s="12"/>
      <x:c r="O702" s="12"/>
      <x:c r="P702" s="12" t="str">
        <x:f>IF(OR(H702="",J702="",M702=""),"",ROUND(PERCENTRANK.INC($H$2:$H$941,H702)*35+J702*0.35+M702*0.30,0))</x:f>
      </x:c>
      <x:c r="Q702" s="12" t="str">
        <x:f>IF(P702="","",IF(P702&gt;=80,"ATTACK",IF(P702&gt;=65,"GROW",IF(P702&gt;=50,"PARTNER","WATCH"))))</x:f>
      </x:c>
      <x:c r="R702" s="12" t="str">
        <x:f>IF(Q702="","",IF(Q702="ATTACK","Grassroots + family acquisition",IF(Q702="GROW","Test local campaign",IF(Q702="PARTNER","Organisation-first partnership","Low priority / validate"))))</x:f>
      </x:c>
      <x:c r="S702" s="45" t="n">
        <x:v>5.890476240192367</x:v>
      </x:c>
      <x:c r="T702" t="str">
        <x:v>NEAR</x:v>
      </x:c>
      <x:c r="U702" s="32" t="n">
        <x:f>PERCENTRANK.INC($G$2:$G$941,G702)</x:f>
        <x:v>0.899</x:v>
      </x:c>
      <x:c r="V702" s="32" t="n">
        <x:f>PERCENTRANK.INC($H$2:$H$941,H702)</x:f>
        <x:v>0.769</x:v>
      </x:c>
      <x:c r="W702" t="n">
        <x:f>ROUND((U702*55+V702*45)*IF(S702&lt;=5,1,IF(S702&lt;=10,0.95,IF(S702&lt;=20,0.85,0.70))),0)</x:f>
        <x:v>80</x:v>
      </x:c>
      <x:c r="X702" t="n">
        <x:v>78</x:v>
      </x:c>
      <x:c r="Y702" t="str">
        <x:v>GROW</x:v>
      </x:c>
      <x:c r="Z702" s="12" t="str">
        <x:v>Family + verified grassroots + straight-line geo only; transport not yet routed</x:v>
      </x:c>
      <x:c r="AA702" s="12"/>
      <x:c r="AB702" s="12"/>
      <x:c r="AC702" s="12"/>
      <x:c r="AD702" s="12"/>
      <x:c r="AE702" t="str">
        <x:v>Charlton Athletic Women</x:v>
      </x:c>
      <x:c r="AF702" s="45" t="n">
        <x:v>6.480812741316699</x:v>
      </x:c>
      <x:c r="AG702" t="str">
        <x:v>Dulwich Hamlet Women</x:v>
      </x:c>
      <x:c r="AH702" s="45" t="n">
        <x:v>5.188859102470785</x:v>
      </x:c>
      <x:c r="AI702" t="n">
        <x:v>74</x:v>
      </x:c>
      <x:c r="AJ702" t="str">
        <x:v>MEDIUM</x:v>
      </x:c>
    </x:row>
    <x:row r="703">
      <x:c r="A703" s="12" t="str">
        <x:v>E01003223</x:v>
      </x:c>
      <x:c r="B703" s="12" t="str">
        <x:v>Lewisham 025D</x:v>
      </x:c>
      <x:c r="C703" s="12" t="str">
        <x:v>Lewisham</x:v>
      </x:c>
      <x:c r="D703" s="44" t="n">
        <x:v>51.43539340338876</x:v>
      </x:c>
      <x:c r="E703" s="44" t="n">
        <x:v>-0.01311738499293646</x:v>
      </x:c>
      <x:c r="F703" s="33" t="n">
        <x:v>596</x:v>
      </x:c>
      <x:c r="G703" s="33" t="n">
        <x:v>157</x:v>
      </x:c>
      <x:c r="H703" s="26" t="n">
        <x:v>0.2634228187919463</x:v>
      </x:c>
      <x:c r="I703" s="12" t="n">
        <x:v>2</x:v>
      </x:c>
      <x:c r="J703" s="12" t="n">
        <x:v>76</x:v>
      </x:c>
      <x:c r="K703" s="12"/>
      <x:c r="L703" s="12"/>
      <x:c r="M703" s="12" t="str">
        <x:f>IF(K703="", "", MAX(0,IF(K703&lt;=20,100,IF(K703&lt;=30,85,IF(K703&lt;=40,70,IF(K703&lt;=50,55,IF(K703&lt;=60,40,20)))))-MIN(L703*5,20)))</x:f>
      </x:c>
      <x:c r="N703" s="12"/>
      <x:c r="O703" s="12"/>
      <x:c r="P703" s="12" t="str">
        <x:f>IF(OR(H703="",J703="",M703=""),"",ROUND(PERCENTRANK.INC($H$2:$H$941,H703)*35+J703*0.35+M703*0.30,0))</x:f>
      </x:c>
      <x:c r="Q703" s="12" t="str">
        <x:f>IF(P703="","",IF(P703&gt;=80,"ATTACK",IF(P703&gt;=65,"GROW",IF(P703&gt;=50,"PARTNER","WATCH"))))</x:f>
      </x:c>
      <x:c r="R703" s="12" t="str">
        <x:f>IF(Q703="","",IF(Q703="ATTACK","Grassroots + family acquisition",IF(Q703="GROW","Test local campaign",IF(Q703="PARTNER","Organisation-first partnership","Low priority / validate"))))</x:f>
      </x:c>
      <x:c r="S703" s="45" t="n">
        <x:v>5.381053457699213</x:v>
      </x:c>
      <x:c r="T703" t="str">
        <x:v>NEAR</x:v>
      </x:c>
      <x:c r="U703" s="32" t="n">
        <x:f>PERCENTRANK.INC($G$2:$G$941,G703)</x:f>
        <x:v>0.115</x:v>
      </x:c>
      <x:c r="V703" s="32" t="n">
        <x:f>PERCENTRANK.INC($H$2:$H$941,H703)</x:f>
        <x:v>0.237</x:v>
      </x:c>
      <x:c r="W703" t="n">
        <x:f>ROUND((U703*55+V703*45)*IF(S703&lt;=5,1,IF(S703&lt;=10,0.95,IF(S703&lt;=20,0.85,0.70))),0)</x:f>
        <x:v>16</x:v>
      </x:c>
      <x:c r="X703" t="n">
        <x:v>43</x:v>
      </x:c>
      <x:c r="Y703" t="str">
        <x:v>WATCH</x:v>
      </x:c>
      <x:c r="Z703" s="12" t="str">
        <x:v>Family + verified grassroots + straight-line geo only; transport not yet routed</x:v>
      </x:c>
      <x:c r="AA703" s="12"/>
      <x:c r="AB703" s="12"/>
      <x:c r="AC703" s="12"/>
      <x:c r="AD703" s="12"/>
      <x:c r="AE703" t="str">
        <x:v>Crystal Palace Women</x:v>
      </x:c>
      <x:c r="AF703" s="45" t="n">
        <x:v>6.479432009954287</x:v>
      </x:c>
      <x:c r="AG703" t="str">
        <x:v>Dulwich Hamlet Women</x:v>
      </x:c>
      <x:c r="AH703" s="45" t="n">
        <x:v>5.694401125621506</x:v>
      </x:c>
      <x:c r="AI703" t="n">
        <x:v>74</x:v>
      </x:c>
      <x:c r="AJ703" t="str">
        <x:v>MEDIUM</x:v>
      </x:c>
    </x:row>
    <x:row r="704">
      <x:c r="A704" s="12" t="str">
        <x:v>E01003346</x:v>
      </x:c>
      <x:c r="B704" s="12" t="str">
        <x:v>Lewisham 026A</x:v>
      </x:c>
      <x:c r="C704" s="12" t="str">
        <x:v>Lewisham</x:v>
      </x:c>
      <x:c r="D704" s="44" t="n">
        <x:v>51.43352652442474</x:v>
      </x:c>
      <x:c r="E704" s="44" t="n">
        <x:v>0.006092786366681093</x:v>
      </x:c>
      <x:c r="F704" s="33" t="n">
        <x:v>649</x:v>
      </x:c>
      <x:c r="G704" s="33" t="n">
        <x:v>196</x:v>
      </x:c>
      <x:c r="H704" s="26" t="n">
        <x:v>0.3020030816640986</x:v>
      </x:c>
      <x:c r="I704" s="12" t="n">
        <x:v>4</x:v>
      </x:c>
      <x:c r="J704" s="12" t="n">
        <x:v>77</x:v>
      </x:c>
      <x:c r="K704" s="12"/>
      <x:c r="L704" s="12"/>
      <x:c r="M704" s="12" t="str">
        <x:f>IF(K704="", "", MAX(0,IF(K704&lt;=20,100,IF(K704&lt;=30,85,IF(K704&lt;=40,70,IF(K704&lt;=50,55,IF(K704&lt;=60,40,20)))))-MIN(L704*5,20)))</x:f>
      </x:c>
      <x:c r="N704" s="12"/>
      <x:c r="O704" s="12"/>
      <x:c r="P704" s="12" t="str">
        <x:f>IF(OR(H704="",J704="",M704=""),"",ROUND(PERCENTRANK.INC($H$2:$H$941,H704)*35+J704*0.35+M704*0.30,0))</x:f>
      </x:c>
      <x:c r="Q704" s="12" t="str">
        <x:f>IF(P704="","",IF(P704&gt;=80,"ATTACK",IF(P704&gt;=65,"GROW",IF(P704&gt;=50,"PARTNER","WATCH"))))</x:f>
      </x:c>
      <x:c r="R704" s="12" t="str">
        <x:f>IF(Q704="","",IF(Q704="ATTACK","Grassroots + family acquisition",IF(Q704="GROW","Test local campaign",IF(Q704="PARTNER","Organisation-first partnership","Low priority / validate"))))</x:f>
      </x:c>
      <x:c r="S704" s="45" t="n">
        <x:v>4.798641684391734</x:v>
      </x:c>
      <x:c r="T704" t="str">
        <x:v>CORE</x:v>
      </x:c>
      <x:c r="U704" s="32" t="n">
        <x:f>PERCENTRANK.INC($G$2:$G$941,G704)</x:f>
        <x:v>0.351</x:v>
      </x:c>
      <x:c r="V704" s="32" t="n">
        <x:f>PERCENTRANK.INC($H$2:$H$941,H704)</x:f>
        <x:v>0.408</x:v>
      </x:c>
      <x:c r="W704" t="n">
        <x:f>ROUND((U704*55+V704*45)*IF(S704&lt;=5,1,IF(S704&lt;=10,0.95,IF(S704&lt;=20,0.85,0.70))),0)</x:f>
        <x:v>38</x:v>
      </x:c>
      <x:c r="X704" t="n">
        <x:v>56</x:v>
      </x:c>
      <x:c r="Y704" t="str">
        <x:v>PARTNER</x:v>
      </x:c>
      <x:c r="Z704" s="12" t="str">
        <x:v>Family + verified grassroots + straight-line geo only; transport not yet routed</x:v>
      </x:c>
      <x:c r="AA704" s="12"/>
      <x:c r="AB704" s="12"/>
      <x:c r="AC704" s="12"/>
      <x:c r="AD704" s="12"/>
      <x:c r="AE704" t="str">
        <x:v>Charlton Athletic Women</x:v>
      </x:c>
      <x:c r="AF704" s="45" t="n">
        <x:v>6.237164965419838</x:v>
      </x:c>
      <x:c r="AG704" t="str">
        <x:v>Dulwich Hamlet Women</x:v>
      </x:c>
      <x:c r="AH704" s="45" t="n">
        <x:v>6.965250946412973</x:v>
      </x:c>
      <x:c r="AI704" t="n">
        <x:v>70</x:v>
      </x:c>
      <x:c r="AJ704" t="str">
        <x:v>MEDIUM</x:v>
      </x:c>
    </x:row>
    <x:row r="705">
      <x:c r="A705" s="12" t="str">
        <x:v>E01003349</x:v>
      </x:c>
      <x:c r="B705" s="12" t="str">
        <x:v>Lewisham 026B</x:v>
      </x:c>
      <x:c r="C705" s="12" t="str">
        <x:v>Lewisham</x:v>
      </x:c>
      <x:c r="D705" s="44" t="n">
        <x:v>51.43268126752545</x:v>
      </x:c>
      <x:c r="E705" s="44" t="n">
        <x:v>0.015056306443691918</x:v>
      </x:c>
      <x:c r="F705" s="33" t="n">
        <x:v>544</x:v>
      </x:c>
      <x:c r="G705" s="33" t="n">
        <x:v>243</x:v>
      </x:c>
      <x:c r="H705" s="26" t="n">
        <x:v>0.44669117647058826</x:v>
      </x:c>
      <x:c r="I705" s="12" t="n">
        <x:v>4</x:v>
      </x:c>
      <x:c r="J705" s="12" t="n">
        <x:v>69</x:v>
      </x:c>
      <x:c r="K705" s="12"/>
      <x:c r="L705" s="12"/>
      <x:c r="M705" s="12" t="str">
        <x:f>IF(K705="", "", MAX(0,IF(K705&lt;=20,100,IF(K705&lt;=30,85,IF(K705&lt;=40,70,IF(K705&lt;=50,55,IF(K705&lt;=60,40,20)))))-MIN(L705*5,20)))</x:f>
      </x:c>
      <x:c r="N705" s="12"/>
      <x:c r="O705" s="12"/>
      <x:c r="P705" s="12" t="str">
        <x:f>IF(OR(H705="",J705="",M705=""),"",ROUND(PERCENTRANK.INC($H$2:$H$941,H705)*35+J705*0.35+M705*0.30,0))</x:f>
      </x:c>
      <x:c r="Q705" s="12" t="str">
        <x:f>IF(P705="","",IF(P705&gt;=80,"ATTACK",IF(P705&gt;=65,"GROW",IF(P705&gt;=50,"PARTNER","WATCH"))))</x:f>
      </x:c>
      <x:c r="R705" s="12" t="str">
        <x:f>IF(Q705="","",IF(Q705="ATTACK","Grassroots + family acquisition",IF(Q705="GROW","Test local campaign",IF(Q705="PARTNER","Organisation-first partnership","Low priority / validate"))))</x:f>
      </x:c>
      <x:c r="S705" s="45" t="n">
        <x:v>4.640182373022865</x:v>
      </x:c>
      <x:c r="T705" t="str">
        <x:v>CORE</x:v>
      </x:c>
      <x:c r="U705" s="32" t="n">
        <x:f>PERCENTRANK.INC($G$2:$G$941,G705)</x:f>
        <x:v>0.73</x:v>
      </x:c>
      <x:c r="V705" s="32" t="n">
        <x:f>PERCENTRANK.INC($H$2:$H$941,H705)</x:f>
        <x:v>0.976</x:v>
      </x:c>
      <x:c r="W705" t="n">
        <x:f>ROUND((U705*55+V705*45)*IF(S705&lt;=5,1,IF(S705&lt;=10,0.95,IF(S705&lt;=20,0.85,0.70))),0)</x:f>
        <x:v>84</x:v>
      </x:c>
      <x:c r="X705" t="n">
        <x:v>78</x:v>
      </x:c>
      <x:c r="Y705" t="str">
        <x:v>GROW</x:v>
      </x:c>
      <x:c r="Z705" s="12" t="str">
        <x:v>Family + verified grassroots + straight-line geo only; transport not yet routed</x:v>
      </x:c>
      <x:c r="AA705" s="12"/>
      <x:c r="AB705" s="12"/>
      <x:c r="AC705" s="12"/>
      <x:c r="AD705" s="12"/>
      <x:c r="AE705" t="str">
        <x:v>Charlton Athletic Women</x:v>
      </x:c>
      <x:c r="AF705" s="45" t="n">
        <x:v>6.1494347754137895</x:v>
      </x:c>
      <x:c r="AG705" t="str">
        <x:v>Dulwich Hamlet Women</x:v>
      </x:c>
      <x:c r="AH705" s="45" t="n">
        <x:v>7.566113706033372</x:v>
      </x:c>
      <x:c r="AI705" t="n">
        <x:v>70</x:v>
      </x:c>
      <x:c r="AJ705" t="str">
        <x:v>MEDIUM</x:v>
      </x:c>
    </x:row>
    <x:row r="706">
      <x:c r="A706" s="12" t="str">
        <x:v>E01003351</x:v>
      </x:c>
      <x:c r="B706" s="12" t="str">
        <x:v>Lewisham 026C</x:v>
      </x:c>
      <x:c r="C706" s="12" t="str">
        <x:v>Lewisham</x:v>
      </x:c>
      <x:c r="D706" s="44" t="n">
        <x:v>51.431843142239174</x:v>
      </x:c>
      <x:c r="E706" s="44" t="n">
        <x:v>0.009348409842958361</x:v>
      </x:c>
      <x:c r="F706" s="33" t="n">
        <x:v>598</x:v>
      </x:c>
      <x:c r="G706" s="33" t="n">
        <x:v>239</x:v>
      </x:c>
      <x:c r="H706" s="26" t="n">
        <x:v>0.3996655518394649</x:v>
      </x:c>
      <x:c r="I706" s="12" t="n">
        <x:v>4</x:v>
      </x:c>
      <x:c r="J706" s="12" t="n">
        <x:v>77</x:v>
      </x:c>
      <x:c r="K706" s="12"/>
      <x:c r="L706" s="12"/>
      <x:c r="M706" s="12" t="str">
        <x:f>IF(K706="", "", MAX(0,IF(K706&lt;=20,100,IF(K706&lt;=30,85,IF(K706&lt;=40,70,IF(K706&lt;=50,55,IF(K706&lt;=60,40,20)))))-MIN(L706*5,20)))</x:f>
      </x:c>
      <x:c r="N706" s="12"/>
      <x:c r="O706" s="12"/>
      <x:c r="P706" s="12" t="str">
        <x:f>IF(OR(H706="",J706="",M706=""),"",ROUND(PERCENTRANK.INC($H$2:$H$941,H706)*35+J706*0.35+M706*0.30,0))</x:f>
      </x:c>
      <x:c r="Q706" s="12" t="str">
        <x:f>IF(P706="","",IF(P706&gt;=80,"ATTACK",IF(P706&gt;=65,"GROW",IF(P706&gt;=50,"PARTNER","WATCH"))))</x:f>
      </x:c>
      <x:c r="R706" s="12" t="str">
        <x:f>IF(Q706="","",IF(Q706="ATTACK","Grassroots + family acquisition",IF(Q706="GROW","Test local campaign",IF(Q706="PARTNER","Organisation-first partnership","Low priority / validate"))))</x:f>
      </x:c>
      <x:c r="S706" s="45" t="n">
        <x:v>4.5801968908094945</x:v>
      </x:c>
      <x:c r="T706" t="str">
        <x:v>CORE</x:v>
      </x:c>
      <x:c r="U706" s="32" t="n">
        <x:f>PERCENTRANK.INC($G$2:$G$941,G706)</x:f>
        <x:v>0.699</x:v>
      </x:c>
      <x:c r="V706" s="32" t="n">
        <x:f>PERCENTRANK.INC($H$2:$H$941,H706)</x:f>
        <x:v>0.904</x:v>
      </x:c>
      <x:c r="W706" t="n">
        <x:f>ROUND((U706*55+V706*45)*IF(S706&lt;=5,1,IF(S706&lt;=10,0.95,IF(S706&lt;=20,0.85,0.70))),0)</x:f>
        <x:v>79</x:v>
      </x:c>
      <x:c r="X706" t="n">
        <x:v>78</x:v>
      </x:c>
      <x:c r="Y706" t="str">
        <x:v>GROW</x:v>
      </x:c>
      <x:c r="Z706" s="12" t="str">
        <x:v>Family + verified grassroots + straight-line geo only; transport not yet routed</x:v>
      </x:c>
      <x:c r="AA706" s="12"/>
      <x:c r="AB706" s="12"/>
      <x:c r="AC706" s="12"/>
      <x:c r="AD706" s="12"/>
      <x:c r="AE706" t="str">
        <x:v>Charlton Athletic Women</x:v>
      </x:c>
      <x:c r="AF706" s="45" t="n">
        <x:v>6.344279770189307</x:v>
      </x:c>
      <x:c r="AG706" t="str">
        <x:v>Dulwich Hamlet Women</x:v>
      </x:c>
      <x:c r="AH706" s="45" t="n">
        <x:v>7.25091784597664</x:v>
      </x:c>
      <x:c r="AI706" t="n">
        <x:v>70</x:v>
      </x:c>
      <x:c r="AJ706" t="str">
        <x:v>MEDIUM</x:v>
      </x:c>
    </x:row>
    <x:row r="707">
      <x:c r="A707" s="12" t="str">
        <x:v>E01003354</x:v>
      </x:c>
      <x:c r="B707" s="12" t="str">
        <x:v>Lewisham 026D</x:v>
      </x:c>
      <x:c r="C707" s="12" t="str">
        <x:v>Lewisham</x:v>
      </x:c>
      <x:c r="D707" s="44" t="n">
        <x:v>51.4410295221012</x:v>
      </x:c>
      <x:c r="E707" s="44" t="n">
        <x:v>0.007332704088724515</x:v>
      </x:c>
      <x:c r="F707" s="33" t="n">
        <x:v>825</x:v>
      </x:c>
      <x:c r="G707" s="33" t="n">
        <x:v>286</x:v>
      </x:c>
      <x:c r="H707" s="26" t="n">
        <x:v>0.3466666666666667</x:v>
      </x:c>
      <x:c r="I707" s="12" t="n">
        <x:v>2</x:v>
      </x:c>
      <x:c r="J707" s="12" t="n">
        <x:v>61</x:v>
      </x:c>
      <x:c r="K707" s="12"/>
      <x:c r="L707" s="12"/>
      <x:c r="M707" s="12" t="str">
        <x:f>IF(K707="", "", MAX(0,IF(K707&lt;=20,100,IF(K707&lt;=30,85,IF(K707&lt;=40,70,IF(K707&lt;=50,55,IF(K707&lt;=60,40,20)))))-MIN(L707*5,20)))</x:f>
      </x:c>
      <x:c r="N707" s="12"/>
      <x:c r="O707" s="12"/>
      <x:c r="P707" s="12" t="str">
        <x:f>IF(OR(H707="",J707="",M707=""),"",ROUND(PERCENTRANK.INC($H$2:$H$941,H707)*35+J707*0.35+M707*0.30,0))</x:f>
      </x:c>
      <x:c r="Q707" s="12" t="str">
        <x:f>IF(P707="","",IF(P707&gt;=80,"ATTACK",IF(P707&gt;=65,"GROW",IF(P707&gt;=50,"PARTNER","WATCH"))))</x:f>
      </x:c>
      <x:c r="R707" s="12" t="str">
        <x:f>IF(Q707="","",IF(Q707="ATTACK","Grassroots + family acquisition",IF(Q707="GROW","Test local campaign",IF(Q707="PARTNER","Organisation-first partnership","Low priority / validate"))))</x:f>
      </x:c>
      <x:c r="S707" s="45" t="n">
        <x:v>5.611155374806968</x:v>
      </x:c>
      <x:c r="T707" t="str">
        <x:v>NEAR</x:v>
      </x:c>
      <x:c r="U707" s="32" t="n">
        <x:f>PERCENTRANK.INC($G$2:$G$941,G707)</x:f>
        <x:v>0.919</x:v>
      </x:c>
      <x:c r="V707" s="32" t="n">
        <x:f>PERCENTRANK.INC($H$2:$H$941,H707)</x:f>
        <x:v>0.664</x:v>
      </x:c>
      <x:c r="W707" t="n">
        <x:f>ROUND((U707*55+V707*45)*IF(S707&lt;=5,1,IF(S707&lt;=10,0.95,IF(S707&lt;=20,0.85,0.70))),0)</x:f>
        <x:v>76</x:v>
      </x:c>
      <x:c r="X707" t="n">
        <x:v>70</x:v>
      </x:c>
      <x:c r="Y707" t="str">
        <x:v>GROW</x:v>
      </x:c>
      <x:c r="Z707" s="12" t="str">
        <x:v>Family + verified grassroots + straight-line geo only; transport not yet routed</x:v>
      </x:c>
      <x:c r="AA707" s="12"/>
      <x:c r="AB707" s="12"/>
      <x:c r="AC707" s="12"/>
      <x:c r="AD707" s="12"/>
      <x:c r="AE707" t="str">
        <x:v>Charlton Athletic Women</x:v>
      </x:c>
      <x:c r="AF707" s="45" t="n">
        <x:v>5.425598872729065</x:v>
      </x:c>
      <x:c r="AG707" t="str">
        <x:v>Dulwich Hamlet Women</x:v>
      </x:c>
      <x:c r="AH707" s="45" t="n">
        <x:v>6.717701812828386</x:v>
      </x:c>
      <x:c r="AI707" t="n">
        <x:v>81</x:v>
      </x:c>
      <x:c r="AJ707" t="str">
        <x:v>HIGH</x:v>
      </x:c>
    </x:row>
    <x:row r="708">
      <x:c r="A708" s="12" t="str">
        <x:v>E01003309</x:v>
      </x:c>
      <x:c r="B708" s="12" t="str">
        <x:v>Lewisham 027A</x:v>
      </x:c>
      <x:c r="C708" s="12" t="str">
        <x:v>Lewisham</x:v>
      </x:c>
      <x:c r="D708" s="44" t="n">
        <x:v>51.43467515199014</x:v>
      </x:c>
      <x:c r="E708" s="44" t="n">
        <x:v>-0.049257497214191516</x:v>
      </x:c>
      <x:c r="F708" s="33" t="n">
        <x:v>654</x:v>
      </x:c>
      <x:c r="G708" s="33" t="n">
        <x:v>220</x:v>
      </x:c>
      <x:c r="H708" s="26" t="n">
        <x:v>0.3363914373088685</x:v>
      </x:c>
      <x:c r="I708" s="12" t="n">
        <x:v>3</x:v>
      </x:c>
      <x:c r="J708" s="12" t="n">
        <x:v>67</x:v>
      </x:c>
      <x:c r="K708" s="12"/>
      <x:c r="L708" s="12"/>
      <x:c r="M708" s="12" t="str">
        <x:f>IF(K708="", "", MAX(0,IF(K708&lt;=20,100,IF(K708&lt;=30,85,IF(K708&lt;=40,70,IF(K708&lt;=50,55,IF(K708&lt;=60,40,20)))))-MIN(L708*5,20)))</x:f>
      </x:c>
      <x:c r="N708" s="12"/>
      <x:c r="O708" s="12"/>
      <x:c r="P708" s="12" t="str">
        <x:f>IF(OR(H708="",J708="",M708=""),"",ROUND(PERCENTRANK.INC($H$2:$H$941,H708)*35+J708*0.35+M708*0.30,0))</x:f>
      </x:c>
      <x:c r="Q708" s="12" t="str">
        <x:f>IF(P708="","",IF(P708&gt;=80,"ATTACK",IF(P708&gt;=65,"GROW",IF(P708&gt;=50,"PARTNER","WATCH"))))</x:f>
      </x:c>
      <x:c r="R708" s="12" t="str">
        <x:f>IF(Q708="","",IF(Q708="ATTACK","Grassroots + family acquisition",IF(Q708="GROW","Test local campaign",IF(Q708="PARTNER","Organisation-first partnership","Low priority / validate"))))</x:f>
      </x:c>
      <x:c r="S708" s="45" t="n">
        <x:v>6.721074893519418</x:v>
      </x:c>
      <x:c r="T708" t="str">
        <x:v>NEAR</x:v>
      </x:c>
      <x:c r="U708" s="32" t="n">
        <x:f>PERCENTRANK.INC($G$2:$G$941,G708)</x:f>
        <x:v>0.551</x:v>
      </x:c>
      <x:c r="V708" s="32" t="n">
        <x:f>PERCENTRANK.INC($H$2:$H$941,H708)</x:f>
        <x:v>0.605</x:v>
      </x:c>
      <x:c r="W708" t="n">
        <x:f>ROUND((U708*55+V708*45)*IF(S708&lt;=5,1,IF(S708&lt;=10,0.95,IF(S708&lt;=20,0.85,0.70))),0)</x:f>
        <x:v>55</x:v>
      </x:c>
      <x:c r="X708" t="n">
        <x:v>60</x:v>
      </x:c>
      <x:c r="Y708" t="str">
        <x:v>PARTNER</x:v>
      </x:c>
      <x:c r="Z708" s="12" t="str">
        <x:v>Family + verified grassroots + straight-line geo only; transport not yet routed</x:v>
      </x:c>
      <x:c r="AA708" s="12"/>
      <x:c r="AB708" s="12"/>
      <x:c r="AC708" s="12"/>
      <x:c r="AD708" s="12"/>
      <x:c r="AE708" t="str">
        <x:v>Crystal Palace Women</x:v>
      </x:c>
      <x:c r="AF708" s="45" t="n">
        <x:v>4.751133342069704</x:v>
      </x:c>
      <x:c r="AG708" t="str">
        <x:v>Dulwich Hamlet Women</x:v>
      </x:c>
      <x:c r="AH708" s="45" t="n">
        <x:v>3.8168171610644035</x:v>
      </x:c>
      <x:c r="AI708" t="n">
        <x:v>85</x:v>
      </x:c>
      <x:c r="AJ708" t="str">
        <x:v>HIGH</x:v>
      </x:c>
    </x:row>
    <x:row r="709">
      <x:c r="A709" s="12" t="str">
        <x:v>E01003310</x:v>
      </x:c>
      <x:c r="B709" s="12" t="str">
        <x:v>Lewisham 027B</x:v>
      </x:c>
      <x:c r="C709" s="12" t="str">
        <x:v>Lewisham</x:v>
      </x:c>
      <x:c r="D709" s="44" t="n">
        <x:v>51.43800366568946</x:v>
      </x:c>
      <x:c r="E709" s="44" t="n">
        <x:v>-0.05048352429006302</x:v>
      </x:c>
      <x:c r="F709" s="33" t="n">
        <x:v>732</x:v>
      </x:c>
      <x:c r="G709" s="33" t="n">
        <x:v>171</x:v>
      </x:c>
      <x:c r="H709" s="26" t="n">
        <x:v>0.2336065573770492</x:v>
      </x:c>
      <x:c r="I709" s="12" t="n">
        <x:v>3</x:v>
      </x:c>
      <x:c r="J709" s="12" t="n">
        <x:v>75</x:v>
      </x:c>
      <x:c r="K709" s="12"/>
      <x:c r="L709" s="12"/>
      <x:c r="M709" s="12" t="str">
        <x:f>IF(K709="", "", MAX(0,IF(K709&lt;=20,100,IF(K709&lt;=30,85,IF(K709&lt;=40,70,IF(K709&lt;=50,55,IF(K709&lt;=60,40,20)))))-MIN(L709*5,20)))</x:f>
      </x:c>
      <x:c r="N709" s="12"/>
      <x:c r="O709" s="12"/>
      <x:c r="P709" s="12" t="str">
        <x:f>IF(OR(H709="",J709="",M709=""),"",ROUND(PERCENTRANK.INC($H$2:$H$941,H709)*35+J709*0.35+M709*0.30,0))</x:f>
      </x:c>
      <x:c r="Q709" s="12" t="str">
        <x:f>IF(P709="","",IF(P709&gt;=80,"ATTACK",IF(P709&gt;=65,"GROW",IF(P709&gt;=50,"PARTNER","WATCH"))))</x:f>
      </x:c>
      <x:c r="R709" s="12" t="str">
        <x:f>IF(Q709="","",IF(Q709="ATTACK","Grassroots + family acquisition",IF(Q709="GROW","Test local campaign",IF(Q709="PARTNER","Organisation-first partnership","Low priority / validate"))))</x:f>
      </x:c>
      <x:c r="S709" s="45" t="n">
        <x:v>7.049925734940607</x:v>
      </x:c>
      <x:c r="T709" t="str">
        <x:v>NEAR</x:v>
      </x:c>
      <x:c r="U709" s="32" t="n">
        <x:f>PERCENTRANK.INC($G$2:$G$941,G709)</x:f>
        <x:v>0.177</x:v>
      </x:c>
      <x:c r="V709" s="32" t="n">
        <x:f>PERCENTRANK.INC($H$2:$H$941,H709)</x:f>
        <x:v>0.143</x:v>
      </x:c>
      <x:c r="W709" t="n">
        <x:f>ROUND((U709*55+V709*45)*IF(S709&lt;=5,1,IF(S709&lt;=10,0.95,IF(S709&lt;=20,0.85,0.70))),0)</x:f>
        <x:v>15</x:v>
      </x:c>
      <x:c r="X709" t="n">
        <x:v>42</x:v>
      </x:c>
      <x:c r="Y709" t="str">
        <x:v>WATCH</x:v>
      </x:c>
      <x:c r="Z709" s="12" t="str">
        <x:v>Family + verified grassroots + straight-line geo only; transport not yet routed</x:v>
      </x:c>
      <x:c r="AA709" s="12"/>
      <x:c r="AB709" s="12"/>
      <x:c r="AC709" s="12"/>
      <x:c r="AD709" s="12"/>
      <x:c r="AE709" t="str">
        <x:v>Crystal Palace Women</x:v>
      </x:c>
      <x:c r="AF709" s="45" t="n">
        <x:v>5.028865784819164</x:v>
      </x:c>
      <x:c r="AG709" t="str">
        <x:v>Dulwich Hamlet Women</x:v>
      </x:c>
      <x:c r="AH709" s="45" t="n">
        <x:v>3.4799262697128643</x:v>
      </x:c>
      <x:c r="AI709" t="n">
        <x:v>85</x:v>
      </x:c>
      <x:c r="AJ709" t="str">
        <x:v>HIGH</x:v>
      </x:c>
    </x:row>
    <x:row r="710">
      <x:c r="A710" s="12" t="str">
        <x:v>E01003311</x:v>
      </x:c>
      <x:c r="B710" s="12" t="str">
        <x:v>Lewisham 027C</x:v>
      </x:c>
      <x:c r="C710" s="12" t="str">
        <x:v>Lewisham</x:v>
      </x:c>
      <x:c r="D710" s="44" t="n">
        <x:v>51.435691121040996</x:v>
      </x:c>
      <x:c r="E710" s="44" t="n">
        <x:v>-0.03791104718104404</x:v>
      </x:c>
      <x:c r="F710" s="33" t="n">
        <x:v>593</x:v>
      </x:c>
      <x:c r="G710" s="33" t="n">
        <x:v>204</x:v>
      </x:c>
      <x:c r="H710" s="26" t="n">
        <x:v>0.3440134907251265</x:v>
      </x:c>
      <x:c r="I710" s="12" t="n">
        <x:v>2</x:v>
      </x:c>
      <x:c r="J710" s="12" t="n">
        <x:v>75</x:v>
      </x:c>
      <x:c r="K710" s="12"/>
      <x:c r="L710" s="12"/>
      <x:c r="M710" s="12" t="str">
        <x:f>IF(K710="", "", MAX(0,IF(K710&lt;=20,100,IF(K710&lt;=30,85,IF(K710&lt;=40,70,IF(K710&lt;=50,55,IF(K710&lt;=60,40,20)))))-MIN(L710*5,20)))</x:f>
      </x:c>
      <x:c r="N710" s="12"/>
      <x:c r="O710" s="12"/>
      <x:c r="P710" s="12" t="str">
        <x:f>IF(OR(H710="",J710="",M710=""),"",ROUND(PERCENTRANK.INC($H$2:$H$941,H710)*35+J710*0.35+M710*0.30,0))</x:f>
      </x:c>
      <x:c r="Q710" s="12" t="str">
        <x:f>IF(P710="","",IF(P710&gt;=80,"ATTACK",IF(P710&gt;=65,"GROW",IF(P710&gt;=50,"PARTNER","WATCH"))))</x:f>
      </x:c>
      <x:c r="R710" s="12" t="str">
        <x:f>IF(Q710="","",IF(Q710="ATTACK","Grassroots + family acquisition",IF(Q710="GROW","Test local campaign",IF(Q710="PARTNER","Organisation-first partnership","Low priority / validate"))))</x:f>
      </x:c>
      <x:c r="S710" s="45" t="n">
        <x:v>6.29227806181104</x:v>
      </x:c>
      <x:c r="T710" t="str">
        <x:v>NEAR</x:v>
      </x:c>
      <x:c r="U710" s="32" t="n">
        <x:f>PERCENTRANK.INC($G$2:$G$941,G710)</x:f>
        <x:v>0.421</x:v>
      </x:c>
      <x:c r="V710" s="32" t="n">
        <x:f>PERCENTRANK.INC($H$2:$H$941,H710)</x:f>
        <x:v>0.645</x:v>
      </x:c>
      <x:c r="W710" t="n">
        <x:f>ROUND((U710*55+V710*45)*IF(S710&lt;=5,1,IF(S710&lt;=10,0.95,IF(S710&lt;=20,0.85,0.70))),0)</x:f>
        <x:v>50</x:v>
      </x:c>
      <x:c r="X710" t="n">
        <x:v>61</x:v>
      </x:c>
      <x:c r="Y710" t="str">
        <x:v>PARTNER</x:v>
      </x:c>
      <x:c r="Z710" s="12" t="str">
        <x:v>Family + verified grassroots + straight-line geo only; transport not yet routed</x:v>
      </x:c>
      <x:c r="AA710" s="12"/>
      <x:c r="AB710" s="12"/>
      <x:c r="AC710" s="12"/>
      <x:c r="AD710" s="12"/>
      <x:c r="AE710" t="str">
        <x:v>Crystal Palace Women</x:v>
      </x:c>
      <x:c r="AF710" s="45" t="n">
        <x:v>5.29493089969672</x:v>
      </x:c>
      <x:c r="AG710" t="str">
        <x:v>Dulwich Hamlet Women</x:v>
      </x:c>
      <x:c r="AH710" s="45" t="n">
        <x:v>4.279436576068691</x:v>
      </x:c>
      <x:c r="AI710" t="n">
        <x:v>85</x:v>
      </x:c>
      <x:c r="AJ710" t="str">
        <x:v>HIGH</x:v>
      </x:c>
    </x:row>
    <x:row r="711">
      <x:c r="A711" s="12" t="str">
        <x:v>E01003312</x:v>
      </x:c>
      <x:c r="B711" s="12" t="str">
        <x:v>Lewisham 027D</x:v>
      </x:c>
      <x:c r="C711" s="12" t="str">
        <x:v>Lewisham</x:v>
      </x:c>
      <x:c r="D711" s="44" t="n">
        <x:v>51.43228845708094</x:v>
      </x:c>
      <x:c r="E711" s="44" t="n">
        <x:v>-0.043002956068578804</x:v>
      </x:c>
      <x:c r="F711" s="33" t="n">
        <x:v>774</x:v>
      </x:c>
      <x:c r="G711" s="33" t="n">
        <x:v>228</x:v>
      </x:c>
      <x:c r="H711" s="26" t="n">
        <x:v>0.29457364341085274</x:v>
      </x:c>
      <x:c r="I711" s="12" t="n">
        <x:v>2</x:v>
      </x:c>
      <x:c r="J711" s="12" t="n">
        <x:v>67</x:v>
      </x:c>
      <x:c r="K711" s="12"/>
      <x:c r="L711" s="12"/>
      <x:c r="M711" s="12" t="str">
        <x:f>IF(K711="", "", MAX(0,IF(K711&lt;=20,100,IF(K711&lt;=30,85,IF(K711&lt;=40,70,IF(K711&lt;=50,55,IF(K711&lt;=60,40,20)))))-MIN(L711*5,20)))</x:f>
      </x:c>
      <x:c r="N711" s="12"/>
      <x:c r="O711" s="12"/>
      <x:c r="P711" s="12" t="str">
        <x:f>IF(OR(H711="",J711="",M711=""),"",ROUND(PERCENTRANK.INC($H$2:$H$941,H711)*35+J711*0.35+M711*0.30,0))</x:f>
      </x:c>
      <x:c r="Q711" s="12" t="str">
        <x:f>IF(P711="","",IF(P711&gt;=80,"ATTACK",IF(P711&gt;=65,"GROW",IF(P711&gt;=50,"PARTNER","WATCH"))))</x:f>
      </x:c>
      <x:c r="R711" s="12" t="str">
        <x:f>IF(Q711="","",IF(Q711="ATTACK","Grassroots + family acquisition",IF(Q711="GROW","Test local campaign",IF(Q711="PARTNER","Organisation-first partnership","Low priority / validate"))))</x:f>
      </x:c>
      <x:c r="S711" s="45" t="n">
        <x:v>6.2309326040981485</x:v>
      </x:c>
      <x:c r="T711" t="str">
        <x:v>NEAR</x:v>
      </x:c>
      <x:c r="U711" s="32" t="n">
        <x:f>PERCENTRANK.INC($G$2:$G$941,G711)</x:f>
        <x:v>0.616</x:v>
      </x:c>
      <x:c r="V711" s="32" t="n">
        <x:f>PERCENTRANK.INC($H$2:$H$941,H711)</x:f>
        <x:v>0.366</x:v>
      </x:c>
      <x:c r="W711" t="n">
        <x:f>ROUND((U711*55+V711*45)*IF(S711&lt;=5,1,IF(S711&lt;=10,0.95,IF(S711&lt;=20,0.85,0.70))),0)</x:f>
        <x:v>48</x:v>
      </x:c>
      <x:c r="X711" t="n">
        <x:v>57</x:v>
      </x:c>
      <x:c r="Y711" t="str">
        <x:v>PARTNER</x:v>
      </x:c>
      <x:c r="Z711" s="12" t="str">
        <x:v>Family + verified grassroots + straight-line geo only; transport not yet routed</x:v>
      </x:c>
      <x:c r="AA711" s="12"/>
      <x:c r="AB711" s="12"/>
      <x:c r="AC711" s="12"/>
      <x:c r="AD711" s="12"/>
      <x:c r="AE711" t="str">
        <x:v>Crystal Palace Women</x:v>
      </x:c>
      <x:c r="AF711" s="45" t="n">
        <x:v>4.77947860764976</x:v>
      </x:c>
      <x:c r="AG711" t="str">
        <x:v>Dulwich Hamlet Women</x:v>
      </x:c>
      <x:c r="AH711" s="45" t="n">
        <x:v>4.299453918439565</x:v>
      </x:c>
      <x:c r="AI711" t="n">
        <x:v>85</x:v>
      </x:c>
      <x:c r="AJ711" t="str">
        <x:v>HIGH</x:v>
      </x:c>
    </x:row>
    <x:row r="712">
      <x:c r="A712" s="12" t="str">
        <x:v>E01003313</x:v>
      </x:c>
      <x:c r="B712" s="12" t="str">
        <x:v>Lewisham 027E</x:v>
      </x:c>
      <x:c r="C712" s="12" t="str">
        <x:v>Lewisham</x:v>
      </x:c>
      <x:c r="D712" s="44" t="n">
        <x:v>51.431913115284495</x:v>
      </x:c>
      <x:c r="E712" s="44" t="n">
        <x:v>-0.049630608870381274</x:v>
      </x:c>
      <x:c r="F712" s="33" t="n">
        <x:v>624</x:v>
      </x:c>
      <x:c r="G712" s="33" t="n">
        <x:v>249</x:v>
      </x:c>
      <x:c r="H712" s="26" t="n">
        <x:v>0.39903846153846156</x:v>
      </x:c>
      <x:c r="I712" s="12" t="n">
        <x:v>2</x:v>
      </x:c>
      <x:c r="J712" s="12" t="n">
        <x:v>60</x:v>
      </x:c>
      <x:c r="K712" s="12"/>
      <x:c r="L712" s="12"/>
      <x:c r="M712" s="12" t="str">
        <x:f>IF(K712="", "", MAX(0,IF(K712&lt;=20,100,IF(K712&lt;=30,85,IF(K712&lt;=40,70,IF(K712&lt;=50,55,IF(K712&lt;=60,40,20)))))-MIN(L712*5,20)))</x:f>
      </x:c>
      <x:c r="N712" s="12"/>
      <x:c r="O712" s="12"/>
      <x:c r="P712" s="12" t="str">
        <x:f>IF(OR(H712="",J712="",M712=""),"",ROUND(PERCENTRANK.INC($H$2:$H$941,H712)*35+J712*0.35+M712*0.30,0))</x:f>
      </x:c>
      <x:c r="Q712" s="12" t="str">
        <x:f>IF(P712="","",IF(P712&gt;=80,"ATTACK",IF(P712&gt;=65,"GROW",IF(P712&gt;=50,"PARTNER","WATCH"))))</x:f>
      </x:c>
      <x:c r="R712" s="12" t="str">
        <x:f>IF(Q712="","",IF(Q712="ATTACK","Grassroots + family acquisition",IF(Q712="GROW","Test local campaign",IF(Q712="PARTNER","Organisation-first partnership","Low priority / validate"))))</x:f>
      </x:c>
      <x:c r="S712" s="45" t="n">
        <x:v>6.521146190790593</x:v>
      </x:c>
      <x:c r="T712" t="str">
        <x:v>NEAR</x:v>
      </x:c>
      <x:c r="U712" s="32" t="n">
        <x:f>PERCENTRANK.INC($G$2:$G$941,G712)</x:f>
        <x:v>0.766</x:v>
      </x:c>
      <x:c r="V712" s="32" t="n">
        <x:f>PERCENTRANK.INC($H$2:$H$941,H712)</x:f>
        <x:v>0.9</x:v>
      </x:c>
      <x:c r="W712" t="n">
        <x:f>ROUND((U712*55+V712*45)*IF(S712&lt;=5,1,IF(S712&lt;=10,0.95,IF(S712&lt;=20,0.85,0.70))),0)</x:f>
        <x:v>78</x:v>
      </x:c>
      <x:c r="X712" t="n">
        <x:v>71</x:v>
      </x:c>
      <x:c r="Y712" t="str">
        <x:v>GROW</x:v>
      </x:c>
      <x:c r="Z712" s="12" t="str">
        <x:v>Family + verified grassroots + straight-line geo only; transport not yet routed</x:v>
      </x:c>
      <x:c r="AA712" s="12"/>
      <x:c r="AB712" s="12"/>
      <x:c r="AC712" s="12"/>
      <x:c r="AD712" s="12"/>
      <x:c r="AE712" t="str">
        <x:v>Crystal Palace Women</x:v>
      </x:c>
      <x:c r="AF712" s="45" t="n">
        <x:v>4.478167002798374</x:v>
      </x:c>
      <x:c r="AG712" t="str">
        <x:v>Dulwich Hamlet Women</x:v>
      </x:c>
      <x:c r="AH712" s="45" t="n">
        <x:v>4.044611271173053</x:v>
      </x:c>
      <x:c r="AI712" t="n">
        <x:v>85</x:v>
      </x:c>
      <x:c r="AJ712" t="str">
        <x:v>HIGH</x:v>
      </x:c>
    </x:row>
    <x:row r="713">
      <x:c r="A713" s="12" t="str">
        <x:v>E01003256</x:v>
      </x:c>
      <x:c r="B713" s="12" t="str">
        <x:v>Lewisham 028A</x:v>
      </x:c>
      <x:c r="C713" s="12" t="str">
        <x:v>Lewisham</x:v>
      </x:c>
      <x:c r="D713" s="44" t="n">
        <x:v>51.4355153942637</x:v>
      </x:c>
      <x:c r="E713" s="44" t="n">
        <x:v>-0.05570704707374629</x:v>
      </x:c>
      <x:c r="F713" s="33" t="n">
        <x:v>934</x:v>
      </x:c>
      <x:c r="G713" s="33" t="n">
        <x:v>277</x:v>
      </x:c>
      <x:c r="H713" s="26" t="n">
        <x:v>0.2965738758029979</x:v>
      </x:c>
      <x:c r="I713" s="12" t="n">
        <x:v>3</x:v>
      </x:c>
      <x:c r="J713" s="12" t="n">
        <x:v>67</x:v>
      </x:c>
      <x:c r="K713" s="12"/>
      <x:c r="L713" s="12"/>
      <x:c r="M713" s="12" t="str">
        <x:f>IF(K713="", "", MAX(0,IF(K713&lt;=20,100,IF(K713&lt;=30,85,IF(K713&lt;=40,70,IF(K713&lt;=50,55,IF(K713&lt;=60,40,20)))))-MIN(L713*5,20)))</x:f>
      </x:c>
      <x:c r="N713" s="12"/>
      <x:c r="O713" s="12"/>
      <x:c r="P713" s="12" t="str">
        <x:f>IF(OR(H713="",J713="",M713=""),"",ROUND(PERCENTRANK.INC($H$2:$H$941,H713)*35+J713*0.35+M713*0.30,0))</x:f>
      </x:c>
      <x:c r="Q713" s="12" t="str">
        <x:f>IF(P713="","",IF(P713&gt;=80,"ATTACK",IF(P713&gt;=65,"GROW",IF(P713&gt;=50,"PARTNER","WATCH"))))</x:f>
      </x:c>
      <x:c r="R713" s="12" t="str">
        <x:f>IF(Q713="","",IF(Q713="ATTACK","Grassroots + family acquisition",IF(Q713="GROW","Test local campaign",IF(Q713="PARTNER","Organisation-first partnership","Low priority / validate"))))</x:f>
      </x:c>
      <x:c r="S713" s="45" t="n">
        <x:v>7.10238076257569</x:v>
      </x:c>
      <x:c r="T713" t="str">
        <x:v>NEAR</x:v>
      </x:c>
      <x:c r="U713" s="32" t="n">
        <x:f>PERCENTRANK.INC($G$2:$G$941,G713)</x:f>
        <x:v>0.887</x:v>
      </x:c>
      <x:c r="V713" s="32" t="n">
        <x:f>PERCENTRANK.INC($H$2:$H$941,H713)</x:f>
        <x:v>0.375</x:v>
      </x:c>
      <x:c r="W713" t="n">
        <x:f>ROUND((U713*55+V713*45)*IF(S713&lt;=5,1,IF(S713&lt;=10,0.95,IF(S713&lt;=20,0.85,0.70))),0)</x:f>
        <x:v>62</x:v>
      </x:c>
      <x:c r="X713" t="n">
        <x:v>65</x:v>
      </x:c>
      <x:c r="Y713" t="str">
        <x:v>GROW</x:v>
      </x:c>
      <x:c r="Z713" s="12" t="str">
        <x:v>Family + verified grassroots + straight-line geo only; transport not yet routed</x:v>
      </x:c>
      <x:c r="AA713" s="12"/>
      <x:c r="AB713" s="12"/>
      <x:c r="AC713" s="12"/>
      <x:c r="AD713" s="12"/>
      <x:c r="AE713" t="str">
        <x:v>Crystal Palace Women</x:v>
      </x:c>
      <x:c r="AF713" s="45" t="n">
        <x:v>4.616457838109294</x:v>
      </x:c>
      <x:c r="AG713" t="str">
        <x:v>Dulwich Hamlet Women</x:v>
      </x:c>
      <x:c r="AH713" s="45" t="n">
        <x:v>3.474469069829713</x:v>
      </x:c>
      <x:c r="AI713" t="n">
        <x:v>85</x:v>
      </x:c>
      <x:c r="AJ713" t="str">
        <x:v>HIGH</x:v>
      </x:c>
    </x:row>
    <x:row r="714">
      <x:c r="A714" s="12" t="str">
        <x:v>E01003257</x:v>
      </x:c>
      <x:c r="B714" s="12" t="str">
        <x:v>Lewisham 028B</x:v>
      </x:c>
      <x:c r="C714" s="12" t="str">
        <x:v>Lewisham</x:v>
      </x:c>
      <x:c r="D714" s="44" t="n">
        <x:v>51.43789172601504</x:v>
      </x:c>
      <x:c r="E714" s="44" t="n">
        <x:v>-0.06078608673211744</x:v>
      </x:c>
      <x:c r="F714" s="33" t="n">
        <x:v>632</x:v>
      </x:c>
      <x:c r="G714" s="33" t="n">
        <x:v>206</x:v>
      </x:c>
      <x:c r="H714" s="26" t="n">
        <x:v>0.3259493670886076</x:v>
      </x:c>
      <x:c r="I714" s="12" t="n">
        <x:v>3</x:v>
      </x:c>
      <x:c r="J714" s="12" t="n">
        <x:v>67</x:v>
      </x:c>
      <x:c r="K714" s="12"/>
      <x:c r="L714" s="12"/>
      <x:c r="M714" s="12" t="str">
        <x:f>IF(K714="", "", MAX(0,IF(K714&lt;=20,100,IF(K714&lt;=30,85,IF(K714&lt;=40,70,IF(K714&lt;=50,55,IF(K714&lt;=60,40,20)))))-MIN(L714*5,20)))</x:f>
      </x:c>
      <x:c r="N714" s="12"/>
      <x:c r="O714" s="12"/>
      <x:c r="P714" s="12" t="str">
        <x:f>IF(OR(H714="",J714="",M714=""),"",ROUND(PERCENTRANK.INC($H$2:$H$941,H714)*35+J714*0.35+M714*0.30,0))</x:f>
      </x:c>
      <x:c r="Q714" s="12" t="str">
        <x:f>IF(P714="","",IF(P714&gt;=80,"ATTACK",IF(P714&gt;=65,"GROW",IF(P714&gt;=50,"PARTNER","WATCH"))))</x:f>
      </x:c>
      <x:c r="R714" s="12" t="str">
        <x:f>IF(Q714="","",IF(Q714="ATTACK","Grassroots + family acquisition",IF(Q714="GROW","Test local campaign",IF(Q714="PARTNER","Organisation-first partnership","Low priority / validate"))))</x:f>
      </x:c>
      <x:c r="S714" s="45" t="n">
        <x:v>7.539229011603184</x:v>
      </x:c>
      <x:c r="T714" t="str">
        <x:v>NEAR</x:v>
      </x:c>
      <x:c r="U714" s="32" t="n">
        <x:f>PERCENTRANK.INC($G$2:$G$941,G714)</x:f>
        <x:v>0.437</x:v>
      </x:c>
      <x:c r="V714" s="32" t="n">
        <x:f>PERCENTRANK.INC($H$2:$H$941,H714)</x:f>
        <x:v>0.546</x:v>
      </x:c>
      <x:c r="W714" t="n">
        <x:f>ROUND((U714*55+V714*45)*IF(S714&lt;=5,1,IF(S714&lt;=10,0.95,IF(S714&lt;=20,0.85,0.70))),0)</x:f>
        <x:v>46</x:v>
      </x:c>
      <x:c r="X714" t="n">
        <x:v>56</x:v>
      </x:c>
      <x:c r="Y714" t="str">
        <x:v>PARTNER</x:v>
      </x:c>
      <x:c r="Z714" s="12" t="str">
        <x:v>Family + verified grassroots + straight-line geo only; transport not yet routed</x:v>
      </x:c>
      <x:c r="AA714" s="12"/>
      <x:c r="AB714" s="12"/>
      <x:c r="AC714" s="12"/>
      <x:c r="AD714" s="12"/>
      <x:c r="AE714" t="str">
        <x:v>Crystal Palace Women</x:v>
      </x:c>
      <x:c r="AF714" s="45" t="n">
        <x:v>4.717542965169696</x:v>
      </x:c>
      <x:c r="AG714" t="str">
        <x:v>Dulwich Hamlet Women</x:v>
      </x:c>
      <x:c r="AH714" s="45" t="n">
        <x:v>3.0610308480062693</x:v>
      </x:c>
      <x:c r="AI714" t="n">
        <x:v>85</x:v>
      </x:c>
      <x:c r="AJ714" t="str">
        <x:v>HIGH</x:v>
      </x:c>
    </x:row>
    <x:row r="715">
      <x:c r="A715" s="12" t="str">
        <x:v>E01003258</x:v>
      </x:c>
      <x:c r="B715" s="12" t="str">
        <x:v>Lewisham 028C</x:v>
      </x:c>
      <x:c r="C715" s="12" t="str">
        <x:v>Lewisham</x:v>
      </x:c>
      <x:c r="D715" s="44" t="n">
        <x:v>51.4322884763355</x:v>
      </x:c>
      <x:c r="E715" s="44" t="n">
        <x:v>-0.06660812839355139</x:v>
      </x:c>
      <x:c r="F715" s="33" t="n">
        <x:v>591</x:v>
      </x:c>
      <x:c r="G715" s="33" t="n">
        <x:v>225</x:v>
      </x:c>
      <x:c r="H715" s="26" t="n">
        <x:v>0.38071065989847713</x:v>
      </x:c>
      <x:c r="I715" s="12" t="n">
        <x:v>3</x:v>
      </x:c>
      <x:c r="J715" s="12" t="n">
        <x:v>67</x:v>
      </x:c>
      <x:c r="K715" s="12"/>
      <x:c r="L715" s="12"/>
      <x:c r="M715" s="12" t="str">
        <x:f>IF(K715="", "", MAX(0,IF(K715&lt;=20,100,IF(K715&lt;=30,85,IF(K715&lt;=40,70,IF(K715&lt;=50,55,IF(K715&lt;=60,40,20)))))-MIN(L715*5,20)))</x:f>
      </x:c>
      <x:c r="N715" s="12"/>
      <x:c r="O715" s="12"/>
      <x:c r="P715" s="12" t="str">
        <x:f>IF(OR(H715="",J715="",M715=""),"",ROUND(PERCENTRANK.INC($H$2:$H$941,H715)*35+J715*0.35+M715*0.30,0))</x:f>
      </x:c>
      <x:c r="Q715" s="12" t="str">
        <x:f>IF(P715="","",IF(P715&gt;=80,"ATTACK",IF(P715&gt;=65,"GROW",IF(P715&gt;=50,"PARTNER","WATCH"))))</x:f>
      </x:c>
      <x:c r="R715" s="12" t="str">
        <x:f>IF(Q715="","",IF(Q715="ATTACK","Grassroots + family acquisition",IF(Q715="GROW","Test local campaign",IF(Q715="PARTNER","Organisation-first partnership","Low priority / validate"))))</x:f>
      </x:c>
      <x:c r="S715" s="45" t="n">
        <x:v>7.435841679186006</x:v>
      </x:c>
      <x:c r="T715" t="str">
        <x:v>NEAR</x:v>
      </x:c>
      <x:c r="U715" s="32" t="n">
        <x:f>PERCENTRANK.INC($G$2:$G$941,G715)</x:f>
        <x:v>0.586</x:v>
      </x:c>
      <x:c r="V715" s="32" t="n">
        <x:f>PERCENTRANK.INC($H$2:$H$941,H715)</x:f>
        <x:v>0.832</x:v>
      </x:c>
      <x:c r="W715" t="n">
        <x:f>ROUND((U715*55+V715*45)*IF(S715&lt;=5,1,IF(S715&lt;=10,0.95,IF(S715&lt;=20,0.85,0.70))),0)</x:f>
        <x:v>66</x:v>
      </x:c>
      <x:c r="X715" t="n">
        <x:v>67</x:v>
      </x:c>
      <x:c r="Y715" t="str">
        <x:v>GROW</x:v>
      </x:c>
      <x:c r="Z715" s="12" t="str">
        <x:v>Family + verified grassroots + straight-line geo only; transport not yet routed</x:v>
      </x:c>
      <x:c r="AA715" s="12"/>
      <x:c r="AB715" s="12"/>
      <x:c r="AC715" s="12"/>
      <x:c r="AD715" s="12"/>
      <x:c r="AE715" t="str">
        <x:v>Crystal Palace Women</x:v>
      </x:c>
      <x:c r="AF715" s="45" t="n">
        <x:v>3.994215220372106</x:v>
      </x:c>
      <x:c r="AG715" t="str">
        <x:v>Dulwich Hamlet Women</x:v>
      </x:c>
      <x:c r="AH715" s="45" t="n">
        <x:v>3.4453438015079945</x:v>
      </x:c>
      <x:c r="AI715" t="n">
        <x:v>85</x:v>
      </x:c>
      <x:c r="AJ715" t="str">
        <x:v>HIGH</x:v>
      </x:c>
    </x:row>
    <x:row r="716">
      <x:c r="A716" s="12" t="str">
        <x:v>E01003259</x:v>
      </x:c>
      <x:c r="B716" s="12" t="str">
        <x:v>Lewisham 028D</x:v>
      </x:c>
      <x:c r="C716" s="12" t="str">
        <x:v>Lewisham</x:v>
      </x:c>
      <x:c r="D716" s="44" t="n">
        <x:v>51.432912652913366</x:v>
      </x:c>
      <x:c r="E716" s="44" t="n">
        <x:v>-0.06202379250492323</x:v>
      </x:c>
      <x:c r="F716" s="33" t="n">
        <x:v>757</x:v>
      </x:c>
      <x:c r="G716" s="33" t="n">
        <x:v>251</x:v>
      </x:c>
      <x:c r="H716" s="26" t="n">
        <x:v>0.33157199471598414</x:v>
      </x:c>
      <x:c r="I716" s="12" t="n">
        <x:v>3</x:v>
      </x:c>
      <x:c r="J716" s="12" t="n">
        <x:v>67</x:v>
      </x:c>
      <x:c r="K716" s="12"/>
      <x:c r="L716" s="12"/>
      <x:c r="M716" s="12" t="str">
        <x:f>IF(K716="", "", MAX(0,IF(K716&lt;=20,100,IF(K716&lt;=30,85,IF(K716&lt;=40,70,IF(K716&lt;=50,55,IF(K716&lt;=60,40,20)))))-MIN(L716*5,20)))</x:f>
      </x:c>
      <x:c r="N716" s="12"/>
      <x:c r="O716" s="12"/>
      <x:c r="P716" s="12" t="str">
        <x:f>IF(OR(H716="",J716="",M716=""),"",ROUND(PERCENTRANK.INC($H$2:$H$941,H716)*35+J716*0.35+M716*0.30,0))</x:f>
      </x:c>
      <x:c r="Q716" s="12" t="str">
        <x:f>IF(P716="","",IF(P716&gt;=80,"ATTACK",IF(P716&gt;=65,"GROW",IF(P716&gt;=50,"PARTNER","WATCH"))))</x:f>
      </x:c>
      <x:c r="R716" s="12" t="str">
        <x:f>IF(Q716="","",IF(Q716="ATTACK","Grassroots + family acquisition",IF(Q716="GROW","Test local campaign",IF(Q716="PARTNER","Organisation-first partnership","Low priority / validate"))))</x:f>
      </x:c>
      <x:c r="S716" s="45" t="n">
        <x:v>7.2329919476140985</x:v>
      </x:c>
      <x:c r="T716" t="str">
        <x:v>NEAR</x:v>
      </x:c>
      <x:c r="U716" s="32" t="n">
        <x:f>PERCENTRANK.INC($G$2:$G$941,G716)</x:f>
        <x:v>0.79</x:v>
      </x:c>
      <x:c r="V716" s="32" t="n">
        <x:f>PERCENTRANK.INC($H$2:$H$941,H716)</x:f>
        <x:v>0.58</x:v>
      </x:c>
      <x:c r="W716" t="n">
        <x:f>ROUND((U716*55+V716*45)*IF(S716&lt;=5,1,IF(S716&lt;=10,0.95,IF(S716&lt;=20,0.85,0.70))),0)</x:f>
        <x:v>66</x:v>
      </x:c>
      <x:c r="X716" t="n">
        <x:v>67</x:v>
      </x:c>
      <x:c r="Y716" t="str">
        <x:v>GROW</x:v>
      </x:c>
      <x:c r="Z716" s="12" t="str">
        <x:v>Family + verified grassroots + straight-line geo only; transport not yet routed</x:v>
      </x:c>
      <x:c r="AA716" s="12"/>
      <x:c r="AB716" s="12"/>
      <x:c r="AC716" s="12"/>
      <x:c r="AD716" s="12"/>
      <x:c r="AE716" t="str">
        <x:v>Crystal Palace Women</x:v>
      </x:c>
      <x:c r="AF716" s="45" t="n">
        <x:v>4.171586757592563</x:v>
      </x:c>
      <x:c r="AG716" t="str">
        <x:v>Dulwich Hamlet Women</x:v>
      </x:c>
      <x:c r="AH716" s="45" t="n">
        <x:v>3.5061324592852143</x:v>
      </x:c>
      <x:c r="AI716" t="n">
        <x:v>85</x:v>
      </x:c>
      <x:c r="AJ716" t="str">
        <x:v>HIGH</x:v>
      </x:c>
    </x:row>
    <x:row r="717">
      <x:c r="A717" s="12" t="str">
        <x:v>E01003193</x:v>
      </x:c>
      <x:c r="B717" s="12" t="str">
        <x:v>Lewisham 029A</x:v>
      </x:c>
      <x:c r="C717" s="12" t="str">
        <x:v>Lewisham</x:v>
      </x:c>
      <x:c r="D717" s="44" t="n">
        <x:v>51.43143207437674</x:v>
      </x:c>
      <x:c r="E717" s="44" t="n">
        <x:v>-0.03818402788053363</x:v>
      </x:c>
      <x:c r="F717" s="33" t="n">
        <x:v>684</x:v>
      </x:c>
      <x:c r="G717" s="33" t="n">
        <x:v>255</x:v>
      </x:c>
      <x:c r="H717" s="26" t="n">
        <x:v>0.37280701754385964</x:v>
      </x:c>
      <x:c r="I717" s="12" t="n">
        <x:v>3</x:v>
      </x:c>
      <x:c r="J717" s="12" t="n">
        <x:v>83</x:v>
      </x:c>
      <x:c r="K717" s="12"/>
      <x:c r="L717" s="12"/>
      <x:c r="M717" s="12" t="str">
        <x:f>IF(K717="", "", MAX(0,IF(K717&lt;=20,100,IF(K717&lt;=30,85,IF(K717&lt;=40,70,IF(K717&lt;=50,55,IF(K717&lt;=60,40,20)))))-MIN(L717*5,20)))</x:f>
      </x:c>
      <x:c r="N717" s="12"/>
      <x:c r="O717" s="12"/>
      <x:c r="P717" s="12" t="str">
        <x:f>IF(OR(H717="",J717="",M717=""),"",ROUND(PERCENTRANK.INC($H$2:$H$941,H717)*35+J717*0.35+M717*0.30,0))</x:f>
      </x:c>
      <x:c r="Q717" s="12" t="str">
        <x:f>IF(P717="","",IF(P717&gt;=80,"ATTACK",IF(P717&gt;=65,"GROW",IF(P717&gt;=50,"PARTNER","WATCH"))))</x:f>
      </x:c>
      <x:c r="R717" s="12" t="str">
        <x:f>IF(Q717="","",IF(Q717="ATTACK","Grassroots + family acquisition",IF(Q717="GROW","Test local campaign",IF(Q717="PARTNER","Organisation-first partnership","Low priority / validate"))))</x:f>
      </x:c>
      <x:c r="S717" s="45" t="n">
        <x:v>5.937699742878664</x:v>
      </x:c>
      <x:c r="T717" t="str">
        <x:v>NEAR</x:v>
      </x:c>
      <x:c r="U717" s="32" t="n">
        <x:f>PERCENTRANK.INC($G$2:$G$941,G717)</x:f>
        <x:v>0.806</x:v>
      </x:c>
      <x:c r="V717" s="32" t="n">
        <x:f>PERCENTRANK.INC($H$2:$H$941,H717)</x:f>
        <x:v>0.807</x:v>
      </x:c>
      <x:c r="W717" t="n">
        <x:f>ROUND((U717*55+V717*45)*IF(S717&lt;=5,1,IF(S717&lt;=10,0.95,IF(S717&lt;=20,0.85,0.70))),0)</x:f>
        <x:v>77</x:v>
      </x:c>
      <x:c r="X717" t="n">
        <x:v>80</x:v>
      </x:c>
      <x:c r="Y717" t="str">
        <x:v>ATTACK</x:v>
      </x:c>
      <x:c r="Z717" s="12" t="str">
        <x:v>Family + verified grassroots + straight-line geo only; transport not yet routed</x:v>
      </x:c>
      <x:c r="AA717" s="12"/>
      <x:c r="AB717" s="12"/>
      <x:c r="AC717" s="12"/>
      <x:c r="AD717" s="12"/>
      <x:c r="AE717" t="str">
        <x:v>Crystal Palace Women</x:v>
      </x:c>
      <x:c r="AF717" s="45" t="n">
        <x:v>4.919119199960316</x:v>
      </x:c>
      <x:c r="AG717" t="str">
        <x:v>Dulwich Hamlet Women</x:v>
      </x:c>
      <x:c r="AH717" s="45" t="n">
        <x:v>4.595391193809242</x:v>
      </x:c>
      <x:c r="AI717" t="n">
        <x:v>85</x:v>
      </x:c>
      <x:c r="AJ717" t="str">
        <x:v>HIGH</x:v>
      </x:c>
    </x:row>
    <x:row r="718">
      <x:c r="A718" s="12" t="str">
        <x:v>E01003194</x:v>
      </x:c>
      <x:c r="B718" s="12" t="str">
        <x:v>Lewisham 029B</x:v>
      </x:c>
      <x:c r="C718" s="12" t="str">
        <x:v>Lewisham</x:v>
      </x:c>
      <x:c r="D718" s="44" t="n">
        <x:v>51.43881657319677</x:v>
      </x:c>
      <x:c r="E718" s="44" t="n">
        <x:v>-0.028368254269384958</x:v>
      </x:c>
      <x:c r="F718" s="33" t="n">
        <x:v>725</x:v>
      </x:c>
      <x:c r="G718" s="33" t="n">
        <x:v>226</x:v>
      </x:c>
      <x:c r="H718" s="26" t="n">
        <x:v>0.3117241379310345</x:v>
      </x:c>
      <x:c r="I718" s="12" t="n">
        <x:v>1</x:v>
      </x:c>
      <x:c r="J718" s="12" t="n">
        <x:v>59</x:v>
      </x:c>
      <x:c r="K718" s="12"/>
      <x:c r="L718" s="12"/>
      <x:c r="M718" s="12" t="str">
        <x:f>IF(K718="", "", MAX(0,IF(K718&lt;=20,100,IF(K718&lt;=30,85,IF(K718&lt;=40,70,IF(K718&lt;=50,55,IF(K718&lt;=60,40,20)))))-MIN(L718*5,20)))</x:f>
      </x:c>
      <x:c r="N718" s="12"/>
      <x:c r="O718" s="12"/>
      <x:c r="P718" s="12" t="str">
        <x:f>IF(OR(H718="",J718="",M718=""),"",ROUND(PERCENTRANK.INC($H$2:$H$941,H718)*35+J718*0.35+M718*0.30,0))</x:f>
      </x:c>
      <x:c r="Q718" s="12" t="str">
        <x:f>IF(P718="","",IF(P718&gt;=80,"ATTACK",IF(P718&gt;=65,"GROW",IF(P718&gt;=50,"PARTNER","WATCH"))))</x:f>
      </x:c>
      <x:c r="R718" s="12" t="str">
        <x:f>IF(Q718="","",IF(Q718="ATTACK","Grassroots + family acquisition",IF(Q718="GROW","Test local campaign",IF(Q718="PARTNER","Organisation-first partnership","Low priority / validate"))))</x:f>
      </x:c>
      <x:c r="S718" s="45" t="n">
        <x:v>6.204867425802477</x:v>
      </x:c>
      <x:c r="T718" t="str">
        <x:v>NEAR</x:v>
      </x:c>
      <x:c r="U718" s="32" t="n">
        <x:f>PERCENTRANK.INC($G$2:$G$941,G718)</x:f>
        <x:v>0.595</x:v>
      </x:c>
      <x:c r="V718" s="32" t="n">
        <x:f>PERCENTRANK.INC($H$2:$H$941,H718)</x:f>
        <x:v>0.462</x:v>
      </x:c>
      <x:c r="W718" t="n">
        <x:f>ROUND((U718*55+V718*45)*IF(S718&lt;=5,1,IF(S718&lt;=10,0.95,IF(S718&lt;=20,0.85,0.70))),0)</x:f>
        <x:v>51</x:v>
      </x:c>
      <x:c r="X718" t="n">
        <x:v>55</x:v>
      </x:c>
      <x:c r="Y718" t="str">
        <x:v>PARTNER</x:v>
      </x:c>
      <x:c r="Z718" s="12" t="str">
        <x:v>Family + verified grassroots + straight-line geo only; transport not yet routed</x:v>
      </x:c>
      <x:c r="AA718" s="12"/>
      <x:c r="AB718" s="12"/>
      <x:c r="AC718" s="12"/>
      <x:c r="AD718" s="12"/>
      <x:c r="AE718" t="str">
        <x:v>Crystal Palace Women</x:v>
      </x:c>
      <x:c r="AF718" s="45" t="n">
        <x:v>5.985068710180377</x:v>
      </x:c>
      <x:c r="AG718" t="str">
        <x:v>Dulwich Hamlet Women</x:v>
      </x:c>
      <x:c r="AH718" s="45" t="n">
        <x:v>4.594812356208308</x:v>
      </x:c>
      <x:c r="AI718" t="n">
        <x:v>85</x:v>
      </x:c>
      <x:c r="AJ718" t="str">
        <x:v>HIGH</x:v>
      </x:c>
    </x:row>
    <x:row r="719">
      <x:c r="A719" s="12" t="str">
        <x:v>E01003195</x:v>
      </x:c>
      <x:c r="B719" s="12" t="str">
        <x:v>Lewisham 029C</x:v>
      </x:c>
      <x:c r="C719" s="12" t="str">
        <x:v>Lewisham</x:v>
      </x:c>
      <x:c r="D719" s="44" t="n">
        <x:v>51.43536926366466</x:v>
      </x:c>
      <x:c r="E719" s="44" t="n">
        <x:v>-0.03255739640871859</x:v>
      </x:c>
      <x:c r="F719" s="33" t="n">
        <x:v>623</x:v>
      </x:c>
      <x:c r="G719" s="33" t="n">
        <x:v>200</x:v>
      </x:c>
      <x:c r="H719" s="26" t="n">
        <x:v>0.32102728731942215</x:v>
      </x:c>
      <x:c r="I719" s="12" t="n">
        <x:v>2</x:v>
      </x:c>
      <x:c r="J719" s="12" t="n">
        <x:v>75</x:v>
      </x:c>
      <x:c r="K719" s="12"/>
      <x:c r="L719" s="12"/>
      <x:c r="M719" s="12" t="str">
        <x:f>IF(K719="", "", MAX(0,IF(K719&lt;=20,100,IF(K719&lt;=30,85,IF(K719&lt;=40,70,IF(K719&lt;=50,55,IF(K719&lt;=60,40,20)))))-MIN(L719*5,20)))</x:f>
      </x:c>
      <x:c r="N719" s="12"/>
      <x:c r="O719" s="12"/>
      <x:c r="P719" s="12" t="str">
        <x:f>IF(OR(H719="",J719="",M719=""),"",ROUND(PERCENTRANK.INC($H$2:$H$941,H719)*35+J719*0.35+M719*0.30,0))</x:f>
      </x:c>
      <x:c r="Q719" s="12" t="str">
        <x:f>IF(P719="","",IF(P719&gt;=80,"ATTACK",IF(P719&gt;=65,"GROW",IF(P719&gt;=50,"PARTNER","WATCH"))))</x:f>
      </x:c>
      <x:c r="R719" s="12" t="str">
        <x:f>IF(Q719="","",IF(Q719="ATTACK","Grassroots + family acquisition",IF(Q719="GROW","Test local campaign",IF(Q719="PARTNER","Organisation-first partnership","Low priority / validate"))))</x:f>
      </x:c>
      <x:c r="S719" s="45" t="n">
        <x:v>6.0424931486503635</x:v>
      </x:c>
      <x:c r="T719" t="str">
        <x:v>NEAR</x:v>
      </x:c>
      <x:c r="U719" s="32" t="n">
        <x:f>PERCENTRANK.INC($G$2:$G$941,G719)</x:f>
        <x:v>0.388</x:v>
      </x:c>
      <x:c r="V719" s="32" t="n">
        <x:f>PERCENTRANK.INC($H$2:$H$941,H719)</x:f>
        <x:v>0.522</x:v>
      </x:c>
      <x:c r="W719" t="n">
        <x:f>ROUND((U719*55+V719*45)*IF(S719&lt;=5,1,IF(S719&lt;=10,0.95,IF(S719&lt;=20,0.85,0.70))),0)</x:f>
        <x:v>43</x:v>
      </x:c>
      <x:c r="X719" t="n">
        <x:v>57</x:v>
      </x:c>
      <x:c r="Y719" t="str">
        <x:v>PARTNER</x:v>
      </x:c>
      <x:c r="Z719" s="12" t="str">
        <x:v>Family + verified grassroots + straight-line geo only; transport not yet routed</x:v>
      </x:c>
      <x:c r="AA719" s="12"/>
      <x:c r="AB719" s="12"/>
      <x:c r="AC719" s="12"/>
      <x:c r="AD719" s="12"/>
      <x:c r="AE719" t="str">
        <x:v>Crystal Palace Women</x:v>
      </x:c>
      <x:c r="AF719" s="45" t="n">
        <x:v>5.5054621751742845</x:v>
      </x:c>
      <x:c r="AG719" t="str">
        <x:v>Dulwich Hamlet Women</x:v>
      </x:c>
      <x:c r="AH719" s="45" t="n">
        <x:v>4.585349611719826</x:v>
      </x:c>
      <x:c r="AI719" t="n">
        <x:v>85</x:v>
      </x:c>
      <x:c r="AJ719" t="str">
        <x:v>HIGH</x:v>
      </x:c>
    </x:row>
    <x:row r="720">
      <x:c r="A720" s="12" t="str">
        <x:v>E01003196</x:v>
      </x:c>
      <x:c r="B720" s="12" t="str">
        <x:v>Lewisham 029D</x:v>
      </x:c>
      <x:c r="C720" s="12" t="str">
        <x:v>Lewisham</x:v>
      </x:c>
      <x:c r="D720" s="44" t="n">
        <x:v>51.43380300753232</x:v>
      </x:c>
      <x:c r="E720" s="44" t="n">
        <x:v>-0.022480421543452363</x:v>
      </x:c>
      <x:c r="F720" s="33" t="n">
        <x:v>672</x:v>
      </x:c>
      <x:c r="G720" s="33" t="n">
        <x:v>228</x:v>
      </x:c>
      <x:c r="H720" s="26" t="n">
        <x:v>0.3392857142857143</x:v>
      </x:c>
      <x:c r="I720" s="12" t="n">
        <x:v>3</x:v>
      </x:c>
      <x:c r="J720" s="12" t="n">
        <x:v>83</x:v>
      </x:c>
      <x:c r="K720" s="12"/>
      <x:c r="L720" s="12"/>
      <x:c r="M720" s="12" t="str">
        <x:f>IF(K720="", "", MAX(0,IF(K720&lt;=20,100,IF(K720&lt;=30,85,IF(K720&lt;=40,70,IF(K720&lt;=50,55,IF(K720&lt;=60,40,20)))))-MIN(L720*5,20)))</x:f>
      </x:c>
      <x:c r="N720" s="12"/>
      <x:c r="O720" s="12"/>
      <x:c r="P720" s="12" t="str">
        <x:f>IF(OR(H720="",J720="",M720=""),"",ROUND(PERCENTRANK.INC($H$2:$H$941,H720)*35+J720*0.35+M720*0.30,0))</x:f>
      </x:c>
      <x:c r="Q720" s="12" t="str">
        <x:f>IF(P720="","",IF(P720&gt;=80,"ATTACK",IF(P720&gt;=65,"GROW",IF(P720&gt;=50,"PARTNER","WATCH"))))</x:f>
      </x:c>
      <x:c r="R720" s="12" t="str">
        <x:f>IF(Q720="","",IF(Q720="ATTACK","Grassroots + family acquisition",IF(Q720="GROW","Test local campaign",IF(Q720="PARTNER","Organisation-first partnership","Low priority / validate"))))</x:f>
      </x:c>
      <x:c r="S720" s="45" t="n">
        <x:v>5.517148940662599</x:v>
      </x:c>
      <x:c r="T720" t="str">
        <x:v>NEAR</x:v>
      </x:c>
      <x:c r="U720" s="32" t="n">
        <x:f>PERCENTRANK.INC($G$2:$G$941,G720)</x:f>
        <x:v>0.616</x:v>
      </x:c>
      <x:c r="V720" s="32" t="n">
        <x:f>PERCENTRANK.INC($H$2:$H$941,H720)</x:f>
        <x:v>0.614</x:v>
      </x:c>
      <x:c r="W720" t="n">
        <x:f>ROUND((U720*55+V720*45)*IF(S720&lt;=5,1,IF(S720&lt;=10,0.95,IF(S720&lt;=20,0.85,0.70))),0)</x:f>
        <x:v>58</x:v>
      </x:c>
      <x:c r="X720" t="n">
        <x:v>70</x:v>
      </x:c>
      <x:c r="Y720" t="str">
        <x:v>GROW</x:v>
      </x:c>
      <x:c r="Z720" s="12" t="str">
        <x:v>Family + verified grassroots + straight-line geo only; transport not yet routed</x:v>
      </x:c>
      <x:c r="AA720" s="12"/>
      <x:c r="AB720" s="12"/>
      <x:c r="AC720" s="12"/>
      <x:c r="AD720" s="12"/>
      <x:c r="AE720" t="str">
        <x:v>Crystal Palace Women</x:v>
      </x:c>
      <x:c r="AF720" s="45" t="n">
        <x:v>5.8728335114699295</x:v>
      </x:c>
      <x:c r="AG720" t="str">
        <x:v>Dulwich Hamlet Women</x:v>
      </x:c>
      <x:c r="AH720" s="45" t="n">
        <x:v>5.246537541535793</x:v>
      </x:c>
      <x:c r="AI720" t="n">
        <x:v>85</x:v>
      </x:c>
      <x:c r="AJ720" t="str">
        <x:v>HIGH</x:v>
      </x:c>
    </x:row>
    <x:row r="721">
      <x:c r="A721" s="12" t="str">
        <x:v>E01003197</x:v>
      </x:c>
      <x:c r="B721" s="12" t="str">
        <x:v>Lewisham 029E</x:v>
      </x:c>
      <x:c r="C721" s="12" t="str">
        <x:v>Lewisham</x:v>
      </x:c>
      <x:c r="D721" s="44" t="n">
        <x:v>51.43112100892817</x:v>
      </x:c>
      <x:c r="E721" s="44" t="n">
        <x:v>-0.02693131647953196</x:v>
      </x:c>
      <x:c r="F721" s="33" t="n">
        <x:v>652</x:v>
      </x:c>
      <x:c r="G721" s="33" t="n">
        <x:v>208</x:v>
      </x:c>
      <x:c r="H721" s="26" t="n">
        <x:v>0.31901840490797545</x:v>
      </x:c>
      <x:c r="I721" s="12" t="n">
        <x:v>3</x:v>
      </x:c>
      <x:c r="J721" s="12" t="n">
        <x:v>83</x:v>
      </x:c>
      <x:c r="K721" s="12"/>
      <x:c r="L721" s="12"/>
      <x:c r="M721" s="12" t="str">
        <x:f>IF(K721="", "", MAX(0,IF(K721&lt;=20,100,IF(K721&lt;=30,85,IF(K721&lt;=40,70,IF(K721&lt;=50,55,IF(K721&lt;=60,40,20)))))-MIN(L721*5,20)))</x:f>
      </x:c>
      <x:c r="N721" s="12"/>
      <x:c r="O721" s="12"/>
      <x:c r="P721" s="12" t="str">
        <x:f>IF(OR(H721="",J721="",M721=""),"",ROUND(PERCENTRANK.INC($H$2:$H$941,H721)*35+J721*0.35+M721*0.30,0))</x:f>
      </x:c>
      <x:c r="Q721" s="12" t="str">
        <x:f>IF(P721="","",IF(P721&gt;=80,"ATTACK",IF(P721&gt;=65,"GROW",IF(P721&gt;=50,"PARTNER","WATCH"))))</x:f>
      </x:c>
      <x:c r="R721" s="12" t="str">
        <x:f>IF(Q721="","",IF(Q721="ATTACK","Grassroots + family acquisition",IF(Q721="GROW","Test local campaign",IF(Q721="PARTNER","Organisation-first partnership","Low priority / validate"))))</x:f>
      </x:c>
      <x:c r="S721" s="45" t="n">
        <x:v>5.431822021625389</x:v>
      </x:c>
      <x:c r="T721" t="str">
        <x:v>NEAR</x:v>
      </x:c>
      <x:c r="U721" s="32" t="n">
        <x:f>PERCENTRANK.INC($G$2:$G$941,G721)</x:f>
        <x:v>0.448</x:v>
      </x:c>
      <x:c r="V721" s="32" t="n">
        <x:f>PERCENTRANK.INC($H$2:$H$941,H721)</x:f>
        <x:v>0.505</x:v>
      </x:c>
      <x:c r="W721" t="n">
        <x:f>ROUND((U721*55+V721*45)*IF(S721&lt;=5,1,IF(S721&lt;=10,0.95,IF(S721&lt;=20,0.85,0.70))),0)</x:f>
        <x:v>45</x:v>
      </x:c>
      <x:c r="X721" t="n">
        <x:v>62</x:v>
      </x:c>
      <x:c r="Y721" t="str">
        <x:v>PARTNER</x:v>
      </x:c>
      <x:c r="Z721" s="12" t="str">
        <x:v>Family + verified grassroots + straight-line geo only; transport not yet routed</x:v>
      </x:c>
      <x:c r="AA721" s="12"/>
      <x:c r="AB721" s="12"/>
      <x:c r="AC721" s="12"/>
      <x:c r="AD721" s="12"/>
      <x:c r="AE721" t="str">
        <x:v>Crystal Palace Women</x:v>
      </x:c>
      <x:c r="AF721" s="45" t="n">
        <x:v>5.44394040971239</x:v>
      </x:c>
      <x:c r="AG721" t="str">
        <x:v>Dulwich Hamlet Women</x:v>
      </x:c>
      <x:c r="AH721" s="45" t="n">
        <x:v>5.187193474311268</x:v>
      </x:c>
      <x:c r="AI721" t="n">
        <x:v>85</x:v>
      </x:c>
      <x:c r="AJ721" t="str">
        <x:v>HIGH</x:v>
      </x:c>
    </x:row>
    <x:row r="722">
      <x:c r="A722" s="12" t="str">
        <x:v>E01003347</x:v>
      </x:c>
      <x:c r="B722" s="12" t="str">
        <x:v>Lewisham 030A</x:v>
      </x:c>
      <x:c r="C722" s="12" t="str">
        <x:v>Lewisham</x:v>
      </x:c>
      <x:c r="D722" s="44" t="n">
        <x:v>51.434347207102356</x:v>
      </x:c>
      <x:c r="E722" s="44" t="n">
        <x:v>0.0025713581513789638</x:v>
      </x:c>
      <x:c r="F722" s="33" t="n">
        <x:v>654</x:v>
      </x:c>
      <x:c r="G722" s="33" t="n">
        <x:v>310</x:v>
      </x:c>
      <x:c r="H722" s="26" t="n">
        <x:v>0.4740061162079511</x:v>
      </x:c>
      <x:c r="I722" s="12" t="n">
        <x:v>3</x:v>
      </x:c>
      <x:c r="J722" s="12" t="n">
        <x:v>83</x:v>
      </x:c>
      <x:c r="K722" s="12" t="n">
        <x:v>35</x:v>
      </x:c>
      <x:c r="L722" s="12" t="n">
        <x:v>1</x:v>
      </x:c>
      <x:c r="M722" s="12" t="n">
        <x:f>IF(K722="", "", MAX(0,IF(K722&lt;=20,100,IF(K722&lt;=30,85,IF(K722&lt;=40,70,IF(K722&lt;=50,55,IF(K722&lt;=60,40,20)))))-MIN(L722*5,20)))</x:f>
        <x:v>65</x:v>
      </x:c>
      <x:c r="N722" s="12"/>
      <x:c r="O722" s="12"/>
      <x:c r="P722" s="12" t="n">
        <x:f>IF(OR(H722="",J722="",M722=""),"",ROUND(PERCENTRANK.INC($H$2:$H$941,H722)*35+J722*0.35+M722*0.30,0))</x:f>
        <x:v>83</x:v>
      </x:c>
      <x:c r="Q722" s="12" t="str">
        <x:f>IF(P722="","",IF(P722&gt;=80,"ATTACK",IF(P722&gt;=65,"GROW",IF(P722&gt;=50,"PARTNER","WATCH"))))</x:f>
        <x:v>ATTACK</x:v>
      </x:c>
      <x:c r="R722" s="12" t="str">
        <x:f>IF(Q722="","",IF(Q722="ATTACK","Grassroots + family acquisition",IF(Q722="GROW","Test local campaign",IF(Q722="PARTNER","Organisation-first partnership","Low priority / validate"))))</x:f>
        <x:v>Grassroots + family acquisition</x:v>
      </x:c>
      <x:c r="S722" s="45" t="n">
        <x:v>4.93475757173927</x:v>
      </x:c>
      <x:c r="T722" t="str">
        <x:v>CORE</x:v>
      </x:c>
      <x:c r="U722" s="32" t="n">
        <x:f>PERCENTRANK.INC($G$2:$G$941,G722)</x:f>
        <x:v>0.953</x:v>
      </x:c>
      <x:c r="V722" s="32" t="n">
        <x:f>PERCENTRANK.INC($H$2:$H$941,H722)</x:f>
        <x:v>0.989</x:v>
      </x:c>
      <x:c r="W722" t="n">
        <x:f>ROUND((U722*55+V722*45)*IF(S722&lt;=5,1,IF(S722&lt;=10,0.95,IF(S722&lt;=20,0.85,0.70))),0)</x:f>
        <x:v>97</x:v>
      </x:c>
      <x:c r="X722" t="n">
        <x:v>91</x:v>
      </x:c>
      <x:c r="Y722" t="str">
        <x:v>ATTACK</x:v>
      </x:c>
      <x:c r="Z722" s="12" t="str">
        <x:v>Family + verified grassroots + straight-line geo only; transport not yet routed</x:v>
      </x:c>
      <x:c r="AA722" s="12" t="str">
        <x:v>MEDIUM</x:v>
      </x:c>
      <x:c r="AB722" s="12" t="str">
        <x:v>Downham / Lewisham 030A</x:v>
      </x:c>
      <x:c r="AC722" s="12" t="str">
        <x:v>Downham–Hayes Station ~23 min by 638; short final leg to Hayes Lane.</x:v>
      </x:c>
      <x:c r="AD722" s="12" t="str">
        <x:v>Rome2Rio Downham→Hayes Station + local Hayes Lane buses</x:v>
      </x:c>
      <x:c r="AE722" t="str">
        <x:v>Charlton Athletic Women</x:v>
      </x:c>
      <x:c r="AF722" s="45" t="n">
        <x:v>6.238030737082357</x:v>
      </x:c>
      <x:c r="AG722" t="str">
        <x:v>Dulwich Hamlet Women</x:v>
      </x:c>
      <x:c r="AH722" s="45" t="n">
        <x:v>6.706065623127232</x:v>
      </x:c>
      <x:c r="AI722" t="n">
        <x:v>70</x:v>
      </x:c>
      <x:c r="AJ722" t="str">
        <x:v>MEDIUM</x:v>
      </x:c>
    </x:row>
    <x:row r="723">
      <x:c r="A723" s="12" t="str">
        <x:v>E01003348</x:v>
      </x:c>
      <x:c r="B723" s="12" t="str">
        <x:v>Lewisham 030B</x:v>
      </x:c>
      <x:c r="C723" s="12" t="str">
        <x:v>Lewisham</x:v>
      </x:c>
      <x:c r="D723" s="44" t="n">
        <x:v>51.43055092697469</x:v>
      </x:c>
      <x:c r="E723" s="44" t="n">
        <x:v>-0.011003208207244762</x:v>
      </x:c>
      <x:c r="F723" s="33" t="n">
        <x:v>619</x:v>
      </x:c>
      <x:c r="G723" s="33" t="n">
        <x:v>234</x:v>
      </x:c>
      <x:c r="H723" s="26" t="n">
        <x:v>0.3780290791599354</x:v>
      </x:c>
      <x:c r="I723" s="12" t="n">
        <x:v>2</x:v>
      </x:c>
      <x:c r="J723" s="12" t="n">
        <x:v>76</x:v>
      </x:c>
      <x:c r="K723" s="12"/>
      <x:c r="L723" s="12"/>
      <x:c r="M723" s="12" t="str">
        <x:f>IF(K723="", "", MAX(0,IF(K723&lt;=20,100,IF(K723&lt;=30,85,IF(K723&lt;=40,70,IF(K723&lt;=50,55,IF(K723&lt;=60,40,20)))))-MIN(L723*5,20)))</x:f>
      </x:c>
      <x:c r="N723" s="12"/>
      <x:c r="O723" s="12"/>
      <x:c r="P723" s="12" t="str">
        <x:f>IF(OR(H723="",J723="",M723=""),"",ROUND(PERCENTRANK.INC($H$2:$H$941,H723)*35+J723*0.35+M723*0.30,0))</x:f>
      </x:c>
      <x:c r="Q723" s="12" t="str">
        <x:f>IF(P723="","",IF(P723&gt;=80,"ATTACK",IF(P723&gt;=65,"GROW",IF(P723&gt;=50,"PARTNER","WATCH"))))</x:f>
      </x:c>
      <x:c r="R723" s="12" t="str">
        <x:f>IF(Q723="","",IF(Q723="ATTACK","Grassroots + family acquisition",IF(Q723="GROW","Test local campaign",IF(Q723="PARTNER","Organisation-first partnership","Low priority / validate"))))</x:f>
      </x:c>
      <x:c r="S723" s="45" t="n">
        <x:v>4.829358732526205</x:v>
      </x:c>
      <x:c r="T723" t="str">
        <x:v>CORE</x:v>
      </x:c>
      <x:c r="U723" s="32" t="n">
        <x:f>PERCENTRANK.INC($G$2:$G$941,G723)</x:f>
        <x:v>0.658</x:v>
      </x:c>
      <x:c r="V723" s="32" t="n">
        <x:f>PERCENTRANK.INC($H$2:$H$941,H723)</x:f>
        <x:v>0.824</x:v>
      </x:c>
      <x:c r="W723" t="n">
        <x:f>ROUND((U723*55+V723*45)*IF(S723&lt;=5,1,IF(S723&lt;=10,0.95,IF(S723&lt;=20,0.85,0.70))),0)</x:f>
        <x:v>73</x:v>
      </x:c>
      <x:c r="X723" t="n">
        <x:v>75</x:v>
      </x:c>
      <x:c r="Y723" t="str">
        <x:v>GROW</x:v>
      </x:c>
      <x:c r="Z723" s="12" t="str">
        <x:v>Family + verified grassroots + straight-line geo only; transport not yet routed</x:v>
      </x:c>
      <x:c r="AA723" s="12"/>
      <x:c r="AB723" s="12"/>
      <x:c r="AC723" s="12"/>
      <x:c r="AD723" s="12"/>
      <x:c r="AE723" t="str">
        <x:v>Crystal Palace Women</x:v>
      </x:c>
      <x:c r="AF723" s="45" t="n">
        <x:v>6.270385182499279</x:v>
      </x:c>
      <x:c r="AG723" t="str">
        <x:v>Dulwich Hamlet Women</x:v>
      </x:c>
      <x:c r="AH723" s="45" t="n">
        <x:v>6.106055849617325</x:v>
      </x:c>
      <x:c r="AI723" t="n">
        <x:v>70</x:v>
      </x:c>
      <x:c r="AJ723" t="str">
        <x:v>MEDIUM</x:v>
      </x:c>
    </x:row>
    <x:row r="724">
      <x:c r="A724" s="12" t="str">
        <x:v>E01003350</x:v>
      </x:c>
      <x:c r="B724" s="12" t="str">
        <x:v>Lewisham 030C</x:v>
      </x:c>
      <x:c r="C724" s="12" t="str">
        <x:v>Lewisham</x:v>
      </x:c>
      <x:c r="D724" s="44" t="n">
        <x:v>51.43361760834563</x:v>
      </x:c>
      <x:c r="E724" s="44" t="n">
        <x:v>-0.002172382607144924</x:v>
      </x:c>
      <x:c r="F724" s="33" t="n">
        <x:v>475</x:v>
      </x:c>
      <x:c r="G724" s="33" t="n">
        <x:v>172</x:v>
      </x:c>
      <x:c r="H724" s="26" t="n">
        <x:v>0.36210526315789476</x:v>
      </x:c>
      <x:c r="I724" s="12" t="n">
        <x:v>3</x:v>
      </x:c>
      <x:c r="J724" s="12" t="n">
        <x:v>83</x:v>
      </x:c>
      <x:c r="K724" s="12"/>
      <x:c r="L724" s="12"/>
      <x:c r="M724" s="12" t="str">
        <x:f>IF(K724="", "", MAX(0,IF(K724&lt;=20,100,IF(K724&lt;=30,85,IF(K724&lt;=40,70,IF(K724&lt;=50,55,IF(K724&lt;=60,40,20)))))-MIN(L724*5,20)))</x:f>
      </x:c>
      <x:c r="N724" s="12"/>
      <x:c r="O724" s="12"/>
      <x:c r="P724" s="12" t="str">
        <x:f>IF(OR(H724="",J724="",M724=""),"",ROUND(PERCENTRANK.INC($H$2:$H$941,H724)*35+J724*0.35+M724*0.30,0))</x:f>
      </x:c>
      <x:c r="Q724" s="12" t="str">
        <x:f>IF(P724="","",IF(P724&gt;=80,"ATTACK",IF(P724&gt;=65,"GROW",IF(P724&gt;=50,"PARTNER","WATCH"))))</x:f>
      </x:c>
      <x:c r="R724" s="12" t="str">
        <x:f>IF(Q724="","",IF(Q724="ATTACK","Grassroots + family acquisition",IF(Q724="GROW","Test local campaign",IF(Q724="PARTNER","Organisation-first partnership","Low priority / validate"))))</x:f>
      </x:c>
      <x:c r="S724" s="45" t="n">
        <x:v>4.937119488265787</x:v>
      </x:c>
      <x:c r="T724" t="str">
        <x:v>CORE</x:v>
      </x:c>
      <x:c r="U724" s="32" t="n">
        <x:f>PERCENTRANK.INC($G$2:$G$941,G724)</x:f>
        <x:v>0.184</x:v>
      </x:c>
      <x:c r="V724" s="32" t="n">
        <x:f>PERCENTRANK.INC($H$2:$H$941,H724)</x:f>
        <x:v>0.749</x:v>
      </x:c>
      <x:c r="W724" t="n">
        <x:f>ROUND((U724*55+V724*45)*IF(S724&lt;=5,1,IF(S724&lt;=10,0.95,IF(S724&lt;=20,0.85,0.70))),0)</x:f>
        <x:v>44</x:v>
      </x:c>
      <x:c r="X724" t="n">
        <x:v>61</x:v>
      </x:c>
      <x:c r="Y724" t="str">
        <x:v>PARTNER</x:v>
      </x:c>
      <x:c r="Z724" s="12" t="str">
        <x:v>Family + verified grassroots + straight-line geo only; transport not yet routed</x:v>
      </x:c>
      <x:c r="AA724" s="12"/>
      <x:c r="AB724" s="12"/>
      <x:c r="AC724" s="12"/>
      <x:c r="AD724" s="12"/>
      <x:c r="AE724" t="str">
        <x:v>Charlton Athletic Women</x:v>
      </x:c>
      <x:c r="AF724" s="45" t="n">
        <x:v>6.441737385192917</x:v>
      </x:c>
      <x:c r="AG724" t="str">
        <x:v>Dulwich Hamlet Women</x:v>
      </x:c>
      <x:c r="AH724" s="45" t="n">
        <x:v>6.452097867194753</x:v>
      </x:c>
      <x:c r="AI724" t="n">
        <x:v>70</x:v>
      </x:c>
      <x:c r="AJ724" t="str">
        <x:v>MEDIUM</x:v>
      </x:c>
    </x:row>
    <x:row r="725">
      <x:c r="A725" s="12" t="str">
        <x:v>E01003352</x:v>
      </x:c>
      <x:c r="B725" s="12" t="str">
        <x:v>Lewisham 030D</x:v>
      </x:c>
      <x:c r="C725" s="12" t="str">
        <x:v>Lewisham</x:v>
      </x:c>
      <x:c r="D725" s="44" t="n">
        <x:v>51.43072769977312</x:v>
      </x:c>
      <x:c r="E725" s="44" t="n">
        <x:v>-0.01586673953538016</x:v>
      </x:c>
      <x:c r="F725" s="33" t="n">
        <x:v>843</x:v>
      </x:c>
      <x:c r="G725" s="33" t="n">
        <x:v>326</x:v>
      </x:c>
      <x:c r="H725" s="26" t="n">
        <x:v>0.3867141162514828</x:v>
      </x:c>
      <x:c r="I725" s="12" t="n">
        <x:v>2</x:v>
      </x:c>
      <x:c r="J725" s="12" t="n">
        <x:v>76</x:v>
      </x:c>
      <x:c r="K725" s="12"/>
      <x:c r="L725" s="12"/>
      <x:c r="M725" s="12" t="str">
        <x:f>IF(K725="", "", MAX(0,IF(K725&lt;=20,100,IF(K725&lt;=30,85,IF(K725&lt;=40,70,IF(K725&lt;=50,55,IF(K725&lt;=60,40,20)))))-MIN(L725*5,20)))</x:f>
      </x:c>
      <x:c r="N725" s="12"/>
      <x:c r="O725" s="12"/>
      <x:c r="P725" s="12" t="str">
        <x:f>IF(OR(H725="",J725="",M725=""),"",ROUND(PERCENTRANK.INC($H$2:$H$941,H725)*35+J725*0.35+M725*0.30,0))</x:f>
      </x:c>
      <x:c r="Q725" s="12" t="str">
        <x:f>IF(P725="","",IF(P725&gt;=80,"ATTACK",IF(P725&gt;=65,"GROW",IF(P725&gt;=50,"PARTNER","WATCH"))))</x:f>
      </x:c>
      <x:c r="R725" s="12" t="str">
        <x:f>IF(Q725="","",IF(Q725="ATTACK","Grassroots + family acquisition",IF(Q725="GROW","Test local campaign",IF(Q725="PARTNER","Organisation-first partnership","Low priority / validate"))))</x:f>
      </x:c>
      <x:c r="S725" s="45" t="n">
        <x:v>4.9953273031031955</x:v>
      </x:c>
      <x:c r="T725" t="str">
        <x:v>CORE</x:v>
      </x:c>
      <x:c r="U725" s="32" t="n">
        <x:f>PERCENTRANK.INC($G$2:$G$941,G725)</x:f>
        <x:v>0.971</x:v>
      </x:c>
      <x:c r="V725" s="32" t="n">
        <x:f>PERCENTRANK.INC($H$2:$H$941,H725)</x:f>
        <x:v>0.866</x:v>
      </x:c>
      <x:c r="W725" t="n">
        <x:f>ROUND((U725*55+V725*45)*IF(S725&lt;=5,1,IF(S725&lt;=10,0.95,IF(S725&lt;=20,0.85,0.70))),0)</x:f>
        <x:v>92</x:v>
      </x:c>
      <x:c r="X725" t="n">
        <x:v>85</x:v>
      </x:c>
      <x:c r="Y725" t="str">
        <x:v>ATTACK</x:v>
      </x:c>
      <x:c r="Z725" s="12" t="str">
        <x:v>Family + verified grassroots + straight-line geo only; transport not yet routed</x:v>
      </x:c>
      <x:c r="AA725" s="12"/>
      <x:c r="AB725" s="12"/>
      <x:c r="AC725" s="12"/>
      <x:c r="AD725" s="12"/>
      <x:c r="AE725" t="str">
        <x:v>Crystal Palace Women</x:v>
      </x:c>
      <x:c r="AF725" s="45" t="n">
        <x:v>6.0086695619891675</x:v>
      </x:c>
      <x:c r="AG725" t="str">
        <x:v>Dulwich Hamlet Women</x:v>
      </x:c>
      <x:c r="AH725" s="45" t="n">
        <x:v>5.81842037378479</x:v>
      </x:c>
      <x:c r="AI725" t="n">
        <x:v>74</x:v>
      </x:c>
      <x:c r="AJ725" t="str">
        <x:v>MEDIUM</x:v>
      </x:c>
    </x:row>
    <x:row r="726">
      <x:c r="A726" s="12" t="str">
        <x:v>E01003353</x:v>
      </x:c>
      <x:c r="B726" s="12" t="str">
        <x:v>Lewisham 030E</x:v>
      </x:c>
      <x:c r="C726" s="12" t="str">
        <x:v>Lewisham</x:v>
      </x:c>
      <x:c r="D726" s="44" t="n">
        <x:v>51.42798614784038</x:v>
      </x:c>
      <x:c r="E726" s="44" t="n">
        <x:v>-0.0051662490323637015</x:v>
      </x:c>
      <x:c r="F726" s="33" t="n">
        <x:v>627</x:v>
      </x:c>
      <x:c r="G726" s="33" t="n">
        <x:v>235</x:v>
      </x:c>
      <x:c r="H726" s="26" t="n">
        <x:v>0.3748006379585327</x:v>
      </x:c>
      <x:c r="I726" s="12" t="n">
        <x:v>3</x:v>
      </x:c>
      <x:c r="J726" s="12" t="n">
        <x:v>69</x:v>
      </x:c>
      <x:c r="K726" s="12"/>
      <x:c r="L726" s="12"/>
      <x:c r="M726" s="12" t="str">
        <x:f>IF(K726="", "", MAX(0,IF(K726&lt;=20,100,IF(K726&lt;=30,85,IF(K726&lt;=40,70,IF(K726&lt;=50,55,IF(K726&lt;=60,40,20)))))-MIN(L726*5,20)))</x:f>
      </x:c>
      <x:c r="N726" s="12"/>
      <x:c r="O726" s="12"/>
      <x:c r="P726" s="12" t="str">
        <x:f>IF(OR(H726="",J726="",M726=""),"",ROUND(PERCENTRANK.INC($H$2:$H$941,H726)*35+J726*0.35+M726*0.30,0))</x:f>
      </x:c>
      <x:c r="Q726" s="12" t="str">
        <x:f>IF(P726="","",IF(P726&gt;=80,"ATTACK",IF(P726&gt;=65,"GROW",IF(P726&gt;=50,"PARTNER","WATCH"))))</x:f>
      </x:c>
      <x:c r="R726" s="12" t="str">
        <x:f>IF(Q726="","",IF(Q726="ATTACK","Grassroots + family acquisition",IF(Q726="GROW","Test local campaign",IF(Q726="PARTNER","Organisation-first partnership","Low priority / validate"))))</x:f>
      </x:c>
      <x:c r="S726" s="45" t="n">
        <x:v>4.409785930386782</x:v>
      </x:c>
      <x:c r="T726" t="str">
        <x:v>CORE</x:v>
      </x:c>
      <x:c r="U726" s="32" t="n">
        <x:f>PERCENTRANK.INC($G$2:$G$941,G726)</x:f>
        <x:v>0.667</x:v>
      </x:c>
      <x:c r="V726" s="32" t="n">
        <x:f>PERCENTRANK.INC($H$2:$H$941,H726)</x:f>
        <x:v>0.815</x:v>
      </x:c>
      <x:c r="W726" t="n">
        <x:f>ROUND((U726*55+V726*45)*IF(S726&lt;=5,1,IF(S726&lt;=10,0.95,IF(S726&lt;=20,0.85,0.70))),0)</x:f>
        <x:v>73</x:v>
      </x:c>
      <x:c r="X726" t="n">
        <x:v>72</x:v>
      </x:c>
      <x:c r="Y726" t="str">
        <x:v>GROW</x:v>
      </x:c>
      <x:c r="Z726" s="12" t="str">
        <x:v>Family + verified grassroots + straight-line geo only; transport not yet routed</x:v>
      </x:c>
      <x:c r="AA726" s="12"/>
      <x:c r="AB726" s="12"/>
      <x:c r="AC726" s="12"/>
      <x:c r="AD726" s="12"/>
      <x:c r="AE726" t="str">
        <x:v>Crystal Palace Women</x:v>
      </x:c>
      <x:c r="AF726" s="45" t="n">
        <x:v>6.4560765340913795</x:v>
      </x:c>
      <x:c r="AG726" t="str">
        <x:v>Dulwich Hamlet Women</x:v>
      </x:c>
      <x:c r="AH726" s="45" t="n">
        <x:v>6.601039325676033</x:v>
      </x:c>
      <x:c r="AI726" t="n">
        <x:v>70</x:v>
      </x:c>
      <x:c r="AJ726" t="str">
        <x:v>MEDIUM</x:v>
      </x:c>
    </x:row>
    <x:row r="727">
      <x:c r="A727" s="12" t="str">
        <x:v>E01003264</x:v>
      </x:c>
      <x:c r="B727" s="12" t="str">
        <x:v>Lewisham 031A</x:v>
      </x:c>
      <x:c r="C727" s="12" t="str">
        <x:v>Lewisham</x:v>
      </x:c>
      <x:c r="D727" s="44" t="n">
        <x:v>51.43368367282284</x:v>
      </x:c>
      <x:c r="E727" s="44" t="n">
        <x:v>0.026962572964471968</x:v>
      </x:c>
      <x:c r="F727" s="33" t="n">
        <x:v>720</x:v>
      </x:c>
      <x:c r="G727" s="33" t="n">
        <x:v>202</x:v>
      </x:c>
      <x:c r="H727" s="26" t="n">
        <x:v>0.28055555555555556</x:v>
      </x:c>
      <x:c r="I727" s="12" t="n">
        <x:v>4</x:v>
      </x:c>
      <x:c r="J727" s="12" t="n">
        <x:v>69</x:v>
      </x:c>
      <x:c r="K727" s="12"/>
      <x:c r="L727" s="12"/>
      <x:c r="M727" s="12" t="str">
        <x:f>IF(K727="", "", MAX(0,IF(K727&lt;=20,100,IF(K727&lt;=30,85,IF(K727&lt;=40,70,IF(K727&lt;=50,55,IF(K727&lt;=60,40,20)))))-MIN(L727*5,20)))</x:f>
      </x:c>
      <x:c r="N727" s="12"/>
      <x:c r="O727" s="12"/>
      <x:c r="P727" s="12" t="str">
        <x:f>IF(OR(H727="",J727="",M727=""),"",ROUND(PERCENTRANK.INC($H$2:$H$941,H727)*35+J727*0.35+M727*0.30,0))</x:f>
      </x:c>
      <x:c r="Q727" s="12" t="str">
        <x:f>IF(P727="","",IF(P727&gt;=80,"ATTACK",IF(P727&gt;=65,"GROW",IF(P727&gt;=50,"PARTNER","WATCH"))))</x:f>
      </x:c>
      <x:c r="R727" s="12" t="str">
        <x:f>IF(Q727="","",IF(Q727="ATTACK","Grassroots + family acquisition",IF(Q727="GROW","Test local campaign",IF(Q727="PARTNER","Organisation-first partnership","Low priority / validate"))))</x:f>
      </x:c>
      <x:c r="S727" s="45" t="n">
        <x:v>4.791160706382425</x:v>
      </x:c>
      <x:c r="T727" t="str">
        <x:v>CORE</x:v>
      </x:c>
      <x:c r="U727" s="32" t="n">
        <x:f>PERCENTRANK.INC($G$2:$G$941,G727)</x:f>
        <x:v>0.41</x:v>
      </x:c>
      <x:c r="V727" s="32" t="n">
        <x:f>PERCENTRANK.INC($H$2:$H$941,H727)</x:f>
        <x:v>0.297</x:v>
      </x:c>
      <x:c r="W727" t="n">
        <x:f>ROUND((U727*55+V727*45)*IF(S727&lt;=5,1,IF(S727&lt;=10,0.95,IF(S727&lt;=20,0.85,0.70))),0)</x:f>
        <x:v>36</x:v>
      </x:c>
      <x:c r="X727" t="n">
        <x:v>51</x:v>
      </x:c>
      <x:c r="Y727" t="str">
        <x:v>PARTNER</x:v>
      </x:c>
      <x:c r="Z727" s="12" t="str">
        <x:v>Family + verified grassroots + straight-line geo only; transport not yet routed</x:v>
      </x:c>
      <x:c r="AA727" s="12"/>
      <x:c r="AB727" s="12"/>
      <x:c r="AC727" s="12"/>
      <x:c r="AD727" s="12"/>
      <x:c r="AE727" t="str">
        <x:v>Charlton Athletic Women</x:v>
      </x:c>
      <x:c r="AF727" s="45" t="n">
        <x:v>5.89625371720546</x:v>
      </x:c>
      <x:c r="AG727" t="str">
        <x:v>Dulwich Hamlet Women</x:v>
      </x:c>
      <x:c r="AH727" s="45" t="n">
        <x:v>8.27974566815537</x:v>
      </x:c>
      <x:c r="AI727" t="n">
        <x:v>81</x:v>
      </x:c>
      <x:c r="AJ727" t="str">
        <x:v>HIGH</x:v>
      </x:c>
    </x:row>
    <x:row r="728">
      <x:c r="A728" s="12" t="str">
        <x:v>E01003265</x:v>
      </x:c>
      <x:c r="B728" s="12" t="str">
        <x:v>Lewisham 031B</x:v>
      </x:c>
      <x:c r="C728" s="12" t="str">
        <x:v>Lewisham</x:v>
      </x:c>
      <x:c r="D728" s="44" t="n">
        <x:v>51.430076362447096</x:v>
      </x:c>
      <x:c r="E728" s="44" t="n">
        <x:v>0.025234294005439167</x:v>
      </x:c>
      <x:c r="F728" s="33" t="n">
        <x:v>665</x:v>
      </x:c>
      <x:c r="G728" s="33" t="n">
        <x:v>240</x:v>
      </x:c>
      <x:c r="H728" s="26" t="n">
        <x:v>0.3609022556390977</x:v>
      </x:c>
      <x:c r="I728" s="12" t="n">
        <x:v>4</x:v>
      </x:c>
      <x:c r="J728" s="12" t="n">
        <x:v>69</x:v>
      </x:c>
      <x:c r="K728" s="12"/>
      <x:c r="L728" s="12"/>
      <x:c r="M728" s="12" t="str">
        <x:f>IF(K728="", "", MAX(0,IF(K728&lt;=20,100,IF(K728&lt;=30,85,IF(K728&lt;=40,70,IF(K728&lt;=50,55,IF(K728&lt;=60,40,20)))))-MIN(L728*5,20)))</x:f>
      </x:c>
      <x:c r="N728" s="12"/>
      <x:c r="O728" s="12"/>
      <x:c r="P728" s="12" t="str">
        <x:f>IF(OR(H728="",J728="",M728=""),"",ROUND(PERCENTRANK.INC($H$2:$H$941,H728)*35+J728*0.35+M728*0.30,0))</x:f>
      </x:c>
      <x:c r="Q728" s="12" t="str">
        <x:f>IF(P728="","",IF(P728&gt;=80,"ATTACK",IF(P728&gt;=65,"GROW",IF(P728&gt;=50,"PARTNER","WATCH"))))</x:f>
      </x:c>
      <x:c r="R728" s="12" t="str">
        <x:f>IF(Q728="","",IF(Q728="ATTACK","Grassroots + family acquisition",IF(Q728="GROW","Test local campaign",IF(Q728="PARTNER","Organisation-first partnership","Low priority / validate"))))</x:f>
      </x:c>
      <x:c r="S728" s="45" t="n">
        <x:v>4.378091713721688</x:v>
      </x:c>
      <x:c r="T728" t="str">
        <x:v>CORE</x:v>
      </x:c>
      <x:c r="U728" s="32" t="n">
        <x:f>PERCENTRANK.INC($G$2:$G$941,G728)</x:f>
        <x:v>0.708</x:v>
      </x:c>
      <x:c r="V728" s="32" t="n">
        <x:f>PERCENTRANK.INC($H$2:$H$941,H728)</x:f>
        <x:v>0.736</x:v>
      </x:c>
      <x:c r="W728" t="n">
        <x:f>ROUND((U728*55+V728*45)*IF(S728&lt;=5,1,IF(S728&lt;=10,0.95,IF(S728&lt;=20,0.85,0.70))),0)</x:f>
        <x:v>72</x:v>
      </x:c>
      <x:c r="X728" t="n">
        <x:v>71</x:v>
      </x:c>
      <x:c r="Y728" t="str">
        <x:v>GROW</x:v>
      </x:c>
      <x:c r="Z728" s="12" t="str">
        <x:v>Family + verified grassroots + straight-line geo only; transport not yet routed</x:v>
      </x:c>
      <x:c r="AA728" s="12"/>
      <x:c r="AB728" s="12"/>
      <x:c r="AC728" s="12"/>
      <x:c r="AD728" s="12"/>
      <x:c r="AE728" t="str">
        <x:v>Charlton Athletic Women</x:v>
      </x:c>
      <x:c r="AF728" s="45" t="n">
        <x:v>6.308408962607812</x:v>
      </x:c>
      <x:c r="AG728" t="str">
        <x:v>Dulwich Hamlet Women</x:v>
      </x:c>
      <x:c r="AH728" s="45" t="n">
        <x:v>8.328118244370856</x:v>
      </x:c>
      <x:c r="AI728" t="n">
        <x:v>70</x:v>
      </x:c>
      <x:c r="AJ728" t="str">
        <x:v>MEDIUM</x:v>
      </x:c>
    </x:row>
    <x:row r="729">
      <x:c r="A729" s="12" t="str">
        <x:v>E01003266</x:v>
      </x:c>
      <x:c r="B729" s="12" t="str">
        <x:v>Lewisham 031C</x:v>
      </x:c>
      <x:c r="C729" s="12" t="str">
        <x:v>Lewisham</x:v>
      </x:c>
      <x:c r="D729" s="44" t="n">
        <x:v>51.43031807440965</x:v>
      </x:c>
      <x:c r="E729" s="44" t="n">
        <x:v>0.03512193310180015</x:v>
      </x:c>
      <x:c r="F729" s="33" t="n">
        <x:v>732</x:v>
      </x:c>
      <x:c r="G729" s="33" t="n">
        <x:v>225</x:v>
      </x:c>
      <x:c r="H729" s="26" t="n">
        <x:v>0.3073770491803279</x:v>
      </x:c>
      <x:c r="I729" s="12" t="n">
        <x:v>4</x:v>
      </x:c>
      <x:c r="J729" s="12" t="n">
        <x:v>70</x:v>
      </x:c>
      <x:c r="K729" s="12"/>
      <x:c r="L729" s="12"/>
      <x:c r="M729" s="12" t="str">
        <x:f>IF(K729="", "", MAX(0,IF(K729&lt;=20,100,IF(K729&lt;=30,85,IF(K729&lt;=40,70,IF(K729&lt;=50,55,IF(K729&lt;=60,40,20)))))-MIN(L729*5,20)))</x:f>
      </x:c>
      <x:c r="N729" s="12"/>
      <x:c r="O729" s="12"/>
      <x:c r="P729" s="12" t="str">
        <x:f>IF(OR(H729="",J729="",M729=""),"",ROUND(PERCENTRANK.INC($H$2:$H$941,H729)*35+J729*0.35+M729*0.30,0))</x:f>
      </x:c>
      <x:c r="Q729" s="12" t="str">
        <x:f>IF(P729="","",IF(P729&gt;=80,"ATTACK",IF(P729&gt;=65,"GROW",IF(P729&gt;=50,"PARTNER","WATCH"))))</x:f>
      </x:c>
      <x:c r="R729" s="12" t="str">
        <x:f>IF(Q729="","",IF(Q729="ATTACK","Grassroots + family acquisition",IF(Q729="GROW","Test local campaign",IF(Q729="PARTNER","Organisation-first partnership","Low priority / validate"))))</x:f>
      </x:c>
      <x:c r="S729" s="45" t="n">
        <x:v>4.537410733072906</x:v>
      </x:c>
      <x:c r="T729" t="str">
        <x:v>CORE</x:v>
      </x:c>
      <x:c r="U729" s="32" t="n">
        <x:f>PERCENTRANK.INC($G$2:$G$941,G729)</x:f>
        <x:v>0.586</x:v>
      </x:c>
      <x:c r="V729" s="32" t="n">
        <x:f>PERCENTRANK.INC($H$2:$H$941,H729)</x:f>
        <x:v>0.432</x:v>
      </x:c>
      <x:c r="W729" t="n">
        <x:f>ROUND((U729*55+V729*45)*IF(S729&lt;=5,1,IF(S729&lt;=10,0.95,IF(S729&lt;=20,0.85,0.70))),0)</x:f>
        <x:v>52</x:v>
      </x:c>
      <x:c r="X729" t="n">
        <x:v>60</x:v>
      </x:c>
      <x:c r="Y729" t="str">
        <x:v>PARTNER</x:v>
      </x:c>
      <x:c r="Z729" s="12" t="str">
        <x:v>Family + verified grassroots + straight-line geo only; transport not yet routed</x:v>
      </x:c>
      <x:c r="AA729" s="12"/>
      <x:c r="AB729" s="12"/>
      <x:c r="AC729" s="12"/>
      <x:c r="AD729" s="12"/>
      <x:c r="AE729" t="str">
        <x:v>Charlton Athletic Women</x:v>
      </x:c>
      <x:c r="AF729" s="45" t="n">
        <x:v>6.236440989685316</x:v>
      </x:c>
      <x:c r="AG729" t="str">
        <x:v>Dulwich Hamlet Women</x:v>
      </x:c>
      <x:c r="AH729" s="45" t="n">
        <x:v>8.94504122651139</x:v>
      </x:c>
      <x:c r="AI729" t="n">
        <x:v>70</x:v>
      </x:c>
      <x:c r="AJ729" t="str">
        <x:v>MEDIUM</x:v>
      </x:c>
    </x:row>
    <x:row r="730">
      <x:c r="A730" s="12" t="str">
        <x:v>E01003267</x:v>
      </x:c>
      <x:c r="B730" s="12" t="str">
        <x:v>Lewisham 031D</x:v>
      </x:c>
      <x:c r="C730" s="12" t="str">
        <x:v>Lewisham</x:v>
      </x:c>
      <x:c r="D730" s="44" t="n">
        <x:v>51.427222850420286</x:v>
      </x:c>
      <x:c r="E730" s="44" t="n">
        <x:v>0.03452532350957016</x:v>
      </x:c>
      <x:c r="F730" s="33" t="n">
        <x:v>609</x:v>
      </x:c>
      <x:c r="G730" s="33" t="n">
        <x:v>228</x:v>
      </x:c>
      <x:c r="H730" s="26" t="n">
        <x:v>0.37438423645320196</x:v>
      </x:c>
      <x:c r="I730" s="12" t="n">
        <x:v>4</x:v>
      </x:c>
      <x:c r="J730" s="12" t="n">
        <x:v>77</x:v>
      </x:c>
      <x:c r="K730" s="12"/>
      <x:c r="L730" s="12"/>
      <x:c r="M730" s="12" t="str">
        <x:f>IF(K730="", "", MAX(0,IF(K730&lt;=20,100,IF(K730&lt;=30,85,IF(K730&lt;=40,70,IF(K730&lt;=50,55,IF(K730&lt;=60,40,20)))))-MIN(L730*5,20)))</x:f>
      </x:c>
      <x:c r="N730" s="12"/>
      <x:c r="O730" s="12"/>
      <x:c r="P730" s="12" t="str">
        <x:f>IF(OR(H730="",J730="",M730=""),"",ROUND(PERCENTRANK.INC($H$2:$H$941,H730)*35+J730*0.35+M730*0.30,0))</x:f>
      </x:c>
      <x:c r="Q730" s="12" t="str">
        <x:f>IF(P730="","",IF(P730&gt;=80,"ATTACK",IF(P730&gt;=65,"GROW",IF(P730&gt;=50,"PARTNER","WATCH"))))</x:f>
      </x:c>
      <x:c r="R730" s="12" t="str">
        <x:f>IF(Q730="","",IF(Q730="ATTACK","Grassroots + family acquisition",IF(Q730="GROW","Test local campaign",IF(Q730="PARTNER","Organisation-first partnership","Low priority / validate"))))</x:f>
      </x:c>
      <x:c r="S730" s="45" t="n">
        <x:v>4.194967618528931</x:v>
      </x:c>
      <x:c r="T730" t="str">
        <x:v>CORE</x:v>
      </x:c>
      <x:c r="U730" s="32" t="n">
        <x:f>PERCENTRANK.INC($G$2:$G$941,G730)</x:f>
        <x:v>0.616</x:v>
      </x:c>
      <x:c r="V730" s="32" t="n">
        <x:f>PERCENTRANK.INC($H$2:$H$941,H730)</x:f>
        <x:v>0.814</x:v>
      </x:c>
      <x:c r="W730" t="n">
        <x:f>ROUND((U730*55+V730*45)*IF(S730&lt;=5,1,IF(S730&lt;=10,0.95,IF(S730&lt;=20,0.85,0.70))),0)</x:f>
        <x:v>71</x:v>
      </x:c>
      <x:c r="X730" t="n">
        <x:v>74</x:v>
      </x:c>
      <x:c r="Y730" t="str">
        <x:v>GROW</x:v>
      </x:c>
      <x:c r="Z730" s="12" t="str">
        <x:v>Family + verified grassroots + straight-line geo only; transport not yet routed</x:v>
      </x:c>
      <x:c r="AA730" s="12"/>
      <x:c r="AB730" s="12"/>
      <x:c r="AC730" s="12"/>
      <x:c r="AD730" s="12"/>
      <x:c r="AE730" t="str">
        <x:v>Charlton Athletic Women</x:v>
      </x:c>
      <x:c r="AF730" s="45" t="n">
        <x:v>6.581170670804541</x:v>
      </x:c>
      <x:c r="AG730" t="str">
        <x:v>Dulwich Hamlet Women</x:v>
      </x:c>
      <x:c r="AH730" s="45" t="n">
        <x:v>9.04593009479921</x:v>
      </x:c>
      <x:c r="AI730" t="n">
        <x:v>70</x:v>
      </x:c>
      <x:c r="AJ730" t="str">
        <x:v>MEDIUM</x:v>
      </x:c>
    </x:row>
    <x:row r="731">
      <x:c r="A731" s="12" t="str">
        <x:v>E01003329</x:v>
      </x:c>
      <x:c r="B731" s="12" t="str">
        <x:v>Lewisham 033A</x:v>
      </x:c>
      <x:c r="C731" s="12" t="str">
        <x:v>Lewisham</x:v>
      </x:c>
      <x:c r="D731" s="44" t="n">
        <x:v>51.430555648616775</x:v>
      </x:c>
      <x:c r="E731" s="44" t="n">
        <x:v>-0.056096990742116416</x:v>
      </x:c>
      <x:c r="F731" s="33" t="n">
        <x:v>657</x:v>
      </x:c>
      <x:c r="G731" s="33" t="n">
        <x:v>240</x:v>
      </x:c>
      <x:c r="H731" s="26" t="n">
        <x:v>0.365296803652968</x:v>
      </x:c>
      <x:c r="I731" s="12" t="n">
        <x:v>2</x:v>
      </x:c>
      <x:c r="J731" s="12" t="n">
        <x:v>60</x:v>
      </x:c>
      <x:c r="K731" s="12"/>
      <x:c r="L731" s="12"/>
      <x:c r="M731" s="12" t="str">
        <x:f>IF(K731="", "", MAX(0,IF(K731&lt;=20,100,IF(K731&lt;=30,85,IF(K731&lt;=40,70,IF(K731&lt;=50,55,IF(K731&lt;=60,40,20)))))-MIN(L731*5,20)))</x:f>
      </x:c>
      <x:c r="N731" s="12"/>
      <x:c r="O731" s="12"/>
      <x:c r="P731" s="12" t="str">
        <x:f>IF(OR(H731="",J731="",M731=""),"",ROUND(PERCENTRANK.INC($H$2:$H$941,H731)*35+J731*0.35+M731*0.30,0))</x:f>
      </x:c>
      <x:c r="Q731" s="12" t="str">
        <x:f>IF(P731="","",IF(P731&gt;=80,"ATTACK",IF(P731&gt;=65,"GROW",IF(P731&gt;=50,"PARTNER","WATCH"))))</x:f>
      </x:c>
      <x:c r="R731" s="12" t="str">
        <x:f>IF(Q731="","",IF(Q731="ATTACK","Grassroots + family acquisition",IF(Q731="GROW","Test local campaign",IF(Q731="PARTNER","Organisation-first partnership","Low priority / validate"))))</x:f>
      </x:c>
      <x:c r="S731" s="45" t="n">
        <x:v>6.750203180130726</x:v>
      </x:c>
      <x:c r="T731" t="str">
        <x:v>NEAR</x:v>
      </x:c>
      <x:c r="U731" s="32" t="n">
        <x:f>PERCENTRANK.INC($G$2:$G$941,G731)</x:f>
        <x:v>0.708</x:v>
      </x:c>
      <x:c r="V731" s="32" t="n">
        <x:f>PERCENTRANK.INC($H$2:$H$941,H731)</x:f>
        <x:v>0.773</x:v>
      </x:c>
      <x:c r="W731" t="n">
        <x:f>ROUND((U731*55+V731*45)*IF(S731&lt;=5,1,IF(S731&lt;=10,0.95,IF(S731&lt;=20,0.85,0.70))),0)</x:f>
        <x:v>70</x:v>
      </x:c>
      <x:c r="X731" t="n">
        <x:v>66</x:v>
      </x:c>
      <x:c r="Y731" t="str">
        <x:v>GROW</x:v>
      </x:c>
      <x:c r="Z731" s="12" t="str">
        <x:v>Family + verified grassroots + straight-line geo only; transport not yet routed</x:v>
      </x:c>
      <x:c r="AA731" s="12"/>
      <x:c r="AB731" s="12"/>
      <x:c r="AC731" s="12"/>
      <x:c r="AD731" s="12"/>
      <x:c r="AE731" t="str">
        <x:v>Crystal Palace Women</x:v>
      </x:c>
      <x:c r="AF731" s="45" t="n">
        <x:v>4.115790878485473</x:v>
      </x:c>
      <x:c r="AG731" t="str">
        <x:v>Dulwich Hamlet Women</x:v>
      </x:c>
      <x:c r="AH731" s="45" t="n">
        <x:v>3.9288950311715203</x:v>
      </x:c>
      <x:c r="AI731" t="n">
        <x:v>85</x:v>
      </x:c>
      <x:c r="AJ731" t="str">
        <x:v>HIGH</x:v>
      </x:c>
    </x:row>
    <x:row r="732">
      <x:c r="A732" s="12" t="str">
        <x:v>E01003330</x:v>
      </x:c>
      <x:c r="B732" s="12" t="str">
        <x:v>Lewisham 033B</x:v>
      </x:c>
      <x:c r="C732" s="12" t="str">
        <x:v>Lewisham</x:v>
      </x:c>
      <x:c r="D732" s="44" t="n">
        <x:v>51.428351828710504</x:v>
      </x:c>
      <x:c r="E732" s="44" t="n">
        <x:v>-0.07200296486435698</x:v>
      </x:c>
      <x:c r="F732" s="33" t="n">
        <x:v>667</x:v>
      </x:c>
      <x:c r="G732" s="33" t="n">
        <x:v>261</x:v>
      </x:c>
      <x:c r="H732" s="26" t="n">
        <x:v>0.391304347826087</x:v>
      </x:c>
      <x:c r="I732" s="12" t="n">
        <x:v>3</x:v>
      </x:c>
      <x:c r="J732" s="12" t="n">
        <x:v>83</x:v>
      </x:c>
      <x:c r="K732" s="12"/>
      <x:c r="L732" s="12"/>
      <x:c r="M732" s="12" t="str">
        <x:f>IF(K732="", "", MAX(0,IF(K732&lt;=20,100,IF(K732&lt;=30,85,IF(K732&lt;=40,70,IF(K732&lt;=50,55,IF(K732&lt;=60,40,20)))))-MIN(L732*5,20)))</x:f>
      </x:c>
      <x:c r="N732" s="12"/>
      <x:c r="O732" s="12"/>
      <x:c r="P732" s="12" t="str">
        <x:f>IF(OR(H732="",J732="",M732=""),"",ROUND(PERCENTRANK.INC($H$2:$H$941,H732)*35+J732*0.35+M732*0.30,0))</x:f>
      </x:c>
      <x:c r="Q732" s="12" t="str">
        <x:f>IF(P732="","",IF(P732&gt;=80,"ATTACK",IF(P732&gt;=65,"GROW",IF(P732&gt;=50,"PARTNER","WATCH"))))</x:f>
      </x:c>
      <x:c r="R732" s="12" t="str">
        <x:f>IF(Q732="","",IF(Q732="ATTACK","Grassroots + family acquisition",IF(Q732="GROW","Test local campaign",IF(Q732="PARTNER","Organisation-first partnership","Low priority / validate"))))</x:f>
      </x:c>
      <x:c r="S732" s="45" t="n">
        <x:v>7.482098836333477</x:v>
      </x:c>
      <x:c r="T732" t="str">
        <x:v>NEAR</x:v>
      </x:c>
      <x:c r="U732" s="32" t="n">
        <x:f>PERCENTRANK.INC($G$2:$G$941,G732)</x:f>
        <x:v>0.832</x:v>
      </x:c>
      <x:c r="V732" s="32" t="n">
        <x:f>PERCENTRANK.INC($H$2:$H$941,H732)</x:f>
        <x:v>0.877</x:v>
      </x:c>
      <x:c r="W732" t="n">
        <x:f>ROUND((U732*55+V732*45)*IF(S732&lt;=5,1,IF(S732&lt;=10,0.95,IF(S732&lt;=20,0.85,0.70))),0)</x:f>
        <x:v>81</x:v>
      </x:c>
      <x:c r="X732" t="n">
        <x:v>82</x:v>
      </x:c>
      <x:c r="Y732" t="str">
        <x:v>ATTACK</x:v>
      </x:c>
      <x:c r="Z732" s="12" t="str">
        <x:v>Family + verified grassroots + straight-line geo only; transport not yet routed</x:v>
      </x:c>
      <x:c r="AA732" s="12"/>
      <x:c r="AB732" s="12"/>
      <x:c r="AC732" s="12"/>
      <x:c r="AD732" s="12"/>
      <x:c r="AE732" t="str">
        <x:v>Crystal Palace Women</x:v>
      </x:c>
      <x:c r="AF732" s="45" t="n">
        <x:v>3.4659191619836527</x:v>
      </x:c>
      <x:c r="AG732" t="str">
        <x:v>Dulwich Hamlet Women</x:v>
      </x:c>
      <x:c r="AH732" s="45" t="n">
        <x:v>3.758698093354873</x:v>
      </x:c>
      <x:c r="AI732" t="n">
        <x:v>85</x:v>
      </x:c>
      <x:c r="AJ732" t="str">
        <x:v>HIGH</x:v>
      </x:c>
    </x:row>
    <x:row r="733">
      <x:c r="A733" s="12" t="str">
        <x:v>E01003331</x:v>
      </x:c>
      <x:c r="B733" s="12" t="str">
        <x:v>Lewisham 033C</x:v>
      </x:c>
      <x:c r="C733" s="12" t="str">
        <x:v>Lewisham</x:v>
      </x:c>
      <x:c r="D733" s="44" t="n">
        <x:v>51.42882904204514</x:v>
      </x:c>
      <x:c r="E733" s="44" t="n">
        <x:v>-0.06228126643943312</x:v>
      </x:c>
      <x:c r="F733" s="33" t="n">
        <x:v>587</x:v>
      </x:c>
      <x:c r="G733" s="33" t="n">
        <x:v>177</x:v>
      </x:c>
      <x:c r="H733" s="26" t="n">
        <x:v>0.30153321976149916</x:v>
      </x:c>
      <x:c r="I733" s="12" t="n">
        <x:v>2</x:v>
      </x:c>
      <x:c r="J733" s="12" t="n">
        <x:v>68</x:v>
      </x:c>
      <x:c r="K733" s="12"/>
      <x:c r="L733" s="12"/>
      <x:c r="M733" s="12" t="str">
        <x:f>IF(K733="", "", MAX(0,IF(K733&lt;=20,100,IF(K733&lt;=30,85,IF(K733&lt;=40,70,IF(K733&lt;=50,55,IF(K733&lt;=60,40,20)))))-MIN(L733*5,20)))</x:f>
      </x:c>
      <x:c r="N733" s="12"/>
      <x:c r="O733" s="12"/>
      <x:c r="P733" s="12" t="str">
        <x:f>IF(OR(H733="",J733="",M733=""),"",ROUND(PERCENTRANK.INC($H$2:$H$941,H733)*35+J733*0.35+M733*0.30,0))</x:f>
      </x:c>
      <x:c r="Q733" s="12" t="str">
        <x:f>IF(P733="","",IF(P733&gt;=80,"ATTACK",IF(P733&gt;=65,"GROW",IF(P733&gt;=50,"PARTNER","WATCH"))))</x:f>
      </x:c>
      <x:c r="R733" s="12" t="str">
        <x:f>IF(Q733="","",IF(Q733="ATTACK","Grassroots + family acquisition",IF(Q733="GROW","Test local campaign",IF(Q733="PARTNER","Organisation-first partnership","Low priority / validate"))))</x:f>
      </x:c>
      <x:c r="S733" s="45" t="n">
        <x:v>6.963394783191994</x:v>
      </x:c>
      <x:c r="T733" t="str">
        <x:v>NEAR</x:v>
      </x:c>
      <x:c r="U733" s="32" t="n">
        <x:f>PERCENTRANK.INC($G$2:$G$941,G733)</x:f>
        <x:v>0.202</x:v>
      </x:c>
      <x:c r="V733" s="32" t="n">
        <x:f>PERCENTRANK.INC($H$2:$H$941,H733)</x:f>
        <x:v>0.402</x:v>
      </x:c>
      <x:c r="W733" t="n">
        <x:f>ROUND((U733*55+V733*45)*IF(S733&lt;=5,1,IF(S733&lt;=10,0.95,IF(S733&lt;=20,0.85,0.70))),0)</x:f>
        <x:v>28</x:v>
      </x:c>
      <x:c r="X733" t="n">
        <x:v>46</x:v>
      </x:c>
      <x:c r="Y733" t="str">
        <x:v>WATCH</x:v>
      </x:c>
      <x:c r="Z733" s="12" t="str">
        <x:v>Family + verified grassroots + straight-line geo only; transport not yet routed</x:v>
      </x:c>
      <x:c r="AA733" s="12"/>
      <x:c r="AB733" s="12"/>
      <x:c r="AC733" s="12"/>
      <x:c r="AD733" s="12"/>
      <x:c r="AE733" t="str">
        <x:v>Crystal Palace Women</x:v>
      </x:c>
      <x:c r="AF733" s="45" t="n">
        <x:v>3.7489074329401455</x:v>
      </x:c>
      <x:c r="AG733" t="str">
        <x:v>Dulwich Hamlet Women</x:v>
      </x:c>
      <x:c r="AH733" s="45" t="n">
        <x:v>3.9133122439047097</x:v>
      </x:c>
      <x:c r="AI733" t="n">
        <x:v>85</x:v>
      </x:c>
      <x:c r="AJ733" t="str">
        <x:v>HIGH</x:v>
      </x:c>
    </x:row>
    <x:row r="734">
      <x:c r="A734" s="12" t="str">
        <x:v>E01003332</x:v>
      </x:c>
      <x:c r="B734" s="12" t="str">
        <x:v>Lewisham 033D</x:v>
      </x:c>
      <x:c r="C734" s="12" t="str">
        <x:v>Lewisham</x:v>
      </x:c>
      <x:c r="D734" s="44" t="n">
        <x:v>51.427010281090844</x:v>
      </x:c>
      <x:c r="E734" s="44" t="n">
        <x:v>-0.06600408292345096</x:v>
      </x:c>
      <x:c r="F734" s="33" t="n">
        <x:v>708</x:v>
      </x:c>
      <x:c r="G734" s="33" t="n">
        <x:v>201</x:v>
      </x:c>
      <x:c r="H734" s="26" t="n">
        <x:v>0.2838983050847458</x:v>
      </x:c>
      <x:c r="I734" s="12" t="n">
        <x:v>3</x:v>
      </x:c>
      <x:c r="J734" s="12" t="n">
        <x:v>83</x:v>
      </x:c>
      <x:c r="K734" s="12"/>
      <x:c r="L734" s="12"/>
      <x:c r="M734" s="12" t="str">
        <x:f>IF(K734="", "", MAX(0,IF(K734&lt;=20,100,IF(K734&lt;=30,85,IF(K734&lt;=40,70,IF(K734&lt;=50,55,IF(K734&lt;=60,40,20)))))-MIN(L734*5,20)))</x:f>
      </x:c>
      <x:c r="N734" s="12"/>
      <x:c r="O734" s="12"/>
      <x:c r="P734" s="12" t="str">
        <x:f>IF(OR(H734="",J734="",M734=""),"",ROUND(PERCENTRANK.INC($H$2:$H$941,H734)*35+J734*0.35+M734*0.30,0))</x:f>
      </x:c>
      <x:c r="Q734" s="12" t="str">
        <x:f>IF(P734="","",IF(P734&gt;=80,"ATTACK",IF(P734&gt;=65,"GROW",IF(P734&gt;=50,"PARTNER","WATCH"))))</x:f>
      </x:c>
      <x:c r="R734" s="12" t="str">
        <x:f>IF(Q734="","",IF(Q734="ATTACK","Grassroots + family acquisition",IF(Q734="GROW","Test local campaign",IF(Q734="PARTNER","Organisation-first partnership","Low priority / validate"))))</x:f>
      </x:c>
      <x:c r="S734" s="45" t="n">
        <x:v>7.0541265480719355</x:v>
      </x:c>
      <x:c r="T734" t="str">
        <x:v>NEAR</x:v>
      </x:c>
      <x:c r="U734" s="32" t="n">
        <x:f>PERCENTRANK.INC($G$2:$G$941,G734)</x:f>
        <x:v>0.396</x:v>
      </x:c>
      <x:c r="V734" s="32" t="n">
        <x:f>PERCENTRANK.INC($H$2:$H$941,H734)</x:f>
        <x:v>0.309</x:v>
      </x:c>
      <x:c r="W734" t="n">
        <x:f>ROUND((U734*55+V734*45)*IF(S734&lt;=5,1,IF(S734&lt;=10,0.95,IF(S734&lt;=20,0.85,0.70))),0)</x:f>
        <x:v>34</x:v>
      </x:c>
      <x:c r="X734" t="n">
        <x:v>56</x:v>
      </x:c>
      <x:c r="Y734" t="str">
        <x:v>PARTNER</x:v>
      </x:c>
      <x:c r="Z734" s="12" t="str">
        <x:v>Family + verified grassroots + straight-line geo only; transport not yet routed</x:v>
      </x:c>
      <x:c r="AA734" s="12"/>
      <x:c r="AB734" s="12"/>
      <x:c r="AC734" s="12"/>
      <x:c r="AD734" s="12"/>
      <x:c r="AE734" t="str">
        <x:v>Crystal Palace Women</x:v>
      </x:c>
      <x:c r="AF734" s="45" t="n">
        <x:v>3.459627469596522</x:v>
      </x:c>
      <x:c r="AG734" t="str">
        <x:v>Dulwich Hamlet Women</x:v>
      </x:c>
      <x:c r="AH734" s="45" t="n">
        <x:v>4.013335085133422</x:v>
      </x:c>
      <x:c r="AI734" t="n">
        <x:v>85</x:v>
      </x:c>
      <x:c r="AJ734" t="str">
        <x:v>HIGH</x:v>
      </x:c>
    </x:row>
    <x:row r="735">
      <x:c r="A735" s="12" t="str">
        <x:v>E01003334</x:v>
      </x:c>
      <x:c r="B735" s="12" t="str">
        <x:v>Lewisham 033E</x:v>
      </x:c>
      <x:c r="C735" s="12" t="str">
        <x:v>Lewisham</x:v>
      </x:c>
      <x:c r="D735" s="44" t="n">
        <x:v>51.42756415786899</x:v>
      </x:c>
      <x:c r="E735" s="44" t="n">
        <x:v>-0.05481593256194902</x:v>
      </x:c>
      <x:c r="F735" s="33" t="n">
        <x:v>792</x:v>
      </x:c>
      <x:c r="G735" s="33" t="n">
        <x:v>203</x:v>
      </x:c>
      <x:c r="H735" s="26" t="n">
        <x:v>0.2563131313131313</x:v>
      </x:c>
      <x:c r="I735" s="12" t="n">
        <x:v>2</x:v>
      </x:c>
      <x:c r="J735" s="12" t="n">
        <x:v>68</x:v>
      </x:c>
      <x:c r="K735" s="12"/>
      <x:c r="L735" s="12"/>
      <x:c r="M735" s="12" t="str">
        <x:f>IF(K735="", "", MAX(0,IF(K735&lt;=20,100,IF(K735&lt;=30,85,IF(K735&lt;=40,70,IF(K735&lt;=50,55,IF(K735&lt;=60,40,20)))))-MIN(L735*5,20)))</x:f>
      </x:c>
      <x:c r="N735" s="12"/>
      <x:c r="O735" s="12"/>
      <x:c r="P735" s="12" t="str">
        <x:f>IF(OR(H735="",J735="",M735=""),"",ROUND(PERCENTRANK.INC($H$2:$H$941,H735)*35+J735*0.35+M735*0.30,0))</x:f>
      </x:c>
      <x:c r="Q735" s="12" t="str">
        <x:f>IF(P735="","",IF(P735&gt;=80,"ATTACK",IF(P735&gt;=65,"GROW",IF(P735&gt;=50,"PARTNER","WATCH"))))</x:f>
      </x:c>
      <x:c r="R735" s="12" t="str">
        <x:f>IF(Q735="","",IF(Q735="ATTACK","Grassroots + family acquisition",IF(Q735="GROW","Test local campaign",IF(Q735="PARTNER","Organisation-first partnership","Low priority / validate"))))</x:f>
      </x:c>
      <x:c r="S735" s="45" t="n">
        <x:v>6.469039698144651</x:v>
      </x:c>
      <x:c r="T735" t="str">
        <x:v>NEAR</x:v>
      </x:c>
      <x:c r="U735" s="32" t="n">
        <x:f>PERCENTRANK.INC($G$2:$G$941,G735)</x:f>
        <x:v>0.417</x:v>
      </x:c>
      <x:c r="V735" s="32" t="n">
        <x:f>PERCENTRANK.INC($H$2:$H$941,H735)</x:f>
        <x:v>0.204</x:v>
      </x:c>
      <x:c r="W735" t="n">
        <x:f>ROUND((U735*55+V735*45)*IF(S735&lt;=5,1,IF(S735&lt;=10,0.95,IF(S735&lt;=20,0.85,0.70))),0)</x:f>
        <x:v>31</x:v>
      </x:c>
      <x:c r="X735" t="n">
        <x:v>47</x:v>
      </x:c>
      <x:c r="Y735" t="str">
        <x:v>WATCH</x:v>
      </x:c>
      <x:c r="Z735" s="12" t="str">
        <x:v>Family + verified grassroots + straight-line geo only; transport not yet routed</x:v>
      </x:c>
      <x:c r="AA735" s="12"/>
      <x:c r="AB735" s="12"/>
      <x:c r="AC735" s="12"/>
      <x:c r="AD735" s="12"/>
      <x:c r="AE735" t="str">
        <x:v>Crystal Palace Women</x:v>
      </x:c>
      <x:c r="AF735" s="45" t="n">
        <x:v>3.876720062853238</x:v>
      </x:c>
      <x:c r="AG735" t="str">
        <x:v>Dulwich Hamlet Women</x:v>
      </x:c>
      <x:c r="AH735" s="45" t="n">
        <x:v>4.263090555126778</x:v>
      </x:c>
      <x:c r="AI735" t="n">
        <x:v>85</x:v>
      </x:c>
      <x:c r="AJ735" t="str">
        <x:v>HIGH</x:v>
      </x:c>
    </x:row>
    <x:row r="736">
      <x:c r="A736" s="12" t="str">
        <x:v>E01003189</x:v>
      </x:c>
      <x:c r="B736" s="12" t="str">
        <x:v>Lewisham 034A</x:v>
      </x:c>
      <x:c r="C736" s="12" t="str">
        <x:v>Lewisham</x:v>
      </x:c>
      <x:c r="D736" s="44" t="n">
        <x:v>51.428238599637474</x:v>
      </x:c>
      <x:c r="E736" s="44" t="n">
        <x:v>-0.02205310829532763</x:v>
      </x:c>
      <x:c r="F736" s="33" t="n">
        <x:v>652</x:v>
      </x:c>
      <x:c r="G736" s="33" t="n">
        <x:v>237</x:v>
      </x:c>
      <x:c r="H736" s="26" t="n">
        <x:v>0.36349693251533743</x:v>
      </x:c>
      <x:c r="I736" s="12" t="n">
        <x:v>3</x:v>
      </x:c>
      <x:c r="J736" s="12" t="n">
        <x:v>91</x:v>
      </x:c>
      <x:c r="K736" s="12"/>
      <x:c r="L736" s="12"/>
      <x:c r="M736" s="12" t="str">
        <x:f>IF(K736="", "", MAX(0,IF(K736&lt;=20,100,IF(K736&lt;=30,85,IF(K736&lt;=40,70,IF(K736&lt;=50,55,IF(K736&lt;=60,40,20)))))-MIN(L736*5,20)))</x:f>
      </x:c>
      <x:c r="N736" s="12"/>
      <x:c r="O736" s="12"/>
      <x:c r="P736" s="12" t="str">
        <x:f>IF(OR(H736="",J736="",M736=""),"",ROUND(PERCENTRANK.INC($H$2:$H$941,H736)*35+J736*0.35+M736*0.30,0))</x:f>
      </x:c>
      <x:c r="Q736" s="12" t="str">
        <x:f>IF(P736="","",IF(P736&gt;=80,"ATTACK",IF(P736&gt;=65,"GROW",IF(P736&gt;=50,"PARTNER","WATCH"))))</x:f>
      </x:c>
      <x:c r="R736" s="12" t="str">
        <x:f>IF(Q736="","",IF(Q736="ATTACK","Grassroots + family acquisition",IF(Q736="GROW","Test local campaign",IF(Q736="PARTNER","Organisation-first partnership","Low priority / validate"))))</x:f>
      </x:c>
      <x:c r="S736" s="45" t="n">
        <x:v>4.976589355910691</x:v>
      </x:c>
      <x:c r="T736" t="str">
        <x:v>CORE</x:v>
      </x:c>
      <x:c r="U736" s="32" t="n">
        <x:f>PERCENTRANK.INC($G$2:$G$941,G736)</x:f>
        <x:v>0.689</x:v>
      </x:c>
      <x:c r="V736" s="32" t="n">
        <x:f>PERCENTRANK.INC($H$2:$H$941,H736)</x:f>
        <x:v>0.763</x:v>
      </x:c>
      <x:c r="W736" t="n">
        <x:f>ROUND((U736*55+V736*45)*IF(S736&lt;=5,1,IF(S736&lt;=10,0.95,IF(S736&lt;=20,0.85,0.70))),0)</x:f>
        <x:v>72</x:v>
      </x:c>
      <x:c r="X736" t="n">
        <x:v>81</x:v>
      </x:c>
      <x:c r="Y736" t="str">
        <x:v>ATTACK</x:v>
      </x:c>
      <x:c r="Z736" s="12" t="str">
        <x:v>Family + verified grassroots + straight-line geo only; transport not yet routed</x:v>
      </x:c>
      <x:c r="AA736" s="12"/>
      <x:c r="AB736" s="12"/>
      <x:c r="AC736" s="12"/>
      <x:c r="AD736" s="12"/>
      <x:c r="AE736" t="str">
        <x:v>Crystal Palace Women</x:v>
      </x:c>
      <x:c r="AF736" s="45" t="n">
        <x:v>5.499618602411289</x:v>
      </x:c>
      <x:c r="AG736" t="str">
        <x:v>Dulwich Hamlet Women</x:v>
      </x:c>
      <x:c r="AH736" s="45" t="n">
        <x:v>5.6525107861464345</x:v>
      </x:c>
      <x:c r="AI736" t="n">
        <x:v>85</x:v>
      </x:c>
      <x:c r="AJ736" t="str">
        <x:v>HIGH</x:v>
      </x:c>
    </x:row>
    <x:row r="737">
      <x:c r="A737" s="12" t="str">
        <x:v>E01003190</x:v>
      </x:c>
      <x:c r="B737" s="12" t="str">
        <x:v>Lewisham 034B</x:v>
      </x:c>
      <x:c r="C737" s="12" t="str">
        <x:v>Lewisham</x:v>
      </x:c>
      <x:c r="D737" s="44" t="n">
        <x:v>51.42704622273618</x:v>
      </x:c>
      <x:c r="E737" s="44" t="n">
        <x:v>-0.03589846825241061</x:v>
      </x:c>
      <x:c r="F737" s="33" t="n">
        <x:v>950</x:v>
      </x:c>
      <x:c r="G737" s="33" t="n">
        <x:v>382</x:v>
      </x:c>
      <x:c r="H737" s="26" t="n">
        <x:v>0.40210526315789474</x:v>
      </x:c>
      <x:c r="I737" s="12" t="n">
        <x:v>3</x:v>
      </x:c>
      <x:c r="J737" s="12" t="n">
        <x:v>83</x:v>
      </x:c>
      <x:c r="K737" s="12"/>
      <x:c r="L737" s="12"/>
      <x:c r="M737" s="12" t="str">
        <x:f>IF(K737="", "", MAX(0,IF(K737&lt;=20,100,IF(K737&lt;=30,85,IF(K737&lt;=40,70,IF(K737&lt;=50,55,IF(K737&lt;=60,40,20)))))-MIN(L737*5,20)))</x:f>
      </x:c>
      <x:c r="N737" s="12"/>
      <x:c r="O737" s="12"/>
      <x:c r="P737" s="12" t="str">
        <x:f>IF(OR(H737="",J737="",M737=""),"",ROUND(PERCENTRANK.INC($H$2:$H$941,H737)*35+J737*0.35+M737*0.30,0))</x:f>
      </x:c>
      <x:c r="Q737" s="12" t="str">
        <x:f>IF(P737="","",IF(P737&gt;=80,"ATTACK",IF(P737&gt;=65,"GROW",IF(P737&gt;=50,"PARTNER","WATCH"))))</x:f>
      </x:c>
      <x:c r="R737" s="12" t="str">
        <x:f>IF(Q737="","",IF(Q737="ATTACK","Grassroots + family acquisition",IF(Q737="GROW","Test local campaign",IF(Q737="PARTNER","Organisation-first partnership","Low priority / validate"))))</x:f>
      </x:c>
      <x:c r="S737" s="45" t="n">
        <x:v>5.468521700173106</x:v>
      </x:c>
      <x:c r="T737" t="str">
        <x:v>NEAR</x:v>
      </x:c>
      <x:c r="U737" s="32" t="n">
        <x:f>PERCENTRANK.INC($G$2:$G$941,G737)</x:f>
        <x:v>0.99</x:v>
      </x:c>
      <x:c r="V737" s="32" t="n">
        <x:f>PERCENTRANK.INC($H$2:$H$941,H737)</x:f>
        <x:v>0.915</x:v>
      </x:c>
      <x:c r="W737" t="n">
        <x:f>ROUND((U737*55+V737*45)*IF(S737&lt;=5,1,IF(S737&lt;=10,0.95,IF(S737&lt;=20,0.85,0.70))),0)</x:f>
        <x:v>91</x:v>
      </x:c>
      <x:c r="X737" t="n">
        <x:v>87</x:v>
      </x:c>
      <x:c r="Y737" t="str">
        <x:v>ATTACK</x:v>
      </x:c>
      <x:c r="Z737" s="12" t="str">
        <x:v>Family + verified grassroots + straight-line geo only; transport not yet routed</x:v>
      </x:c>
      <x:c r="AA737" s="12"/>
      <x:c r="AB737" s="12"/>
      <x:c r="AC737" s="12"/>
      <x:c r="AD737" s="12"/>
      <x:c r="AE737" t="str">
        <x:v>Crystal Palace Women</x:v>
      </x:c>
      <x:c r="AF737" s="45" t="n">
        <x:v>4.67961264322342</x:v>
      </x:c>
      <x:c r="AG737" t="str">
        <x:v>Dulwich Hamlet Women</x:v>
      </x:c>
      <x:c r="AH737" s="45" t="n">
        <x:v>5.062465071655122</x:v>
      </x:c>
      <x:c r="AI737" t="n">
        <x:v>85</x:v>
      </x:c>
      <x:c r="AJ737" t="str">
        <x:v>HIGH</x:v>
      </x:c>
    </x:row>
    <x:row r="738">
      <x:c r="A738" s="12" t="str">
        <x:v>E01003191</x:v>
      </x:c>
      <x:c r="B738" s="12" t="str">
        <x:v>Lewisham 034C</x:v>
      </x:c>
      <x:c r="C738" s="12" t="str">
        <x:v>Lewisham</x:v>
      </x:c>
      <x:c r="D738" s="44" t="n">
        <x:v>51.42676567460798</x:v>
      </x:c>
      <x:c r="E738" s="44" t="n">
        <x:v>-0.02759572815213534</x:v>
      </x:c>
      <x:c r="F738" s="33" t="n">
        <x:v>701</x:v>
      </x:c>
      <x:c r="G738" s="33" t="n">
        <x:v>236</x:v>
      </x:c>
      <x:c r="H738" s="26" t="n">
        <x:v>0.33666191155492153</x:v>
      </x:c>
      <x:c r="I738" s="12" t="n">
        <x:v>3</x:v>
      </x:c>
      <x:c r="J738" s="12" t="n">
        <x:v>83</x:v>
      </x:c>
      <x:c r="K738" s="12"/>
      <x:c r="L738" s="12"/>
      <x:c r="M738" s="12" t="str">
        <x:f>IF(K738="", "", MAX(0,IF(K738&lt;=20,100,IF(K738&lt;=30,85,IF(K738&lt;=40,70,IF(K738&lt;=50,55,IF(K738&lt;=60,40,20)))))-MIN(L738*5,20)))</x:f>
      </x:c>
      <x:c r="N738" s="12"/>
      <x:c r="O738" s="12"/>
      <x:c r="P738" s="12" t="str">
        <x:f>IF(OR(H738="",J738="",M738=""),"",ROUND(PERCENTRANK.INC($H$2:$H$941,H738)*35+J738*0.35+M738*0.30,0))</x:f>
      </x:c>
      <x:c r="Q738" s="12" t="str">
        <x:f>IF(P738="","",IF(P738&gt;=80,"ATTACK",IF(P738&gt;=65,"GROW",IF(P738&gt;=50,"PARTNER","WATCH"))))</x:f>
      </x:c>
      <x:c r="R738" s="12" t="str">
        <x:f>IF(Q738="","",IF(Q738="ATTACK","Grassroots + family acquisition",IF(Q738="GROW","Test local campaign",IF(Q738="PARTNER","Organisation-first partnership","Low priority / validate"))))</x:f>
      </x:c>
      <x:c r="S738" s="45" t="n">
        <x:v>5.069991254285237</x:v>
      </x:c>
      <x:c r="T738" t="str">
        <x:v>NEAR</x:v>
      </x:c>
      <x:c r="U738" s="32" t="n">
        <x:f>PERCENTRANK.INC($G$2:$G$941,G738)</x:f>
        <x:v>0.679</x:v>
      </x:c>
      <x:c r="V738" s="32" t="n">
        <x:f>PERCENTRANK.INC($H$2:$H$941,H738)</x:f>
        <x:v>0.61</x:v>
      </x:c>
      <x:c r="W738" t="n">
        <x:f>ROUND((U738*55+V738*45)*IF(S738&lt;=5,1,IF(S738&lt;=10,0.95,IF(S738&lt;=20,0.85,0.70))),0)</x:f>
        <x:v>62</x:v>
      </x:c>
      <x:c r="X738" t="n">
        <x:v>71</x:v>
      </x:c>
      <x:c r="Y738" t="str">
        <x:v>GROW</x:v>
      </x:c>
      <x:c r="Z738" s="12" t="str">
        <x:v>Family + verified grassroots + straight-line geo only; transport not yet routed</x:v>
      </x:c>
      <x:c r="AA738" s="12"/>
      <x:c r="AB738" s="12"/>
      <x:c r="AC738" s="12"/>
      <x:c r="AD738" s="12"/>
      <x:c r="AE738" t="str">
        <x:v>Crystal Palace Women</x:v>
      </x:c>
      <x:c r="AF738" s="45" t="n">
        <x:v>5.0956418133663615</x:v>
      </x:c>
      <x:c r="AG738" t="str">
        <x:v>Dulwich Hamlet Women</x:v>
      </x:c>
      <x:c r="AH738" s="45" t="n">
        <x:v>5.4802814952737</x:v>
      </x:c>
      <x:c r="AI738" t="n">
        <x:v>85</x:v>
      </x:c>
      <x:c r="AJ738" t="str">
        <x:v>HIGH</x:v>
      </x:c>
    </x:row>
    <x:row r="739">
      <x:c r="A739" s="12" t="str">
        <x:v>E01003192</x:v>
      </x:c>
      <x:c r="B739" s="12" t="str">
        <x:v>Lewisham 034D</x:v>
      </x:c>
      <x:c r="C739" s="12" t="str">
        <x:v>Lewisham</x:v>
      </x:c>
      <x:c r="D739" s="44" t="n">
        <x:v>51.425151456361434</x:v>
      </x:c>
      <x:c r="E739" s="44" t="n">
        <x:v>-0.020617506091467255</x:v>
      </x:c>
      <x:c r="F739" s="33" t="n">
        <x:v>743</x:v>
      </x:c>
      <x:c r="G739" s="33" t="n">
        <x:v>254</x:v>
      </x:c>
      <x:c r="H739" s="26" t="n">
        <x:v>0.34185733512786004</x:v>
      </x:c>
      <x:c r="I739" s="12" t="n">
        <x:v>3</x:v>
      </x:c>
      <x:c r="J739" s="12" t="n">
        <x:v>91</x:v>
      </x:c>
      <x:c r="K739" s="12"/>
      <x:c r="L739" s="12"/>
      <x:c r="M739" s="12" t="str">
        <x:f>IF(K739="", "", MAX(0,IF(K739&lt;=20,100,IF(K739&lt;=30,85,IF(K739&lt;=40,70,IF(K739&lt;=50,55,IF(K739&lt;=60,40,20)))))-MIN(L739*5,20)))</x:f>
      </x:c>
      <x:c r="N739" s="12"/>
      <x:c r="O739" s="12"/>
      <x:c r="P739" s="12" t="str">
        <x:f>IF(OR(H739="",J739="",M739=""),"",ROUND(PERCENTRANK.INC($H$2:$H$941,H739)*35+J739*0.35+M739*0.30,0))</x:f>
      </x:c>
      <x:c r="Q739" s="12" t="str">
        <x:f>IF(P739="","",IF(P739&gt;=80,"ATTACK",IF(P739&gt;=65,"GROW",IF(P739&gt;=50,"PARTNER","WATCH"))))</x:f>
      </x:c>
      <x:c r="R739" s="12" t="str">
        <x:f>IF(Q739="","",IF(Q739="ATTACK","Grassroots + family acquisition",IF(Q739="GROW","Test local campaign",IF(Q739="PARTNER","Organisation-first partnership","Low priority / validate"))))</x:f>
      </x:c>
      <x:c r="S739" s="45" t="n">
        <x:v>4.636961513426779</x:v>
      </x:c>
      <x:c r="T739" t="str">
        <x:v>CORE</x:v>
      </x:c>
      <x:c r="U739" s="32" t="n">
        <x:f>PERCENTRANK.INC($G$2:$G$941,G739)</x:f>
        <x:v>0.804</x:v>
      </x:c>
      <x:c r="V739" s="32" t="n">
        <x:f>PERCENTRANK.INC($H$2:$H$941,H739)</x:f>
        <x:v>0.629</x:v>
      </x:c>
      <x:c r="W739" t="n">
        <x:f>ROUND((U739*55+V739*45)*IF(S739&lt;=5,1,IF(S739&lt;=10,0.95,IF(S739&lt;=20,0.85,0.70))),0)</x:f>
        <x:v>73</x:v>
      </x:c>
      <x:c r="X739" t="n">
        <x:v>81</x:v>
      </x:c>
      <x:c r="Y739" t="str">
        <x:v>ATTACK</x:v>
      </x:c>
      <x:c r="Z739" s="12" t="str">
        <x:v>Family + verified grassroots + straight-line geo only; transport not yet routed</x:v>
      </x:c>
      <x:c r="AA739" s="12"/>
      <x:c r="AB739" s="12"/>
      <x:c r="AC739" s="12"/>
      <x:c r="AD739" s="12"/>
      <x:c r="AE739" t="str">
        <x:v>Crystal Palace Women</x:v>
      </x:c>
      <x:c r="AF739" s="45" t="n">
        <x:v>5.381374247456462</x:v>
      </x:c>
      <x:c r="AG739" t="str">
        <x:v>Dulwich Hamlet Women</x:v>
      </x:c>
      <x:c r="AH739" s="45" t="n">
        <x:v>5.954779556292627</x:v>
      </x:c>
      <x:c r="AI739" t="n">
        <x:v>85</x:v>
      </x:c>
      <x:c r="AJ739" t="str">
        <x:v>HIGH</x:v>
      </x:c>
    </x:row>
    <x:row r="740">
      <x:c r="A740" s="12" t="str">
        <x:v>E01003326</x:v>
      </x:c>
      <x:c r="B740" s="12" t="str">
        <x:v>Lewisham 035A</x:v>
      </x:c>
      <x:c r="C740" s="12" t="str">
        <x:v>Lewisham</x:v>
      </x:c>
      <x:c r="D740" s="44" t="n">
        <x:v>51.42503660471368</x:v>
      </x:c>
      <x:c r="E740" s="44" t="n">
        <x:v>-0.04409065613366999</x:v>
      </x:c>
      <x:c r="F740" s="33" t="n">
        <x:v>697</x:v>
      </x:c>
      <x:c r="G740" s="33" t="n">
        <x:v>234</x:v>
      </x:c>
      <x:c r="H740" s="26" t="n">
        <x:v>0.3357245337159254</x:v>
      </x:c>
      <x:c r="I740" s="12" t="n">
        <x:v>3</x:v>
      </x:c>
      <x:c r="J740" s="12" t="n">
        <x:v>76</x:v>
      </x:c>
      <x:c r="K740" s="12"/>
      <x:c r="L740" s="12"/>
      <x:c r="M740" s="12" t="str">
        <x:f>IF(K740="", "", MAX(0,IF(K740&lt;=20,100,IF(K740&lt;=30,85,IF(K740&lt;=40,70,IF(K740&lt;=50,55,IF(K740&lt;=60,40,20)))))-MIN(L740*5,20)))</x:f>
      </x:c>
      <x:c r="N740" s="12"/>
      <x:c r="O740" s="12"/>
      <x:c r="P740" s="12" t="str">
        <x:f>IF(OR(H740="",J740="",M740=""),"",ROUND(PERCENTRANK.INC($H$2:$H$941,H740)*35+J740*0.35+M740*0.30,0))</x:f>
      </x:c>
      <x:c r="Q740" s="12" t="str">
        <x:f>IF(P740="","",IF(P740&gt;=80,"ATTACK",IF(P740&gt;=65,"GROW",IF(P740&gt;=50,"PARTNER","WATCH"))))</x:f>
      </x:c>
      <x:c r="R740" s="12" t="str">
        <x:f>IF(Q740="","",IF(Q740="ATTACK","Grassroots + family acquisition",IF(Q740="GROW","Test local campaign",IF(Q740="PARTNER","Organisation-first partnership","Low priority / validate"))))</x:f>
      </x:c>
      <x:c r="S740" s="45" t="n">
        <x:v>5.71940301490477</x:v>
      </x:c>
      <x:c r="T740" t="str">
        <x:v>NEAR</x:v>
      </x:c>
      <x:c r="U740" s="32" t="n">
        <x:f>PERCENTRANK.INC($G$2:$G$941,G740)</x:f>
        <x:v>0.658</x:v>
      </x:c>
      <x:c r="V740" s="32" t="n">
        <x:f>PERCENTRANK.INC($H$2:$H$941,H740)</x:f>
        <x:v>0.603</x:v>
      </x:c>
      <x:c r="W740" t="n">
        <x:f>ROUND((U740*55+V740*45)*IF(S740&lt;=5,1,IF(S740&lt;=10,0.95,IF(S740&lt;=20,0.85,0.70))),0)</x:f>
        <x:v>60</x:v>
      </x:c>
      <x:c r="X740" t="n">
        <x:v>68</x:v>
      </x:c>
      <x:c r="Y740" t="str">
        <x:v>GROW</x:v>
      </x:c>
      <x:c r="Z740" s="12" t="str">
        <x:v>Family + verified grassroots + straight-line geo only; transport not yet routed</x:v>
      </x:c>
      <x:c r="AA740" s="12"/>
      <x:c r="AB740" s="12"/>
      <x:c r="AC740" s="12"/>
      <x:c r="AD740" s="12"/>
      <x:c r="AE740" t="str">
        <x:v>Crystal Palace Women</x:v>
      </x:c>
      <x:c r="AF740" s="45" t="n">
        <x:v>4.118370999352915</x:v>
      </x:c>
      <x:c r="AG740" t="str">
        <x:v>Dulwich Hamlet Women</x:v>
      </x:c>
      <x:c r="AH740" s="45" t="n">
        <x:v>4.890859558868898</x:v>
      </x:c>
      <x:c r="AI740" t="n">
        <x:v>85</x:v>
      </x:c>
      <x:c r="AJ740" t="str">
        <x:v>HIGH</x:v>
      </x:c>
    </x:row>
    <x:row r="741">
      <x:c r="A741" s="12" t="str">
        <x:v>E01003327</x:v>
      </x:c>
      <x:c r="B741" s="12" t="str">
        <x:v>Lewisham 035B</x:v>
      </x:c>
      <x:c r="C741" s="12" t="str">
        <x:v>Lewisham</x:v>
      </x:c>
      <x:c r="D741" s="44" t="n">
        <x:v>51.424934137204204</x:v>
      </x:c>
      <x:c r="E741" s="44" t="n">
        <x:v>-0.049999628187969845</x:v>
      </x:c>
      <x:c r="F741" s="33" t="n">
        <x:v>690</x:v>
      </x:c>
      <x:c r="G741" s="33" t="n">
        <x:v>198</x:v>
      </x:c>
      <x:c r="H741" s="26" t="n">
        <x:v>0.28695652173913044</x:v>
      </x:c>
      <x:c r="I741" s="12" t="n">
        <x:v>2</x:v>
      </x:c>
      <x:c r="J741" s="12" t="n">
        <x:v>68</x:v>
      </x:c>
      <x:c r="K741" s="12"/>
      <x:c r="L741" s="12"/>
      <x:c r="M741" s="12" t="str">
        <x:f>IF(K741="", "", MAX(0,IF(K741&lt;=20,100,IF(K741&lt;=30,85,IF(K741&lt;=40,70,IF(K741&lt;=50,55,IF(K741&lt;=60,40,20)))))-MIN(L741*5,20)))</x:f>
      </x:c>
      <x:c r="N741" s="12"/>
      <x:c r="O741" s="12"/>
      <x:c r="P741" s="12" t="str">
        <x:f>IF(OR(H741="",J741="",M741=""),"",ROUND(PERCENTRANK.INC($H$2:$H$941,H741)*35+J741*0.35+M741*0.30,0))</x:f>
      </x:c>
      <x:c r="Q741" s="12" t="str">
        <x:f>IF(P741="","",IF(P741&gt;=80,"ATTACK",IF(P741&gt;=65,"GROW",IF(P741&gt;=50,"PARTNER","WATCH"))))</x:f>
      </x:c>
      <x:c r="R741" s="12" t="str">
        <x:f>IF(Q741="","",IF(Q741="ATTACK","Grassroots + family acquisition",IF(Q741="GROW","Test local campaign",IF(Q741="PARTNER","Organisation-first partnership","Low priority / validate"))))</x:f>
      </x:c>
      <x:c r="S741" s="45" t="n">
        <x:v>6.0255344099634325</x:v>
      </x:c>
      <x:c r="T741" t="str">
        <x:v>NEAR</x:v>
      </x:c>
      <x:c r="U741" s="32" t="n">
        <x:f>PERCENTRANK.INC($G$2:$G$941,G741)</x:f>
        <x:v>0.365</x:v>
      </x:c>
      <x:c r="V741" s="32" t="n">
        <x:f>PERCENTRANK.INC($H$2:$H$941,H741)</x:f>
        <x:v>0.329</x:v>
      </x:c>
      <x:c r="W741" t="n">
        <x:f>ROUND((U741*55+V741*45)*IF(S741&lt;=5,1,IF(S741&lt;=10,0.95,IF(S741&lt;=20,0.85,0.70))),0)</x:f>
        <x:v>33</x:v>
      </x:c>
      <x:c r="X741" t="n">
        <x:v>49</x:v>
      </x:c>
      <x:c r="Y741" t="str">
        <x:v>WATCH</x:v>
      </x:c>
      <x:c r="Z741" s="12" t="str">
        <x:v>Family + verified grassroots + straight-line geo only; transport not yet routed</x:v>
      </x:c>
      <x:c r="AA741" s="12"/>
      <x:c r="AB741" s="12"/>
      <x:c r="AC741" s="12"/>
      <x:c r="AD741" s="12"/>
      <x:c r="AE741" t="str">
        <x:v>Crystal Palace Women</x:v>
      </x:c>
      <x:c r="AF741" s="45" t="n">
        <x:v>3.837609886961987</x:v>
      </x:c>
      <x:c r="AG741" t="str">
        <x:v>Dulwich Hamlet Women</x:v>
      </x:c>
      <x:c r="AH741" s="45" t="n">
        <x:v>4.681443807917769</x:v>
      </x:c>
      <x:c r="AI741" t="n">
        <x:v>85</x:v>
      </x:c>
      <x:c r="AJ741" t="str">
        <x:v>HIGH</x:v>
      </x:c>
    </x:row>
    <x:row r="742">
      <x:c r="A742" s="12" t="str">
        <x:v>E01003328</x:v>
      </x:c>
      <x:c r="B742" s="12" t="str">
        <x:v>Lewisham 035C</x:v>
      </x:c>
      <x:c r="C742" s="12" t="str">
        <x:v>Lewisham</x:v>
      </x:c>
      <x:c r="D742" s="44" t="n">
        <x:v>51.424955241797356</x:v>
      </x:c>
      <x:c r="E742" s="44" t="n">
        <x:v>-0.056467869810256165</x:v>
      </x:c>
      <x:c r="F742" s="33" t="n">
        <x:v>827</x:v>
      </x:c>
      <x:c r="G742" s="33" t="n">
        <x:v>207</x:v>
      </x:c>
      <x:c r="H742" s="26" t="n">
        <x:v>0.2503022974607013</x:v>
      </x:c>
      <x:c r="I742" s="12" t="n">
        <x:v>2</x:v>
      </x:c>
      <x:c r="J742" s="12" t="n">
        <x:v>68</x:v>
      </x:c>
      <x:c r="K742" s="12"/>
      <x:c r="L742" s="12"/>
      <x:c r="M742" s="12" t="str">
        <x:f>IF(K742="", "", MAX(0,IF(K742&lt;=20,100,IF(K742&lt;=30,85,IF(K742&lt;=40,70,IF(K742&lt;=50,55,IF(K742&lt;=60,40,20)))))-MIN(L742*5,20)))</x:f>
      </x:c>
      <x:c r="N742" s="12"/>
      <x:c r="O742" s="12"/>
      <x:c r="P742" s="12" t="str">
        <x:f>IF(OR(H742="",J742="",M742=""),"",ROUND(PERCENTRANK.INC($H$2:$H$941,H742)*35+J742*0.35+M742*0.30,0))</x:f>
      </x:c>
      <x:c r="Q742" s="12" t="str">
        <x:f>IF(P742="","",IF(P742&gt;=80,"ATTACK",IF(P742&gt;=65,"GROW",IF(P742&gt;=50,"PARTNER","WATCH"))))</x:f>
      </x:c>
      <x:c r="R742" s="12" t="str">
        <x:f>IF(Q742="","",IF(Q742="ATTACK","Grassroots + family acquisition",IF(Q742="GROW","Test local campaign",IF(Q742="PARTNER","Organisation-first partnership","Low priority / validate"))))</x:f>
      </x:c>
      <x:c r="S742" s="45" t="n">
        <x:v>6.382788616369258</x:v>
      </x:c>
      <x:c r="T742" t="str">
        <x:v>NEAR</x:v>
      </x:c>
      <x:c r="U742" s="32" t="n">
        <x:f>PERCENTRANK.INC($G$2:$G$941,G742)</x:f>
        <x:v>0.444</x:v>
      </x:c>
      <x:c r="V742" s="32" t="n">
        <x:f>PERCENTRANK.INC($H$2:$H$941,H742)</x:f>
        <x:v>0.182</x:v>
      </x:c>
      <x:c r="W742" t="n">
        <x:f>ROUND((U742*55+V742*45)*IF(S742&lt;=5,1,IF(S742&lt;=10,0.95,IF(S742&lt;=20,0.85,0.70))),0)</x:f>
        <x:v>31</x:v>
      </x:c>
      <x:c r="X742" t="n">
        <x:v>48</x:v>
      </x:c>
      <x:c r="Y742" t="str">
        <x:v>WATCH</x:v>
      </x:c>
      <x:c r="Z742" s="12" t="str">
        <x:v>Family + verified grassroots + straight-line geo only; transport not yet routed</x:v>
      </x:c>
      <x:c r="AA742" s="12"/>
      <x:c r="AB742" s="12"/>
      <x:c r="AC742" s="12"/>
      <x:c r="AD742" s="12"/>
      <x:c r="AE742" t="str">
        <x:v>Crystal Palace Women</x:v>
      </x:c>
      <x:c r="AF742" s="45" t="n">
        <x:v>3.5714365535595505</x:v>
      </x:c>
      <x:c r="AG742" t="str">
        <x:v>Dulwich Hamlet Women</x:v>
      </x:c>
      <x:c r="AH742" s="45" t="n">
        <x:v>4.470611532565587</x:v>
      </x:c>
      <x:c r="AI742" t="n">
        <x:v>85</x:v>
      </x:c>
      <x:c r="AJ742" t="str">
        <x:v>HIGH</x:v>
      </x:c>
    </x:row>
    <x:row r="743">
      <x:c r="A743" s="12" t="str">
        <x:v>E01003333</x:v>
      </x:c>
      <x:c r="B743" s="12" t="str">
        <x:v>Lewisham 035D</x:v>
      </x:c>
      <x:c r="C743" s="12" t="str">
        <x:v>Lewisham</x:v>
      </x:c>
      <x:c r="D743" s="44" t="n">
        <x:v>51.42769626829937</x:v>
      </x:c>
      <x:c r="E743" s="44" t="n">
        <x:v>-0.041851086202318435</x:v>
      </x:c>
      <x:c r="F743" s="33" t="n">
        <x:v>632</x:v>
      </x:c>
      <x:c r="G743" s="33" t="n">
        <x:v>209</x:v>
      </x:c>
      <x:c r="H743" s="26" t="n">
        <x:v>0.33069620253164556</x:v>
      </x:c>
      <x:c r="I743" s="12" t="n">
        <x:v>3</x:v>
      </x:c>
      <x:c r="J743" s="12" t="n">
        <x:v>76</x:v>
      </x:c>
      <x:c r="K743" s="12"/>
      <x:c r="L743" s="12"/>
      <x:c r="M743" s="12" t="str">
        <x:f>IF(K743="", "", MAX(0,IF(K743&lt;=20,100,IF(K743&lt;=30,85,IF(K743&lt;=40,70,IF(K743&lt;=50,55,IF(K743&lt;=60,40,20)))))-MIN(L743*5,20)))</x:f>
      </x:c>
      <x:c r="N743" s="12"/>
      <x:c r="O743" s="12"/>
      <x:c r="P743" s="12" t="str">
        <x:f>IF(OR(H743="",J743="",M743=""),"",ROUND(PERCENTRANK.INC($H$2:$H$941,H743)*35+J743*0.35+M743*0.30,0))</x:f>
      </x:c>
      <x:c r="Q743" s="12" t="str">
        <x:f>IF(P743="","",IF(P743&gt;=80,"ATTACK",IF(P743&gt;=65,"GROW",IF(P743&gt;=50,"PARTNER","WATCH"))))</x:f>
      </x:c>
      <x:c r="R743" s="12" t="str">
        <x:f>IF(Q743="","",IF(Q743="ATTACK","Grassroots + family acquisition",IF(Q743="GROW","Test local campaign",IF(Q743="PARTNER","Organisation-first partnership","Low priority / validate"))))</x:f>
      </x:c>
      <x:c r="S743" s="45" t="n">
        <x:v>5.807762457542738</x:v>
      </x:c>
      <x:c r="T743" t="str">
        <x:v>NEAR</x:v>
      </x:c>
      <x:c r="U743" s="32" t="n">
        <x:f>PERCENTRANK.INC($G$2:$G$941,G743)</x:f>
        <x:v>0.461</x:v>
      </x:c>
      <x:c r="V743" s="32" t="n">
        <x:f>PERCENTRANK.INC($H$2:$H$941,H743)</x:f>
        <x:v>0.569</x:v>
      </x:c>
      <x:c r="W743" t="n">
        <x:f>ROUND((U743*55+V743*45)*IF(S743&lt;=5,1,IF(S743&lt;=10,0.95,IF(S743&lt;=20,0.85,0.70))),0)</x:f>
        <x:v>48</x:v>
      </x:c>
      <x:c r="X743" t="n">
        <x:v>61</x:v>
      </x:c>
      <x:c r="Y743" t="str">
        <x:v>PARTNER</x:v>
      </x:c>
      <x:c r="Z743" s="12" t="str">
        <x:v>Family + verified grassroots + straight-line geo only; transport not yet routed</x:v>
      </x:c>
      <x:c r="AA743" s="12"/>
      <x:c r="AB743" s="12"/>
      <x:c r="AC743" s="12"/>
      <x:c r="AD743" s="12"/>
      <x:c r="AE743" t="str">
        <x:v>Crystal Palace Women</x:v>
      </x:c>
      <x:c r="AF743" s="45" t="n">
        <x:v>4.44032068317152</x:v>
      </x:c>
      <x:c r="AG743" t="str">
        <x:v>Dulwich Hamlet Women</x:v>
      </x:c>
      <x:c r="AH743" s="45" t="n">
        <x:v>4.743778785967292</x:v>
      </x:c>
      <x:c r="AI743" t="n">
        <x:v>85</x:v>
      </x:c>
      <x:c r="AJ743" t="str">
        <x:v>HIGH</x:v>
      </x:c>
    </x:row>
    <x:row r="744">
      <x:c r="A744" s="12" t="str">
        <x:v>E01003335</x:v>
      </x:c>
      <x:c r="B744" s="12" t="str">
        <x:v>Lewisham 035E</x:v>
      </x:c>
      <x:c r="C744" s="12" t="str">
        <x:v>Lewisham</x:v>
      </x:c>
      <x:c r="D744" s="44" t="n">
        <x:v>51.42748941486104</x:v>
      </x:c>
      <x:c r="E744" s="44" t="n">
        <x:v>-0.046164765367574925</x:v>
      </x:c>
      <x:c r="F744" s="33" t="n">
        <x:v>619</x:v>
      </x:c>
      <x:c r="G744" s="33" t="n">
        <x:v>216</x:v>
      </x:c>
      <x:c r="H744" s="26" t="n">
        <x:v>0.34894991922455576</x:v>
      </x:c>
      <x:c r="I744" s="12" t="n">
        <x:v>2</x:v>
      </x:c>
      <x:c r="J744" s="12" t="n">
        <x:v>60</x:v>
      </x:c>
      <x:c r="K744" s="12"/>
      <x:c r="L744" s="12"/>
      <x:c r="M744" s="12" t="str">
        <x:f>IF(K744="", "", MAX(0,IF(K744&lt;=20,100,IF(K744&lt;=30,85,IF(K744&lt;=40,70,IF(K744&lt;=50,55,IF(K744&lt;=60,40,20)))))-MIN(L744*5,20)))</x:f>
      </x:c>
      <x:c r="N744" s="12"/>
      <x:c r="O744" s="12"/>
      <x:c r="P744" s="12" t="str">
        <x:f>IF(OR(H744="",J744="",M744=""),"",ROUND(PERCENTRANK.INC($H$2:$H$941,H744)*35+J744*0.35+M744*0.30,0))</x:f>
      </x:c>
      <x:c r="Q744" s="12" t="str">
        <x:f>IF(P744="","",IF(P744&gt;=80,"ATTACK",IF(P744&gt;=65,"GROW",IF(P744&gt;=50,"PARTNER","WATCH"))))</x:f>
      </x:c>
      <x:c r="R744" s="12" t="str">
        <x:f>IF(Q744="","",IF(Q744="ATTACK","Grassroots + family acquisition",IF(Q744="GROW","Test local campaign",IF(Q744="PARTNER","Organisation-first partnership","Low priority / validate"))))</x:f>
      </x:c>
      <x:c r="S744" s="45" t="n">
        <x:v>6.0086914013598065</x:v>
      </x:c>
      <x:c r="T744" t="str">
        <x:v>NEAR</x:v>
      </x:c>
      <x:c r="U744" s="32" t="n">
        <x:f>PERCENTRANK.INC($G$2:$G$941,G744)</x:f>
        <x:v>0.523</x:v>
      </x:c>
      <x:c r="V744" s="32" t="n">
        <x:f>PERCENTRANK.INC($H$2:$H$941,H744)</x:f>
        <x:v>0.683</x:v>
      </x:c>
      <x:c r="W744" t="n">
        <x:f>ROUND((U744*55+V744*45)*IF(S744&lt;=5,1,IF(S744&lt;=10,0.95,IF(S744&lt;=20,0.85,0.70))),0)</x:f>
        <x:v>57</x:v>
      </x:c>
      <x:c r="X744" t="n">
        <x:v>58</x:v>
      </x:c>
      <x:c r="Y744" t="str">
        <x:v>PARTNER</x:v>
      </x:c>
      <x:c r="Z744" s="12" t="str">
        <x:v>Family + verified grassroots + straight-line geo only; transport not yet routed</x:v>
      </x:c>
      <x:c r="AA744" s="12"/>
      <x:c r="AB744" s="12"/>
      <x:c r="AC744" s="12"/>
      <x:c r="AD744" s="12"/>
      <x:c r="AE744" t="str">
        <x:v>Crystal Palace Women</x:v>
      </x:c>
      <x:c r="AF744" s="45" t="n">
        <x:v>4.226028581890282</x:v>
      </x:c>
      <x:c r="AG744" t="str">
        <x:v>Dulwich Hamlet Women</x:v>
      </x:c>
      <x:c r="AH744" s="45" t="n">
        <x:v>4.584714288209645</x:v>
      </x:c>
      <x:c r="AI744" t="n">
        <x:v>85</x:v>
      </x:c>
      <x:c r="AJ744" t="str">
        <x:v>HIGH</x:v>
      </x:c>
    </x:row>
    <x:row r="745">
      <x:c r="A745" s="12" t="str">
        <x:v>E01003236</x:v>
      </x:c>
      <x:c r="B745" s="12" t="str">
        <x:v>Lewisham 037A</x:v>
      </x:c>
      <x:c r="C745" s="12" t="str">
        <x:v>Lewisham</x:v>
      </x:c>
      <x:c r="D745" s="44" t="n">
        <x:v>51.42998409428813</x:v>
      </x:c>
      <x:c r="E745" s="44" t="n">
        <x:v>0.018491888743007348</x:v>
      </x:c>
      <x:c r="F745" s="33" t="n">
        <x:v>651</x:v>
      </x:c>
      <x:c r="G745" s="33" t="n">
        <x:v>250</x:v>
      </x:c>
      <x:c r="H745" s="26" t="n">
        <x:v>0.38402457757296465</x:v>
      </x:c>
      <x:c r="I745" s="12" t="n">
        <x:v>4</x:v>
      </x:c>
      <x:c r="J745" s="12" t="n">
        <x:v>69</x:v>
      </x:c>
      <x:c r="K745" s="12"/>
      <x:c r="L745" s="12"/>
      <x:c r="M745" s="12" t="str">
        <x:f>IF(K745="", "", MAX(0,IF(K745&lt;=20,100,IF(K745&lt;=30,85,IF(K745&lt;=40,70,IF(K745&lt;=50,55,IF(K745&lt;=60,40,20)))))-MIN(L745*5,20)))</x:f>
      </x:c>
      <x:c r="N745" s="12"/>
      <x:c r="O745" s="12"/>
      <x:c r="P745" s="12" t="str">
        <x:f>IF(OR(H745="",J745="",M745=""),"",ROUND(PERCENTRANK.INC($H$2:$H$941,H745)*35+J745*0.35+M745*0.30,0))</x:f>
      </x:c>
      <x:c r="Q745" s="12" t="str">
        <x:f>IF(P745="","",IF(P745&gt;=80,"ATTACK",IF(P745&gt;=65,"GROW",IF(P745&gt;=50,"PARTNER","WATCH"))))</x:f>
      </x:c>
      <x:c r="R745" s="12" t="str">
        <x:f>IF(Q745="","",IF(Q745="ATTACK","Grassroots + family acquisition",IF(Q745="GROW","Test local campaign",IF(Q745="PARTNER","Organisation-first partnership","Low priority / validate"))))</x:f>
      </x:c>
      <x:c r="S745" s="45" t="n">
        <x:v>4.336957664617809</x:v>
      </x:c>
      <x:c r="T745" t="str">
        <x:v>CORE</x:v>
      </x:c>
      <x:c r="U745" s="32" t="n">
        <x:f>PERCENTRANK.INC($G$2:$G$941,G745)</x:f>
        <x:v>0.782</x:v>
      </x:c>
      <x:c r="V745" s="32" t="n">
        <x:f>PERCENTRANK.INC($H$2:$H$941,H745)</x:f>
        <x:v>0.853</x:v>
      </x:c>
      <x:c r="W745" t="n">
        <x:f>ROUND((U745*55+V745*45)*IF(S745&lt;=5,1,IF(S745&lt;=10,0.95,IF(S745&lt;=20,0.85,0.70))),0)</x:f>
        <x:v>81</x:v>
      </x:c>
      <x:c r="X745" t="n">
        <x:v>76</x:v>
      </x:c>
      <x:c r="Y745" t="str">
        <x:v>GROW</x:v>
      </x:c>
      <x:c r="Z745" s="12" t="str">
        <x:v>Family + verified grassroots + straight-line geo only; transport not yet routed</x:v>
      </x:c>
      <x:c r="AA745" s="12"/>
      <x:c r="AB745" s="12"/>
      <x:c r="AC745" s="12"/>
      <x:c r="AD745" s="12"/>
      <x:c r="AE745" t="str">
        <x:v>Charlton Athletic Women</x:v>
      </x:c>
      <x:c r="AF745" s="45" t="n">
        <x:v>6.391357085609545</x:v>
      </x:c>
      <x:c r="AG745" t="str">
        <x:v>Dulwich Hamlet Women</x:v>
      </x:c>
      <x:c r="AH745" s="45" t="n">
        <x:v>7.910372127860331</x:v>
      </x:c>
      <x:c r="AI745" t="n">
        <x:v>70</x:v>
      </x:c>
      <x:c r="AJ745" t="str">
        <x:v>MEDIUM</x:v>
      </x:c>
    </x:row>
    <x:row r="746">
      <x:c r="A746" s="12" t="str">
        <x:v>E01003237</x:v>
      </x:c>
      <x:c r="B746" s="12" t="str">
        <x:v>Lewisham 037B</x:v>
      </x:c>
      <x:c r="C746" s="12" t="str">
        <x:v>Lewisham</x:v>
      </x:c>
      <x:c r="D746" s="44" t="n">
        <x:v>51.42768987082138</x:v>
      </x:c>
      <x:c r="E746" s="44" t="n">
        <x:v>0.014225440395011559</x:v>
      </x:c>
      <x:c r="F746" s="33" t="n">
        <x:v>614</x:v>
      </x:c>
      <x:c r="G746" s="33" t="n">
        <x:v>241</x:v>
      </x:c>
      <x:c r="H746" s="26" t="n">
        <x:v>0.3925081433224756</x:v>
      </x:c>
      <x:c r="I746" s="12" t="n">
        <x:v>4</x:v>
      </x:c>
      <x:c r="J746" s="12" t="n">
        <x:v>77</x:v>
      </x:c>
      <x:c r="K746" s="12"/>
      <x:c r="L746" s="12"/>
      <x:c r="M746" s="12" t="str">
        <x:f>IF(K746="", "", MAX(0,IF(K746&lt;=20,100,IF(K746&lt;=30,85,IF(K746&lt;=40,70,IF(K746&lt;=50,55,IF(K746&lt;=60,40,20)))))-MIN(L746*5,20)))</x:f>
      </x:c>
      <x:c r="N746" s="12"/>
      <x:c r="O746" s="12"/>
      <x:c r="P746" s="12" t="str">
        <x:f>IF(OR(H746="",J746="",M746=""),"",ROUND(PERCENTRANK.INC($H$2:$H$941,H746)*35+J746*0.35+M746*0.30,0))</x:f>
      </x:c>
      <x:c r="Q746" s="12" t="str">
        <x:f>IF(P746="","",IF(P746&gt;=80,"ATTACK",IF(P746&gt;=65,"GROW",IF(P746&gt;=50,"PARTNER","WATCH"))))</x:f>
      </x:c>
      <x:c r="R746" s="12" t="str">
        <x:f>IF(Q746="","",IF(Q746="ATTACK","Grassroots + family acquisition",IF(Q746="GROW","Test local campaign",IF(Q746="PARTNER","Organisation-first partnership","Low priority / validate"))))</x:f>
      </x:c>
      <x:c r="S746" s="45" t="n">
        <x:v>4.088661489575276</x:v>
      </x:c>
      <x:c r="T746" t="str">
        <x:v>CORE</x:v>
      </x:c>
      <x:c r="U746" s="32" t="n">
        <x:f>PERCENTRANK.INC($G$2:$G$941,G746)</x:f>
        <x:v>0.714</x:v>
      </x:c>
      <x:c r="V746" s="32" t="n">
        <x:f>PERCENTRANK.INC($H$2:$H$941,H746)</x:f>
        <x:v>0.883</x:v>
      </x:c>
      <x:c r="W746" t="n">
        <x:f>ROUND((U746*55+V746*45)*IF(S746&lt;=5,1,IF(S746&lt;=10,0.95,IF(S746&lt;=20,0.85,0.70))),0)</x:f>
        <x:v>79</x:v>
      </x:c>
      <x:c r="X746" t="n">
        <x:v>78</x:v>
      </x:c>
      <x:c r="Y746" t="str">
        <x:v>GROW</x:v>
      </x:c>
      <x:c r="Z746" s="12" t="str">
        <x:v>Family + verified grassroots + straight-line geo only; transport not yet routed</x:v>
      </x:c>
      <x:c r="AA746" s="12"/>
      <x:c r="AB746" s="12"/>
      <x:c r="AC746" s="12"/>
      <x:c r="AD746" s="12"/>
      <x:c r="AE746" t="str">
        <x:v>Charlton Athletic Women</x:v>
      </x:c>
      <x:c r="AF746" s="45" t="n">
        <x:v>6.702682346647566</x:v>
      </x:c>
      <x:c r="AG746" t="str">
        <x:v>Dulwich Hamlet Women</x:v>
      </x:c>
      <x:c r="AH746" s="45" t="n">
        <x:v>7.765759486170329</x:v>
      </x:c>
      <x:c r="AI746" t="n">
        <x:v>70</x:v>
      </x:c>
      <x:c r="AJ746" t="str">
        <x:v>MEDIUM</x:v>
      </x:c>
    </x:row>
    <x:row r="747">
      <x:c r="A747" s="12" t="str">
        <x:v>E01003238</x:v>
      </x:c>
      <x:c r="B747" s="12" t="str">
        <x:v>Lewisham 037C</x:v>
      </x:c>
      <x:c r="C747" s="12" t="str">
        <x:v>Lewisham</x:v>
      </x:c>
      <x:c r="D747" s="44" t="n">
        <x:v>51.42896860781362</x:v>
      </x:c>
      <x:c r="E747" s="44" t="n">
        <x:v>0.01049261173456894</x:v>
      </x:c>
      <x:c r="F747" s="33" t="n">
        <x:v>566</x:v>
      </x:c>
      <x:c r="G747" s="33" t="n">
        <x:v>245</x:v>
      </x:c>
      <x:c r="H747" s="26" t="n">
        <x:v>0.43286219081272087</x:v>
      </x:c>
      <x:c r="I747" s="12" t="n">
        <x:v>4</x:v>
      </x:c>
      <x:c r="J747" s="12" t="n">
        <x:v>77</x:v>
      </x:c>
      <x:c r="K747" s="12"/>
      <x:c r="L747" s="12"/>
      <x:c r="M747" s="12" t="str">
        <x:f>IF(K747="", "", MAX(0,IF(K747&lt;=20,100,IF(K747&lt;=30,85,IF(K747&lt;=40,70,IF(K747&lt;=50,55,IF(K747&lt;=60,40,20)))))-MIN(L747*5,20)))</x:f>
      </x:c>
      <x:c r="N747" s="12"/>
      <x:c r="O747" s="12"/>
      <x:c r="P747" s="12" t="str">
        <x:f>IF(OR(H747="",J747="",M747=""),"",ROUND(PERCENTRANK.INC($H$2:$H$941,H747)*35+J747*0.35+M747*0.30,0))</x:f>
      </x:c>
      <x:c r="Q747" s="12" t="str">
        <x:f>IF(P747="","",IF(P747&gt;=80,"ATTACK",IF(P747&gt;=65,"GROW",IF(P747&gt;=50,"PARTNER","WATCH"))))</x:f>
      </x:c>
      <x:c r="R747" s="12" t="str">
        <x:f>IF(Q747="","",IF(Q747="ATTACK","Grassroots + family acquisition",IF(Q747="GROW","Test local campaign",IF(Q747="PARTNER","Organisation-first partnership","Low priority / validate"))))</x:f>
      </x:c>
      <x:c r="S747" s="45" t="n">
        <x:v>4.253261415290678</x:v>
      </x:c>
      <x:c r="T747" t="str">
        <x:v>CORE</x:v>
      </x:c>
      <x:c r="U747" s="32" t="n">
        <x:f>PERCENTRANK.INC($G$2:$G$941,G747)</x:f>
        <x:v>0.742</x:v>
      </x:c>
      <x:c r="V747" s="32" t="n">
        <x:f>PERCENTRANK.INC($H$2:$H$941,H747)</x:f>
        <x:v>0.969</x:v>
      </x:c>
      <x:c r="W747" t="n">
        <x:f>ROUND((U747*55+V747*45)*IF(S747&lt;=5,1,IF(S747&lt;=10,0.95,IF(S747&lt;=20,0.85,0.70))),0)</x:f>
        <x:v>84</x:v>
      </x:c>
      <x:c r="X747" t="n">
        <x:v>81</x:v>
      </x:c>
      <x:c r="Y747" t="str">
        <x:v>ATTACK</x:v>
      </x:c>
      <x:c r="Z747" s="12" t="str">
        <x:v>Family + verified grassroots + straight-line geo only; transport not yet routed</x:v>
      </x:c>
      <x:c r="AA747" s="12"/>
      <x:c r="AB747" s="12"/>
      <x:c r="AC747" s="12"/>
      <x:c r="AD747" s="12"/>
      <x:c r="AE747" t="str">
        <x:v>Charlton Athletic Women</x:v>
      </x:c>
      <x:c r="AF747" s="45" t="n">
        <x:v>6.628893062332082</x:v>
      </x:c>
      <x:c r="AG747" t="str">
        <x:v>Dulwich Hamlet Women</x:v>
      </x:c>
      <x:c r="AH747" s="45" t="n">
        <x:v>7.47047586612175</x:v>
      </x:c>
      <x:c r="AI747" t="n">
        <x:v>70</x:v>
      </x:c>
      <x:c r="AJ747" t="str">
        <x:v>MEDIUM</x:v>
      </x:c>
    </x:row>
    <x:row r="748">
      <x:c r="A748" s="12" t="str">
        <x:v>E01003239</x:v>
      </x:c>
      <x:c r="B748" s="12" t="str">
        <x:v>Lewisham 037D</x:v>
      </x:c>
      <x:c r="C748" s="12" t="str">
        <x:v>Lewisham</x:v>
      </x:c>
      <x:c r="D748" s="44" t="n">
        <x:v>51.42822270331897</x:v>
      </x:c>
      <x:c r="E748" s="44" t="n">
        <x:v>0.0036960416238653094</x:v>
      </x:c>
      <x:c r="F748" s="33" t="n">
        <x:v>576</x:v>
      </x:c>
      <x:c r="G748" s="33" t="n">
        <x:v>248</x:v>
      </x:c>
      <x:c r="H748" s="26" t="n">
        <x:v>0.4305555555555556</x:v>
      </x:c>
      <x:c r="I748" s="12" t="n">
        <x:v>3</x:v>
      </x:c>
      <x:c r="J748" s="12" t="n">
        <x:v>69</x:v>
      </x:c>
      <x:c r="K748" s="12"/>
      <x:c r="L748" s="12"/>
      <x:c r="M748" s="12" t="str">
        <x:f>IF(K748="", "", MAX(0,IF(K748&lt;=20,100,IF(K748&lt;=30,85,IF(K748&lt;=40,70,IF(K748&lt;=50,55,IF(K748&lt;=60,40,20)))))-MIN(L748*5,20)))</x:f>
      </x:c>
      <x:c r="N748" s="12"/>
      <x:c r="O748" s="12"/>
      <x:c r="P748" s="12" t="str">
        <x:f>IF(OR(H748="",J748="",M748=""),"",ROUND(PERCENTRANK.INC($H$2:$H$941,H748)*35+J748*0.35+M748*0.30,0))</x:f>
      </x:c>
      <x:c r="Q748" s="12" t="str">
        <x:f>IF(P748="","",IF(P748&gt;=80,"ATTACK",IF(P748&gt;=65,"GROW",IF(P748&gt;=50,"PARTNER","WATCH"))))</x:f>
      </x:c>
      <x:c r="R748" s="12" t="str">
        <x:f>IF(Q748="","",IF(Q748="ATTACK","Grassroots + family acquisition",IF(Q748="GROW","Test local campaign",IF(Q748="PARTNER","Organisation-first partnership","Low priority / validate"))))</x:f>
      </x:c>
      <x:c r="S748" s="45" t="n">
        <x:v>4.253308996990076</x:v>
      </x:c>
      <x:c r="T748" t="str">
        <x:v>CORE</x:v>
      </x:c>
      <x:c r="U748" s="32" t="n">
        <x:f>PERCENTRANK.INC($G$2:$G$941,G748)</x:f>
        <x:v>0.757</x:v>
      </x:c>
      <x:c r="V748" s="32" t="n">
        <x:f>PERCENTRANK.INC($H$2:$H$941,H748)</x:f>
        <x:v>0.962</x:v>
      </x:c>
      <x:c r="W748" t="n">
        <x:f>ROUND((U748*55+V748*45)*IF(S748&lt;=5,1,IF(S748&lt;=10,0.95,IF(S748&lt;=20,0.85,0.70))),0)</x:f>
        <x:v>85</x:v>
      </x:c>
      <x:c r="X748" t="n">
        <x:v>78</x:v>
      </x:c>
      <x:c r="Y748" t="str">
        <x:v>GROW</x:v>
      </x:c>
      <x:c r="Z748" s="12" t="str">
        <x:v>Family + verified grassroots + straight-line geo only; transport not yet routed</x:v>
      </x:c>
      <x:c r="AA748" s="12"/>
      <x:c r="AB748" s="12"/>
      <x:c r="AC748" s="12"/>
      <x:c r="AD748" s="12"/>
      <x:c r="AE748" t="str">
        <x:v>Charlton Athletic Women</x:v>
      </x:c>
      <x:c r="AF748" s="45" t="n">
        <x:v>6.848683812846035</x:v>
      </x:c>
      <x:c r="AG748" t="str">
        <x:v>Dulwich Hamlet Women</x:v>
      </x:c>
      <x:c r="AH748" s="45" t="n">
        <x:v>7.103952917193278</x:v>
      </x:c>
      <x:c r="AI748" t="n">
        <x:v>70</x:v>
      </x:c>
      <x:c r="AJ748" t="str">
        <x:v>MEDIUM</x:v>
      </x:c>
    </x:row>
    <x:row r="749">
      <x:c r="A749" s="12" t="str">
        <x:v>E01032564</x:v>
      </x:c>
      <x:c r="B749" s="12" t="str">
        <x:v>Lewisham 037E</x:v>
      </x:c>
      <x:c r="C749" s="12" t="str">
        <x:v>Lewisham</x:v>
      </x:c>
      <x:c r="D749" s="44" t="n">
        <x:v>51.424145157175715</x:v>
      </x:c>
      <x:c r="E749" s="44" t="n">
        <x:v>0.007548137835051134</x:v>
      </x:c>
      <x:c r="F749" s="33" t="n">
        <x:v>490</x:v>
      </x:c>
      <x:c r="G749" s="33" t="n">
        <x:v>189</x:v>
      </x:c>
      <x:c r="H749" s="26" t="n">
        <x:v>0.38571428571428573</x:v>
      </x:c>
      <x:c r="I749" s="12" t="n">
        <x:v>4</x:v>
      </x:c>
      <x:c r="J749" s="12" t="n">
        <x:v>85</x:v>
      </x:c>
      <x:c r="K749" s="12"/>
      <x:c r="L749" s="12"/>
      <x:c r="M749" s="12" t="str">
        <x:f>IF(K749="", "", MAX(0,IF(K749&lt;=20,100,IF(K749&lt;=30,85,IF(K749&lt;=40,70,IF(K749&lt;=50,55,IF(K749&lt;=60,40,20)))))-MIN(L749*5,20)))</x:f>
      </x:c>
      <x:c r="N749" s="12"/>
      <x:c r="O749" s="12"/>
      <x:c r="P749" s="12" t="str">
        <x:f>IF(OR(H749="",J749="",M749=""),"",ROUND(PERCENTRANK.INC($H$2:$H$941,H749)*35+J749*0.35+M749*0.30,0))</x:f>
      </x:c>
      <x:c r="Q749" s="12" t="str">
        <x:f>IF(P749="","",IF(P749&gt;=80,"ATTACK",IF(P749&gt;=65,"GROW",IF(P749&gt;=50,"PARTNER","WATCH"))))</x:f>
      </x:c>
      <x:c r="R749" s="12" t="str">
        <x:f>IF(Q749="","",IF(Q749="ATTACK","Grassroots + family acquisition",IF(Q749="GROW","Test local campaign",IF(Q749="PARTNER","Organisation-first partnership","Low priority / validate"))))</x:f>
      </x:c>
      <x:c r="S749" s="45" t="n">
        <x:v>3.754117564572441</x:v>
      </x:c>
      <x:c r="T749" t="str">
        <x:v>CORE</x:v>
      </x:c>
      <x:c r="U749" s="32" t="n">
        <x:f>PERCENTRANK.INC($G$2:$G$941,G749)</x:f>
        <x:v>0.31</x:v>
      </x:c>
      <x:c r="V749" s="32" t="n">
        <x:f>PERCENTRANK.INC($H$2:$H$941,H749)</x:f>
        <x:v>0.863</x:v>
      </x:c>
      <x:c r="W749" t="n">
        <x:f>ROUND((U749*55+V749*45)*IF(S749&lt;=5,1,IF(S749&lt;=10,0.95,IF(S749&lt;=20,0.85,0.70))),0)</x:f>
        <x:v>56</x:v>
      </x:c>
      <x:c r="X749" t="n">
        <x:v>69</x:v>
      </x:c>
      <x:c r="Y749" t="str">
        <x:v>GROW</x:v>
      </x:c>
      <x:c r="Z749" s="12" t="str">
        <x:v>Family + verified grassroots + straight-line geo only; transport not yet routed</x:v>
      </x:c>
      <x:c r="AA749" s="12"/>
      <x:c r="AB749" s="12"/>
      <x:c r="AC749" s="12"/>
      <x:c r="AD749" s="12"/>
      <x:c r="AE749" t="str">
        <x:v>Crystal Palace Women</x:v>
      </x:c>
      <x:c r="AF749" s="45" t="n">
        <x:v>7.043101313174619</x:v>
      </x:c>
      <x:c r="AG749" t="str">
        <x:v>Dulwich Hamlet Women</x:v>
      </x:c>
      <x:c r="AH749" s="45" t="n">
        <x:v>7.571540676847514</x:v>
      </x:c>
      <x:c r="AI749" t="n">
        <x:v>70</x:v>
      </x:c>
      <x:c r="AJ749" t="str">
        <x:v>MEDIUM</x:v>
      </x:c>
    </x:row>
    <x:row r="750">
      <x:c r="A750" s="12" t="str">
        <x:v>E01003235</x:v>
      </x:c>
      <x:c r="B750" s="12" t="str">
        <x:v>Lewisham 038A</x:v>
      </x:c>
      <x:c r="C750" s="12" t="str">
        <x:v>Lewisham</x:v>
      </x:c>
      <x:c r="D750" s="44" t="n">
        <x:v>51.42018606148962</x:v>
      </x:c>
      <x:c r="E750" s="44" t="n">
        <x:v>-0.0013809315004872952</x:v>
      </x:c>
      <x:c r="F750" s="33" t="n">
        <x:v>524</x:v>
      </x:c>
      <x:c r="G750" s="33" t="n">
        <x:v>179</x:v>
      </x:c>
      <x:c r="H750" s="26" t="n">
        <x:v>0.3416030534351145</x:v>
      </x:c>
      <x:c r="I750" s="12" t="n">
        <x:v>3</x:v>
      </x:c>
      <x:c r="J750" s="12" t="n">
        <x:v>77</x:v>
      </x:c>
      <x:c r="K750" s="12"/>
      <x:c r="L750" s="12"/>
      <x:c r="M750" s="12" t="str">
        <x:f>IF(K750="", "", MAX(0,IF(K750&lt;=20,100,IF(K750&lt;=30,85,IF(K750&lt;=40,70,IF(K750&lt;=50,55,IF(K750&lt;=60,40,20)))))-MIN(L750*5,20)))</x:f>
      </x:c>
      <x:c r="N750" s="12"/>
      <x:c r="O750" s="12"/>
      <x:c r="P750" s="12" t="str">
        <x:f>IF(OR(H750="",J750="",M750=""),"",ROUND(PERCENTRANK.INC($H$2:$H$941,H750)*35+J750*0.35+M750*0.30,0))</x:f>
      </x:c>
      <x:c r="Q750" s="12" t="str">
        <x:f>IF(P750="","",IF(P750&gt;=80,"ATTACK",IF(P750&gt;=65,"GROW",IF(P750&gt;=50,"PARTNER","WATCH"))))</x:f>
      </x:c>
      <x:c r="R750" s="12" t="str">
        <x:f>IF(Q750="","",IF(Q750="ATTACK","Grassroots + family acquisition",IF(Q750="GROW","Test local campaign",IF(Q750="PARTNER","Organisation-first partnership","Low priority / validate"))))</x:f>
      </x:c>
      <x:c r="S750" s="45" t="n">
        <x:v>3.5067627864618602</x:v>
      </x:c>
      <x:c r="T750" t="str">
        <x:v>CORE</x:v>
      </x:c>
      <x:c r="U750" s="32" t="n">
        <x:f>PERCENTRANK.INC($G$2:$G$941,G750)</x:f>
        <x:v>0.22</x:v>
      </x:c>
      <x:c r="V750" s="32" t="n">
        <x:f>PERCENTRANK.INC($H$2:$H$941,H750)</x:f>
        <x:v>0.627</x:v>
      </x:c>
      <x:c r="W750" t="n">
        <x:f>ROUND((U750*55+V750*45)*IF(S750&lt;=5,1,IF(S750&lt;=10,0.95,IF(S750&lt;=20,0.85,0.70))),0)</x:f>
        <x:v>40</x:v>
      </x:c>
      <x:c r="X750" t="n">
        <x:v>57</x:v>
      </x:c>
      <x:c r="Y750" t="str">
        <x:v>PARTNER</x:v>
      </x:c>
      <x:c r="Z750" s="12" t="str">
        <x:v>Family + verified grassroots + straight-line geo only; transport not yet routed</x:v>
      </x:c>
      <x:c r="AA750" s="12"/>
      <x:c r="AB750" s="12"/>
      <x:c r="AC750" s="12"/>
      <x:c r="AD750" s="12"/>
      <x:c r="AE750" t="str">
        <x:v>Crystal Palace Women</x:v>
      </x:c>
      <x:c r="AF750" s="45" t="n">
        <x:v>6.300032445750374</x:v>
      </x:c>
      <x:c r="AG750" t="str">
        <x:v>Dulwich Hamlet Women</x:v>
      </x:c>
      <x:c r="AH750" s="45" t="n">
        <x:v>7.327749519103475</x:v>
      </x:c>
      <x:c r="AI750" t="n">
        <x:v>70</x:v>
      </x:c>
      <x:c r="AJ750" t="str">
        <x:v>MEDIUM</x:v>
      </x:c>
    </x:row>
    <x:row r="751">
      <x:c r="A751" s="12" t="str">
        <x:v>E01003240</x:v>
      </x:c>
      <x:c r="B751" s="12" t="str">
        <x:v>Lewisham 038B</x:v>
      </x:c>
      <x:c r="C751" s="12" t="str">
        <x:v>Lewisham</x:v>
      </x:c>
      <x:c r="D751" s="44" t="n">
        <x:v>51.425113104122744</x:v>
      </x:c>
      <x:c r="E751" s="44" t="n">
        <x:v>0.0004216086638480643</x:v>
      </x:c>
      <x:c r="F751" s="33" t="n">
        <x:v>715</x:v>
      </x:c>
      <x:c r="G751" s="33" t="n">
        <x:v>293</x:v>
      </x:c>
      <x:c r="H751" s="26" t="n">
        <x:v>0.4097902097902098</x:v>
      </x:c>
      <x:c r="I751" s="12" t="n">
        <x:v>3</x:v>
      </x:c>
      <x:c r="J751" s="12" t="n">
        <x:v>77</x:v>
      </x:c>
      <x:c r="K751" s="12"/>
      <x:c r="L751" s="12"/>
      <x:c r="M751" s="12" t="str">
        <x:f>IF(K751="", "", MAX(0,IF(K751&lt;=20,100,IF(K751&lt;=30,85,IF(K751&lt;=40,70,IF(K751&lt;=50,55,IF(K751&lt;=60,40,20)))))-MIN(L751*5,20)))</x:f>
      </x:c>
      <x:c r="N751" s="12"/>
      <x:c r="O751" s="12"/>
      <x:c r="P751" s="12" t="str">
        <x:f>IF(OR(H751="",J751="",M751=""),"",ROUND(PERCENTRANK.INC($H$2:$H$941,H751)*35+J751*0.35+M751*0.30,0))</x:f>
      </x:c>
      <x:c r="Q751" s="12" t="str">
        <x:f>IF(P751="","",IF(P751&gt;=80,"ATTACK",IF(P751&gt;=65,"GROW",IF(P751&gt;=50,"PARTNER","WATCH"))))</x:f>
      </x:c>
      <x:c r="R751" s="12" t="str">
        <x:f>IF(Q751="","",IF(Q751="ATTACK","Grassroots + family acquisition",IF(Q751="GROW","Test local campaign",IF(Q751="PARTNER","Organisation-first partnership","Low priority / validate"))))</x:f>
      </x:c>
      <x:c r="S751" s="45" t="n">
        <x:v>3.979929438971035</x:v>
      </x:c>
      <x:c r="T751" t="str">
        <x:v>CORE</x:v>
      </x:c>
      <x:c r="U751" s="32" t="n">
        <x:f>PERCENTRANK.INC($G$2:$G$941,G751)</x:f>
        <x:v>0.936</x:v>
      </x:c>
      <x:c r="V751" s="32" t="n">
        <x:f>PERCENTRANK.INC($H$2:$H$941,H751)</x:f>
        <x:v>0.935</x:v>
      </x:c>
      <x:c r="W751" t="n">
        <x:f>ROUND((U751*55+V751*45)*IF(S751&lt;=5,1,IF(S751&lt;=10,0.95,IF(S751&lt;=20,0.85,0.70))),0)</x:f>
        <x:v>94</x:v>
      </x:c>
      <x:c r="X751" t="n">
        <x:v>86</x:v>
      </x:c>
      <x:c r="Y751" t="str">
        <x:v>ATTACK</x:v>
      </x:c>
      <x:c r="Z751" s="12" t="str">
        <x:v>Family + verified grassroots + straight-line geo only; transport not yet routed</x:v>
      </x:c>
      <x:c r="AA751" s="12"/>
      <x:c r="AB751" s="12"/>
      <x:c r="AC751" s="12"/>
      <x:c r="AD751" s="12"/>
      <x:c r="AE751" t="str">
        <x:v>Crystal Palace Women</x:v>
      </x:c>
      <x:c r="AF751" s="45" t="n">
        <x:v>6.642603562496717</x:v>
      </x:c>
      <x:c r="AG751" t="str">
        <x:v>Dulwich Hamlet Women</x:v>
      </x:c>
      <x:c r="AH751" s="45" t="n">
        <x:v>7.101179867265492</x:v>
      </x:c>
      <x:c r="AI751" t="n">
        <x:v>70</x:v>
      </x:c>
      <x:c r="AJ751" t="str">
        <x:v>MEDIUM</x:v>
      </x:c>
    </x:row>
    <x:row r="752">
      <x:c r="A752" s="12" t="str">
        <x:v>E01003241</x:v>
      </x:c>
      <x:c r="B752" s="12" t="str">
        <x:v>Lewisham 038C</x:v>
      </x:c>
      <x:c r="C752" s="12" t="str">
        <x:v>Lewisham</x:v>
      </x:c>
      <x:c r="D752" s="44" t="n">
        <x:v>51.425269201865426</x:v>
      </x:c>
      <x:c r="E752" s="44" t="n">
        <x:v>-0.012168562129597759</x:v>
      </x:c>
      <x:c r="F752" s="33" t="n">
        <x:v>696</x:v>
      </x:c>
      <x:c r="G752" s="33" t="n">
        <x:v>167</x:v>
      </x:c>
      <x:c r="H752" s="26" t="n">
        <x:v>0.23994252873563218</x:v>
      </x:c>
      <x:c r="I752" s="12" t="n">
        <x:v>4</x:v>
      </x:c>
      <x:c r="J752" s="12" t="n">
        <x:v>83</x:v>
      </x:c>
      <x:c r="K752" s="12"/>
      <x:c r="L752" s="12"/>
      <x:c r="M752" s="12" t="str">
        <x:f>IF(K752="", "", MAX(0,IF(K752&lt;=20,100,IF(K752&lt;=30,85,IF(K752&lt;=40,70,IF(K752&lt;=50,55,IF(K752&lt;=60,40,20)))))-MIN(L752*5,20)))</x:f>
      </x:c>
      <x:c r="N752" s="12"/>
      <x:c r="O752" s="12"/>
      <x:c r="P752" s="12" t="str">
        <x:f>IF(OR(H752="",J752="",M752=""),"",ROUND(PERCENTRANK.INC($H$2:$H$941,H752)*35+J752*0.35+M752*0.30,0))</x:f>
      </x:c>
      <x:c r="Q752" s="12" t="str">
        <x:f>IF(P752="","",IF(P752&gt;=80,"ATTACK",IF(P752&gt;=65,"GROW",IF(P752&gt;=50,"PARTNER","WATCH"))))</x:f>
      </x:c>
      <x:c r="R752" s="12" t="str">
        <x:f>IF(Q752="","",IF(Q752="ATTACK","Grassroots + family acquisition",IF(Q752="GROW","Test local campaign",IF(Q752="PARTNER","Organisation-first partnership","Low priority / validate"))))</x:f>
      </x:c>
      <x:c r="S752" s="45" t="n">
        <x:v>4.339208236532347</x:v>
      </x:c>
      <x:c r="T752" t="str">
        <x:v>CORE</x:v>
      </x:c>
      <x:c r="U752" s="32" t="n">
        <x:f>PERCENTRANK.INC($G$2:$G$941,G752)</x:f>
        <x:v>0.156</x:v>
      </x:c>
      <x:c r="V752" s="32" t="n">
        <x:f>PERCENTRANK.INC($H$2:$H$941,H752)</x:f>
        <x:v>0.154</x:v>
      </x:c>
      <x:c r="W752" t="n">
        <x:f>ROUND((U752*55+V752*45)*IF(S752&lt;=5,1,IF(S752&lt;=10,0.95,IF(S752&lt;=20,0.85,0.70))),0)</x:f>
        <x:v>16</x:v>
      </x:c>
      <x:c r="X752" t="n">
        <x:v>46</x:v>
      </x:c>
      <x:c r="Y752" t="str">
        <x:v>WATCH</x:v>
      </x:c>
      <x:c r="Z752" s="12" t="str">
        <x:v>Family + verified grassroots + straight-line geo only; transport not yet routed</x:v>
      </x:c>
      <x:c r="AA752" s="12"/>
      <x:c r="AB752" s="12"/>
      <x:c r="AC752" s="12"/>
      <x:c r="AD752" s="12"/>
      <x:c r="AE752" t="str">
        <x:v>Crystal Palace Women</x:v>
      </x:c>
      <x:c r="AF752" s="45" t="n">
        <x:v>5.884393457563908</x:v>
      </x:c>
      <x:c r="AG752" t="str">
        <x:v>Dulwich Hamlet Women</x:v>
      </x:c>
      <x:c r="AH752" s="45" t="n">
        <x:v>6.390623974027106</x:v>
      </x:c>
      <x:c r="AI752" t="n">
        <x:v>81</x:v>
      </x:c>
      <x:c r="AJ752" t="str">
        <x:v>HIGH</x:v>
      </x:c>
    </x:row>
    <x:row r="753">
      <x:c r="A753" s="12" t="str">
        <x:v>E01003243</x:v>
      </x:c>
      <x:c r="B753" s="12" t="str">
        <x:v>Lewisham 038D</x:v>
      </x:c>
      <x:c r="C753" s="12" t="str">
        <x:v>Lewisham</x:v>
      </x:c>
      <x:c r="D753" s="44" t="n">
        <x:v>51.42394195309047</x:v>
      </x:c>
      <x:c r="E753" s="44" t="n">
        <x:v>-0.005539463385064085</x:v>
      </x:c>
      <x:c r="F753" s="33" t="n">
        <x:v>589</x:v>
      </x:c>
      <x:c r="G753" s="33" t="n">
        <x:v>203</x:v>
      </x:c>
      <x:c r="H753" s="26" t="n">
        <x:v>0.34465195246179964</x:v>
      </x:c>
      <x:c r="I753" s="12" t="n">
        <x:v>3</x:v>
      </x:c>
      <x:c r="J753" s="12" t="n">
        <x:v>69</x:v>
      </x:c>
      <x:c r="K753" s="12"/>
      <x:c r="L753" s="12"/>
      <x:c r="M753" s="12" t="str">
        <x:f>IF(K753="", "", MAX(0,IF(K753&lt;=20,100,IF(K753&lt;=30,85,IF(K753&lt;=40,70,IF(K753&lt;=50,55,IF(K753&lt;=60,40,20)))))-MIN(L753*5,20)))</x:f>
      </x:c>
      <x:c r="N753" s="12"/>
      <x:c r="O753" s="12"/>
      <x:c r="P753" s="12" t="str">
        <x:f>IF(OR(H753="",J753="",M753=""),"",ROUND(PERCENTRANK.INC($H$2:$H$941,H753)*35+J753*0.35+M753*0.30,0))</x:f>
      </x:c>
      <x:c r="Q753" s="12" t="str">
        <x:f>IF(P753="","",IF(P753&gt;=80,"ATTACK",IF(P753&gt;=65,"GROW",IF(P753&gt;=50,"PARTNER","WATCH"))))</x:f>
      </x:c>
      <x:c r="R753" s="12" t="str">
        <x:f>IF(Q753="","",IF(Q753="ATTACK","Grassroots + family acquisition",IF(Q753="GROW","Test local campaign",IF(Q753="PARTNER","Organisation-first partnership","Low priority / validate"))))</x:f>
      </x:c>
      <x:c r="S753" s="45" t="n">
        <x:v>4.003870838468919</x:v>
      </x:c>
      <x:c r="T753" t="str">
        <x:v>CORE</x:v>
      </x:c>
      <x:c r="U753" s="32" t="n">
        <x:f>PERCENTRANK.INC($G$2:$G$941,G753)</x:f>
        <x:v>0.417</x:v>
      </x:c>
      <x:c r="V753" s="32" t="n">
        <x:f>PERCENTRANK.INC($H$2:$H$941,H753)</x:f>
        <x:v>0.651</x:v>
      </x:c>
      <x:c r="W753" t="n">
        <x:f>ROUND((U753*55+V753*45)*IF(S753&lt;=5,1,IF(S753&lt;=10,0.95,IF(S753&lt;=20,0.85,0.70))),0)</x:f>
        <x:v>52</x:v>
      </x:c>
      <x:c r="X753" t="n">
        <x:v>60</x:v>
      </x:c>
      <x:c r="Y753" t="str">
        <x:v>PARTNER</x:v>
      </x:c>
      <x:c r="Z753" s="12" t="str">
        <x:v>Family + verified grassroots + straight-line geo only; transport not yet routed</x:v>
      </x:c>
      <x:c r="AA753" s="12"/>
      <x:c r="AB753" s="12"/>
      <x:c r="AC753" s="12"/>
      <x:c r="AD753" s="12"/>
      <x:c r="AE753" t="str">
        <x:v>Crystal Palace Women</x:v>
      </x:c>
      <x:c r="AF753" s="45" t="n">
        <x:v>6.215184806292381</x:v>
      </x:c>
      <x:c r="AG753" t="str">
        <x:v>Dulwich Hamlet Women</x:v>
      </x:c>
      <x:c r="AH753" s="45" t="n">
        <x:v>6.843267363840499</x:v>
      </x:c>
      <x:c r="AI753" t="n">
        <x:v>70</x:v>
      </x:c>
      <x:c r="AJ753" t="str">
        <x:v>MEDIUM</x:v>
      </x:c>
    </x:row>
    <x:row r="754">
      <x:c r="A754" s="12" t="str">
        <x:v>E01032565</x:v>
      </x:c>
      <x:c r="B754" s="12" t="str">
        <x:v>Lewisham 038E</x:v>
      </x:c>
      <x:c r="C754" s="12" t="str">
        <x:v>Lewisham</x:v>
      </x:c>
      <x:c r="D754" s="44" t="n">
        <x:v>51.42114354831506</x:v>
      </x:c>
      <x:c r="E754" s="44" t="n">
        <x:v>0.0039948715453235065</x:v>
      </x:c>
      <x:c r="F754" s="33" t="n">
        <x:v>605</x:v>
      </x:c>
      <x:c r="G754" s="33" t="n">
        <x:v>199</x:v>
      </x:c>
      <x:c r="H754" s="26" t="n">
        <x:v>0.32892561983471075</x:v>
      </x:c>
      <x:c r="I754" s="12" t="n">
        <x:v>4</x:v>
      </x:c>
      <x:c r="J754" s="12" t="n">
        <x:v>85</x:v>
      </x:c>
      <x:c r="K754" s="12"/>
      <x:c r="L754" s="12"/>
      <x:c r="M754" s="12" t="str">
        <x:f>IF(K754="", "", MAX(0,IF(K754&lt;=20,100,IF(K754&lt;=30,85,IF(K754&lt;=40,70,IF(K754&lt;=50,55,IF(K754&lt;=60,40,20)))))-MIN(L754*5,20)))</x:f>
      </x:c>
      <x:c r="N754" s="12"/>
      <x:c r="O754" s="12"/>
      <x:c r="P754" s="12" t="str">
        <x:f>IF(OR(H754="",J754="",M754=""),"",ROUND(PERCENTRANK.INC($H$2:$H$941,H754)*35+J754*0.35+M754*0.30,0))</x:f>
      </x:c>
      <x:c r="Q754" s="12" t="str">
        <x:f>IF(P754="","",IF(P754&gt;=80,"ATTACK",IF(P754&gt;=65,"GROW",IF(P754&gt;=50,"PARTNER","WATCH"))))</x:f>
      </x:c>
      <x:c r="R754" s="12" t="str">
        <x:f>IF(Q754="","",IF(Q754="ATTACK","Grassroots + family acquisition",IF(Q754="GROW","Test local campaign",IF(Q754="PARTNER","Organisation-first partnership","Low priority / validate"))))</x:f>
      </x:c>
      <x:c r="S754" s="45" t="n">
        <x:v>3.4859154776156633</x:v>
      </x:c>
      <x:c r="T754" t="str">
        <x:v>CORE</x:v>
      </x:c>
      <x:c r="U754" s="32" t="n">
        <x:f>PERCENTRANK.INC($G$2:$G$941,G754)</x:f>
        <x:v>0.376</x:v>
      </x:c>
      <x:c r="V754" s="32" t="n">
        <x:f>PERCENTRANK.INC($H$2:$H$941,H754)</x:f>
        <x:v>0.561</x:v>
      </x:c>
      <x:c r="W754" t="n">
        <x:f>ROUND((U754*55+V754*45)*IF(S754&lt;=5,1,IF(S754&lt;=10,0.95,IF(S754&lt;=20,0.85,0.70))),0)</x:f>
        <x:v>46</x:v>
      </x:c>
      <x:c r="X754" t="n">
        <x:v>64</x:v>
      </x:c>
      <x:c r="Y754" t="str">
        <x:v>PARTNER</x:v>
      </x:c>
      <x:c r="Z754" s="12" t="str">
        <x:v>Family + verified grassroots + straight-line geo only; transport not yet routed</x:v>
      </x:c>
      <x:c r="AA754" s="12"/>
      <x:c r="AB754" s="12"/>
      <x:c r="AC754" s="12"/>
      <x:c r="AD754" s="12"/>
      <x:c r="AE754" t="str">
        <x:v>Crystal Palace Women</x:v>
      </x:c>
      <x:c r="AF754" s="45" t="n">
        <x:v>6.685155227303296</x:v>
      </x:c>
      <x:c r="AG754" t="str">
        <x:v>Dulwich Hamlet Women</x:v>
      </x:c>
      <x:c r="AH754" s="45" t="n">
        <x:v>7.558942216168941</x:v>
      </x:c>
      <x:c r="AI754" t="n">
        <x:v>70</x:v>
      </x:c>
      <x:c r="AJ754" t="str">
        <x:v>MEDIUM</x:v>
      </x:c>
    </x:row>
    <x:row r="755">
      <x:c r="A755" s="12" t="str">
        <x:v>E01003298</x:v>
      </x:c>
      <x:c r="B755" s="12" t="str">
        <x:v>Lewisham 039A</x:v>
      </x:c>
      <x:c r="C755" s="12" t="str">
        <x:v>Lewisham</x:v>
      </x:c>
      <x:c r="D755" s="44" t="n">
        <x:v>51.4810866559829</x:v>
      </x:c>
      <x:c r="E755" s="44" t="n">
        <x:v>-0.04019485723342491</x:v>
      </x:c>
      <x:c r="F755" s="33" t="n">
        <x:v>472</x:v>
      </x:c>
      <x:c r="G755" s="33" t="n">
        <x:v>164</x:v>
      </x:c>
      <x:c r="H755" s="26" t="n">
        <x:v>0.3474576271186441</x:v>
      </x:c>
      <x:c r="I755" s="12" t="n">
        <x:v>2</x:v>
      </x:c>
      <x:c r="J755" s="12" t="n">
        <x:v>36</x:v>
      </x:c>
      <x:c r="K755" s="12"/>
      <x:c r="L755" s="12"/>
      <x:c r="M755" s="12" t="str">
        <x:f>IF(K755="", "", MAX(0,IF(K755&lt;=20,100,IF(K755&lt;=30,85,IF(K755&lt;=40,70,IF(K755&lt;=50,55,IF(K755&lt;=60,40,20)))))-MIN(L755*5,20)))</x:f>
      </x:c>
      <x:c r="N755" s="12"/>
      <x:c r="O755" s="12"/>
      <x:c r="P755" s="12" t="str">
        <x:f>IF(OR(H755="",J755="",M755=""),"",ROUND(PERCENTRANK.INC($H$2:$H$941,H755)*35+J755*0.35+M755*0.30,0))</x:f>
      </x:c>
      <x:c r="Q755" s="12" t="str">
        <x:f>IF(P755="","",IF(P755&gt;=80,"ATTACK",IF(P755&gt;=65,"GROW",IF(P755&gt;=50,"PARTNER","WATCH"))))</x:f>
      </x:c>
      <x:c r="R755" s="12" t="str">
        <x:f>IF(Q755="","",IF(Q755="ATTACK","Grassroots + family acquisition",IF(Q755="GROW","Test local campaign",IF(Q755="PARTNER","Organisation-first partnership","Low priority / validate"))))</x:f>
      </x:c>
      <x:c r="S755" s="45" t="n">
        <x:v>10.793081682630628</x:v>
      </x:c>
      <x:c r="T755" t="str">
        <x:v>EXTENDED</x:v>
      </x:c>
      <x:c r="U755" s="32" t="n">
        <x:f>PERCENTRANK.INC($G$2:$G$941,G755)</x:f>
        <x:v>0.139</x:v>
      </x:c>
      <x:c r="V755" s="32" t="n">
        <x:f>PERCENTRANK.INC($H$2:$H$941,H755)</x:f>
        <x:v>0.67</x:v>
      </x:c>
      <x:c r="W755" t="n">
        <x:f>ROUND((U755*55+V755*45)*IF(S755&lt;=5,1,IF(S755&lt;=10,0.95,IF(S755&lt;=20,0.85,0.70))),0)</x:f>
        <x:v>32</x:v>
      </x:c>
      <x:c r="X755" t="n">
        <x:v>34</x:v>
      </x:c>
      <x:c r="Y755" t="str">
        <x:v>WATCH</x:v>
      </x:c>
      <x:c r="Z755" s="12" t="str">
        <x:v>Family + verified grassroots + straight-line geo only; transport not yet routed</x:v>
      </x:c>
      <x:c r="AA755" s="12"/>
      <x:c r="AB755" s="12"/>
      <x:c r="AC755" s="12"/>
      <x:c r="AD755" s="12"/>
      <x:c r="AE755" t="str">
        <x:v>Charlton Athletic Women</x:v>
      </x:c>
      <x:c r="AF755" s="45" t="n">
        <x:v>5.319430960054597</x:v>
      </x:c>
      <x:c r="AG755" t="str">
        <x:v>Millwall Lionesses</x:v>
      </x:c>
      <x:c r="AH755" s="45" t="n">
        <x:v>2.7880330430675455</x:v>
      </x:c>
      <x:c r="AI755" t="n">
        <x:v>89</x:v>
      </x:c>
      <x:c r="AJ755" t="str">
        <x:v>HIGH</x:v>
      </x:c>
    </x:row>
    <x:row r="756">
      <x:c r="A756" s="12" t="str">
        <x:v>E01003300</x:v>
      </x:c>
      <x:c r="B756" s="12" t="str">
        <x:v>Lewisham 039B</x:v>
      </x:c>
      <x:c r="C756" s="12" t="str">
        <x:v>Lewisham</x:v>
      </x:c>
      <x:c r="D756" s="44" t="n">
        <x:v>51.47947785263076</x:v>
      </x:c>
      <x:c r="E756" s="44" t="n">
        <x:v>-0.03763820685271669</x:v>
      </x:c>
      <x:c r="F756" s="33" t="n">
        <x:v>600</x:v>
      </x:c>
      <x:c r="G756" s="33" t="n">
        <x:v>182</x:v>
      </x:c>
      <x:c r="H756" s="26" t="n">
        <x:v>0.30333333333333334</x:v>
      </x:c>
      <x:c r="I756" s="12" t="n">
        <x:v>2</x:v>
      </x:c>
      <x:c r="J756" s="12" t="n">
        <x:v>36</x:v>
      </x:c>
      <x:c r="K756" s="12"/>
      <x:c r="L756" s="12"/>
      <x:c r="M756" s="12" t="str">
        <x:f>IF(K756="", "", MAX(0,IF(K756&lt;=20,100,IF(K756&lt;=30,85,IF(K756&lt;=40,70,IF(K756&lt;=50,55,IF(K756&lt;=60,40,20)))))-MIN(L756*5,20)))</x:f>
      </x:c>
      <x:c r="N756" s="12"/>
      <x:c r="O756" s="12"/>
      <x:c r="P756" s="12" t="str">
        <x:f>IF(OR(H756="",J756="",M756=""),"",ROUND(PERCENTRANK.INC($H$2:$H$941,H756)*35+J756*0.35+M756*0.30,0))</x:f>
      </x:c>
      <x:c r="Q756" s="12" t="str">
        <x:f>IF(P756="","",IF(P756&gt;=80,"ATTACK",IF(P756&gt;=65,"GROW",IF(P756&gt;=50,"PARTNER","WATCH"))))</x:f>
      </x:c>
      <x:c r="R756" s="12" t="str">
        <x:f>IF(Q756="","",IF(Q756="ATTACK","Grassroots + family acquisition",IF(Q756="GROW","Test local campaign",IF(Q756="PARTNER","Organisation-first partnership","Low priority / validate"))))</x:f>
      </x:c>
      <x:c r="S756" s="45" t="n">
        <x:v>10.561593806783543</x:v>
      </x:c>
      <x:c r="T756" t="str">
        <x:v>EXTENDED</x:v>
      </x:c>
      <x:c r="U756" s="32" t="n">
        <x:f>PERCENTRANK.INC($G$2:$G$941,G756)</x:f>
        <x:v>0.238</x:v>
      </x:c>
      <x:c r="V756" s="32" t="n">
        <x:f>PERCENTRANK.INC($H$2:$H$941,H756)</x:f>
        <x:v>0.414</x:v>
      </x:c>
      <x:c r="W756" t="n">
        <x:f>ROUND((U756*55+V756*45)*IF(S756&lt;=5,1,IF(S756&lt;=10,0.95,IF(S756&lt;=20,0.85,0.70))),0)</x:f>
        <x:v>27</x:v>
      </x:c>
      <x:c r="X756" t="n">
        <x:v>31</x:v>
      </x:c>
      <x:c r="Y756" t="str">
        <x:v>WATCH</x:v>
      </x:c>
      <x:c r="Z756" s="12" t="str">
        <x:v>Family + verified grassroots + straight-line geo only; transport not yet routed</x:v>
      </x:c>
      <x:c r="AA756" s="12"/>
      <x:c r="AB756" s="12"/>
      <x:c r="AC756" s="12"/>
      <x:c r="AD756" s="12"/>
      <x:c r="AE756" t="str">
        <x:v>Charlton Athletic Women</x:v>
      </x:c>
      <x:c r="AF756" s="45" t="n">
        <x:v>5.167222405244989</x:v>
      </x:c>
      <x:c r="AG756" t="str">
        <x:v>Millwall Lionesses</x:v>
      </x:c>
      <x:c r="AH756" s="45" t="n">
        <x:v>2.9723027472685044</x:v>
      </x:c>
      <x:c r="AI756" t="n">
        <x:v>89</x:v>
      </x:c>
      <x:c r="AJ756" t="str">
        <x:v>HIGH</x:v>
      </x:c>
    </x:row>
    <x:row r="757">
      <x:c r="A757" s="12" t="str">
        <x:v>E01003303</x:v>
      </x:c>
      <x:c r="B757" s="12" t="str">
        <x:v>Lewisham 039C</x:v>
      </x:c>
      <x:c r="C757" s="12" t="str">
        <x:v>Lewisham</x:v>
      </x:c>
      <x:c r="D757" s="44" t="n">
        <x:v>51.4768687480168</x:v>
      </x:c>
      <x:c r="E757" s="44" t="n">
        <x:v>-0.03298768862014874</x:v>
      </x:c>
      <x:c r="F757" s="33" t="n">
        <x:v>646</x:v>
      </x:c>
      <x:c r="G757" s="33" t="n">
        <x:v>169</x:v>
      </x:c>
      <x:c r="H757" s="26" t="n">
        <x:v>0.26160990712074306</x:v>
      </x:c>
      <x:c r="I757" s="12" t="n">
        <x:v>2</x:v>
      </x:c>
      <x:c r="J757" s="12" t="n">
        <x:v>43</x:v>
      </x:c>
      <x:c r="K757" s="12"/>
      <x:c r="L757" s="12"/>
      <x:c r="M757" s="12" t="str">
        <x:f>IF(K757="", "", MAX(0,IF(K757&lt;=20,100,IF(K757&lt;=30,85,IF(K757&lt;=40,70,IF(K757&lt;=50,55,IF(K757&lt;=60,40,20)))))-MIN(L757*5,20)))</x:f>
      </x:c>
      <x:c r="N757" s="12"/>
      <x:c r="O757" s="12"/>
      <x:c r="P757" s="12" t="str">
        <x:f>IF(OR(H757="",J757="",M757=""),"",ROUND(PERCENTRANK.INC($H$2:$H$941,H757)*35+J757*0.35+M757*0.30,0))</x:f>
      </x:c>
      <x:c r="Q757" s="12" t="str">
        <x:f>IF(P757="","",IF(P757&gt;=80,"ATTACK",IF(P757&gt;=65,"GROW",IF(P757&gt;=50,"PARTNER","WATCH"))))</x:f>
      </x:c>
      <x:c r="R757" s="12" t="str">
        <x:f>IF(Q757="","",IF(Q757="ATTACK","Grassroots + family acquisition",IF(Q757="GROW","Test local campaign",IF(Q757="PARTNER","Organisation-first partnership","Low priority / validate"))))</x:f>
      </x:c>
      <x:c r="S757" s="45" t="n">
        <x:v>10.176090299160414</x:v>
      </x:c>
      <x:c r="T757" t="str">
        <x:v>EXTENDED</x:v>
      </x:c>
      <x:c r="U757" s="32" t="n">
        <x:f>PERCENTRANK.INC($G$2:$G$941,G757)</x:f>
        <x:v>0.169</x:v>
      </x:c>
      <x:c r="V757" s="32" t="n">
        <x:f>PERCENTRANK.INC($H$2:$H$941,H757)</x:f>
        <x:v>0.226</x:v>
      </x:c>
      <x:c r="W757" t="n">
        <x:f>ROUND((U757*55+V757*45)*IF(S757&lt;=5,1,IF(S757&lt;=10,0.95,IF(S757&lt;=20,0.85,0.70))),0)</x:f>
        <x:v>17</x:v>
      </x:c>
      <x:c r="X757" t="n">
        <x:v>29</x:v>
      </x:c>
      <x:c r="Y757" t="str">
        <x:v>WATCH</x:v>
      </x:c>
      <x:c r="Z757" s="12" t="str">
        <x:v>Family + verified grassroots + straight-line geo only; transport not yet routed</x:v>
      </x:c>
      <x:c r="AA757" s="12"/>
      <x:c r="AB757" s="12"/>
      <x:c r="AC757" s="12"/>
      <x:c r="AD757" s="12"/>
      <x:c r="AE757" t="str">
        <x:v>Charlton Athletic Women</x:v>
      </x:c>
      <x:c r="AF757" s="45" t="n">
        <x:v>4.903579939397489</x:v>
      </x:c>
      <x:c r="AG757" t="str">
        <x:v>Millwall Lionesses</x:v>
      </x:c>
      <x:c r="AH757" s="45" t="n">
        <x:v>3.2953069991206245</x:v>
      </x:c>
      <x:c r="AI757" t="n">
        <x:v>85</x:v>
      </x:c>
      <x:c r="AJ757" t="str">
        <x:v>HIGH</x:v>
      </x:c>
    </x:row>
    <x:row r="758">
      <x:c r="A758" s="12" t="str">
        <x:v>E01003304</x:v>
      </x:c>
      <x:c r="B758" s="12" t="str">
        <x:v>Lewisham 039D</x:v>
      </x:c>
      <x:c r="C758" s="12" t="str">
        <x:v>Lewisham</x:v>
      </x:c>
      <x:c r="D758" s="44" t="n">
        <x:v>51.47760639422188</x:v>
      </x:c>
      <x:c r="E758" s="44" t="n">
        <x:v>-0.027916511637892195</x:v>
      </x:c>
      <x:c r="F758" s="33" t="n">
        <x:v>1081</x:v>
      </x:c>
      <x:c r="G758" s="33" t="n">
        <x:v>209</x:v>
      </x:c>
      <x:c r="H758" s="26" t="n">
        <x:v>0.1933395004625347</x:v>
      </x:c>
      <x:c r="I758" s="12" t="n">
        <x:v>2</x:v>
      </x:c>
      <x:c r="J758" s="12" t="n">
        <x:v>43</x:v>
      </x:c>
      <x:c r="K758" s="12"/>
      <x:c r="L758" s="12"/>
      <x:c r="M758" s="12" t="str">
        <x:f>IF(K758="", "", MAX(0,IF(K758&lt;=20,100,IF(K758&lt;=30,85,IF(K758&lt;=40,70,IF(K758&lt;=50,55,IF(K758&lt;=60,40,20)))))-MIN(L758*5,20)))</x:f>
      </x:c>
      <x:c r="N758" s="12"/>
      <x:c r="O758" s="12"/>
      <x:c r="P758" s="12" t="str">
        <x:f>IF(OR(H758="",J758="",M758=""),"",ROUND(PERCENTRANK.INC($H$2:$H$941,H758)*35+J758*0.35+M758*0.30,0))</x:f>
      </x:c>
      <x:c r="Q758" s="12" t="str">
        <x:f>IF(P758="","",IF(P758&gt;=80,"ATTACK",IF(P758&gt;=65,"GROW",IF(P758&gt;=50,"PARTNER","WATCH"))))</x:f>
      </x:c>
      <x:c r="R758" s="12" t="str">
        <x:f>IF(Q758="","",IF(Q758="ATTACK","Grassroots + family acquisition",IF(Q758="GROW","Test local campaign",IF(Q758="PARTNER","Organisation-first partnership","Low priority / validate"))))</x:f>
      </x:c>
      <x:c r="S758" s="45" t="n">
        <x:v>10.137982478383565</x:v>
      </x:c>
      <x:c r="T758" t="str">
        <x:v>EXTENDED</x:v>
      </x:c>
      <x:c r="U758" s="32" t="n">
        <x:f>PERCENTRANK.INC($G$2:$G$941,G758)</x:f>
        <x:v>0.461</x:v>
      </x:c>
      <x:c r="V758" s="32" t="n">
        <x:f>PERCENTRANK.INC($H$2:$H$941,H758)</x:f>
        <x:v>0.055</x:v>
      </x:c>
      <x:c r="W758" t="n">
        <x:f>ROUND((U758*55+V758*45)*IF(S758&lt;=5,1,IF(S758&lt;=10,0.95,IF(S758&lt;=20,0.85,0.70))),0)</x:f>
        <x:v>24</x:v>
      </x:c>
      <x:c r="X758" t="n">
        <x:v>33</x:v>
      </x:c>
      <x:c r="Y758" t="str">
        <x:v>WATCH</x:v>
      </x:c>
      <x:c r="Z758" s="12" t="str">
        <x:v>Family + verified grassroots + straight-line geo only; transport not yet routed</x:v>
      </x:c>
      <x:c r="AA758" s="12"/>
      <x:c r="AB758" s="12"/>
      <x:c r="AC758" s="12"/>
      <x:c r="AD758" s="12"/>
      <x:c r="AE758" t="str">
        <x:v>Charlton Athletic Women</x:v>
      </x:c>
      <x:c r="AF758" s="45" t="n">
        <x:v>4.5429482022701775</x:v>
      </x:c>
      <x:c r="AG758" t="str">
        <x:v>Millwall Lionesses</x:v>
      </x:c>
      <x:c r="AH758" s="45" t="n">
        <x:v>3.2872980698939673</x:v>
      </x:c>
      <x:c r="AI758" t="n">
        <x:v>85</x:v>
      </x:c>
      <x:c r="AJ758" t="str">
        <x:v>HIGH</x:v>
      </x:c>
    </x:row>
    <x:row r="759">
      <x:c r="A759" s="12" t="str">
        <x:v>E01032579</x:v>
      </x:c>
      <x:c r="B759" s="12" t="str">
        <x:v>Lewisham 039E</x:v>
      </x:c>
      <x:c r="C759" s="12" t="str">
        <x:v>Lewisham</x:v>
      </x:c>
      <x:c r="D759" s="44" t="n">
        <x:v>51.47751973868348</x:v>
      </x:c>
      <x:c r="E759" s="44" t="n">
        <x:v>-0.021914027392053996</x:v>
      </x:c>
      <x:c r="F759" s="33" t="n">
        <x:v>972</x:v>
      </x:c>
      <x:c r="G759" s="33" t="n">
        <x:v>224</x:v>
      </x:c>
      <x:c r="H759" s="26" t="n">
        <x:v>0.23045267489711935</x:v>
      </x:c>
      <x:c r="I759" s="12" t="n">
        <x:v>2</x:v>
      </x:c>
      <x:c r="J759" s="12" t="n">
        <x:v>43</x:v>
      </x:c>
      <x:c r="K759" s="12"/>
      <x:c r="L759" s="12"/>
      <x:c r="M759" s="12" t="str">
        <x:f>IF(K759="", "", MAX(0,IF(K759&lt;=20,100,IF(K759&lt;=30,85,IF(K759&lt;=40,70,IF(K759&lt;=50,55,IF(K759&lt;=60,40,20)))))-MIN(L759*5,20)))</x:f>
      </x:c>
      <x:c r="N759" s="12"/>
      <x:c r="O759" s="12"/>
      <x:c r="P759" s="12" t="str">
        <x:f>IF(OR(H759="",J759="",M759=""),"",ROUND(PERCENTRANK.INC($H$2:$H$941,H759)*35+J759*0.35+M759*0.30,0))</x:f>
      </x:c>
      <x:c r="Q759" s="12" t="str">
        <x:f>IF(P759="","",IF(P759&gt;=80,"ATTACK",IF(P759&gt;=65,"GROW",IF(P759&gt;=50,"PARTNER","WATCH"))))</x:f>
      </x:c>
      <x:c r="R759" s="12" t="str">
        <x:f>IF(Q759="","",IF(Q759="ATTACK","Grassroots + family acquisition",IF(Q759="GROW","Test local campaign",IF(Q759="PARTNER","Organisation-first partnership","Low priority / validate"))))</x:f>
      </x:c>
      <x:c r="S759" s="45" t="n">
        <x:v>10.006709265477777</x:v>
      </x:c>
      <x:c r="T759" t="str">
        <x:v>EXTENDED</x:v>
      </x:c>
      <x:c r="U759" s="32" t="n">
        <x:f>PERCENTRANK.INC($G$2:$G$941,G759)</x:f>
        <x:v>0.576</x:v>
      </x:c>
      <x:c r="V759" s="32" t="n">
        <x:f>PERCENTRANK.INC($H$2:$H$941,H759)</x:f>
        <x:v>0.139</x:v>
      </x:c>
      <x:c r="W759" t="n">
        <x:f>ROUND((U759*55+V759*45)*IF(S759&lt;=5,1,IF(S759&lt;=10,0.95,IF(S759&lt;=20,0.85,0.70))),0)</x:f>
        <x:v>32</x:v>
      </x:c>
      <x:c r="X759" t="n">
        <x:v>37</x:v>
      </x:c>
      <x:c r="Y759" t="str">
        <x:v>WATCH</x:v>
      </x:c>
      <x:c r="Z759" s="12" t="str">
        <x:v>Family + verified grassroots + straight-line geo only; transport not yet routed</x:v>
      </x:c>
      <x:c r="AA759" s="12"/>
      <x:c r="AB759" s="12"/>
      <x:c r="AC759" s="12"/>
      <x:c r="AD759" s="12"/>
      <x:c r="AE759" t="str">
        <x:v>Charlton Athletic Women</x:v>
      </x:c>
      <x:c r="AF759" s="45" t="n">
        <x:v>4.140289469430882</x:v>
      </x:c>
      <x:c r="AG759" t="str">
        <x:v>Millwall Lionesses</x:v>
      </x:c>
      <x:c r="AH759" s="45" t="n">
        <x:v>3.427576134440018</x:v>
      </x:c>
      <x:c r="AI759" t="n">
        <x:v>85</x:v>
      </x:c>
      <x:c r="AJ759" t="str">
        <x:v>HIGH</x:v>
      </x:c>
    </x:row>
    <x:row r="760">
      <x:c r="A760" s="12" t="str">
        <x:v>E01034392</x:v>
      </x:c>
      <x:c r="B760" s="12" t="str">
        <x:v>Lewisham 040A</x:v>
      </x:c>
      <x:c r="C760" s="12" t="str">
        <x:v>Lewisham</x:v>
      </x:c>
      <x:c r="D760" s="44" t="n">
        <x:v>51.46746471367717</x:v>
      </x:c>
      <x:c r="E760" s="44" t="n">
        <x:v>-0.01629415083413965</x:v>
      </x:c>
      <x:c r="F760" s="33" t="n">
        <x:v>677</x:v>
      </x:c>
      <x:c r="G760" s="33" t="n">
        <x:v>178</x:v>
      </x:c>
      <x:c r="H760" s="26" t="n">
        <x:v>0.26292466765140327</x:v>
      </x:c>
      <x:c r="I760" s="12" t="n">
        <x:v>2</x:v>
      </x:c>
      <x:c r="J760" s="12" t="n">
        <x:v>36</x:v>
      </x:c>
      <x:c r="K760" s="12"/>
      <x:c r="L760" s="12"/>
      <x:c r="M760" s="12" t="str">
        <x:f>IF(K760="", "", MAX(0,IF(K760&lt;=20,100,IF(K760&lt;=30,85,IF(K760&lt;=40,70,IF(K760&lt;=50,55,IF(K760&lt;=60,40,20)))))-MIN(L760*5,20)))</x:f>
      </x:c>
      <x:c r="N760" s="12"/>
      <x:c r="O760" s="12"/>
      <x:c r="P760" s="12" t="str">
        <x:f>IF(OR(H760="",J760="",M760=""),"",ROUND(PERCENTRANK.INC($H$2:$H$941,H760)*35+J760*0.35+M760*0.30,0))</x:f>
      </x:c>
      <x:c r="Q760" s="12" t="str">
        <x:f>IF(P760="","",IF(P760&gt;=80,"ATTACK",IF(P760&gt;=65,"GROW",IF(P760&gt;=50,"PARTNER","WATCH"))))</x:f>
      </x:c>
      <x:c r="R760" s="12" t="str">
        <x:f>IF(Q760="","",IF(Q760="ATTACK","Grassroots + family acquisition",IF(Q760="GROW","Test local campaign",IF(Q760="PARTNER","Organisation-first partnership","Low priority / validate"))))</x:f>
      </x:c>
      <x:c r="S760" s="45" t="n">
        <x:v>8.824980544249094</x:v>
      </x:c>
      <x:c r="T760" t="str">
        <x:v>NEAR</x:v>
      </x:c>
      <x:c r="U760" s="32" t="n">
        <x:f>PERCENTRANK.INC($G$2:$G$941,G760)</x:f>
        <x:v>0.21</x:v>
      </x:c>
      <x:c r="V760" s="32" t="n">
        <x:f>PERCENTRANK.INC($H$2:$H$941,H760)</x:f>
        <x:v>0.235</x:v>
      </x:c>
      <x:c r="W760" t="n">
        <x:f>ROUND((U760*55+V760*45)*IF(S760&lt;=5,1,IF(S760&lt;=10,0.95,IF(S760&lt;=20,0.85,0.70))),0)</x:f>
        <x:v>21</x:v>
      </x:c>
      <x:c r="X760" t="n">
        <x:v>28</x:v>
      </x:c>
      <x:c r="Y760" t="str">
        <x:v>WATCH</x:v>
      </x:c>
      <x:c r="Z760" s="12" t="str">
        <x:v>Family + verified grassroots + straight-line geo only; transport not yet routed</x:v>
      </x:c>
      <x:c r="AA760" s="12"/>
      <x:c r="AB760" s="12"/>
      <x:c r="AC760" s="12"/>
      <x:c r="AD760" s="12"/>
      <x:c r="AE760" t="str">
        <x:v>Charlton Athletic Women</x:v>
      </x:c>
      <x:c r="AF760" s="45" t="n">
        <x:v>4.198210037295509</x:v>
      </x:c>
      <x:c r="AG760" t="str">
        <x:v>Millwall Lionesses</x:v>
      </x:c>
      <x:c r="AH760" s="45" t="n">
        <x:v>4.610629224826225</x:v>
      </x:c>
      <x:c r="AI760" t="n">
        <x:v>85</x:v>
      </x:c>
      <x:c r="AJ760" t="str">
        <x:v>HIGH</x:v>
      </x:c>
    </x:row>
    <x:row r="761">
      <x:c r="A761" s="12" t="str">
        <x:v>E01034393</x:v>
      </x:c>
      <x:c r="B761" s="12" t="str">
        <x:v>Lewisham 040B</x:v>
      </x:c>
      <x:c r="C761" s="12" t="str">
        <x:v>Lewisham</x:v>
      </x:c>
      <x:c r="D761" s="44" t="n">
        <x:v>51.46712786439525</x:v>
      </x:c>
      <x:c r="E761" s="44" t="n">
        <x:v>-0.01405764177492671</x:v>
      </x:c>
      <x:c r="F761" s="33" t="n">
        <x:v>617</x:v>
      </x:c>
      <x:c r="G761" s="33" t="n">
        <x:v>60</x:v>
      </x:c>
      <x:c r="H761" s="26" t="n">
        <x:v>0.09724473257698542</x:v>
      </x:c>
      <x:c r="I761" s="12" t="n">
        <x:v>2</x:v>
      </x:c>
      <x:c r="J761" s="12" t="n">
        <x:v>36</x:v>
      </x:c>
      <x:c r="K761" s="12"/>
      <x:c r="L761" s="12"/>
      <x:c r="M761" s="12" t="str">
        <x:f>IF(K761="", "", MAX(0,IF(K761&lt;=20,100,IF(K761&lt;=30,85,IF(K761&lt;=40,70,IF(K761&lt;=50,55,IF(K761&lt;=60,40,20)))))-MIN(L761*5,20)))</x:f>
      </x:c>
      <x:c r="N761" s="12"/>
      <x:c r="O761" s="12"/>
      <x:c r="P761" s="12" t="str">
        <x:f>IF(OR(H761="",J761="",M761=""),"",ROUND(PERCENTRANK.INC($H$2:$H$941,H761)*35+J761*0.35+M761*0.30,0))</x:f>
      </x:c>
      <x:c r="Q761" s="12" t="str">
        <x:f>IF(P761="","",IF(P761&gt;=80,"ATTACK",IF(P761&gt;=65,"GROW",IF(P761&gt;=50,"PARTNER","WATCH"))))</x:f>
      </x:c>
      <x:c r="R761" s="12" t="str">
        <x:f>IF(Q761="","",IF(Q761="ATTACK","Grassroots + family acquisition",IF(Q761="GROW","Test local campaign",IF(Q761="PARTNER","Organisation-first partnership","Low priority / validate"))))</x:f>
      </x:c>
      <x:c r="S761" s="45" t="n">
        <x:v>8.748579032559702</x:v>
      </x:c>
      <x:c r="T761" t="str">
        <x:v>NEAR</x:v>
      </x:c>
      <x:c r="U761" s="32" t="n">
        <x:f>PERCENTRANK.INC($G$2:$G$941,G761)</x:f>
        <x:v>0.006</x:v>
      </x:c>
      <x:c r="V761" s="32" t="n">
        <x:f>PERCENTRANK.INC($H$2:$H$941,H761)</x:f>
        <x:v>0.007</x:v>
      </x:c>
      <x:c r="W761" t="n">
        <x:f>ROUND((U761*55+V761*45)*IF(S761&lt;=5,1,IF(S761&lt;=10,0.95,IF(S761&lt;=20,0.85,0.70))),0)</x:f>
        <x:v>1</x:v>
      </x:c>
      <x:c r="X761" t="n">
        <x:v>17</x:v>
      </x:c>
      <x:c r="Y761" t="str">
        <x:v>WATCH</x:v>
      </x:c>
      <x:c r="Z761" s="12" t="str">
        <x:v>Family + verified grassroots + straight-line geo only; transport not yet routed</x:v>
      </x:c>
      <x:c r="AA761" s="12"/>
      <x:c r="AB761" s="12"/>
      <x:c r="AC761" s="12"/>
      <x:c r="AD761" s="12"/>
      <x:c r="AE761" t="str">
        <x:v>Charlton Athletic Women</x:v>
      </x:c>
      <x:c r="AF761" s="45" t="n">
        <x:v>4.08448732332266</x:v>
      </x:c>
      <x:c r="AG761" t="str">
        <x:v>Millwall Lionesses</x:v>
      </x:c>
      <x:c r="AH761" s="45" t="n">
        <x:v>4.703054388666979</x:v>
      </x:c>
      <x:c r="AI761" t="n">
        <x:v>85</x:v>
      </x:c>
      <x:c r="AJ761" t="str">
        <x:v>HIGH</x:v>
      </x:c>
    </x:row>
    <x:row r="762">
      <x:c r="A762" s="12" t="str">
        <x:v>E01034394</x:v>
      </x:c>
      <x:c r="B762" s="12" t="str">
        <x:v>Lewisham 040C</x:v>
      </x:c>
      <x:c r="C762" s="12" t="str">
        <x:v>Lewisham</x:v>
      </x:c>
      <x:c r="D762" s="44" t="n">
        <x:v>51.464181788671304</x:v>
      </x:c>
      <x:c r="E762" s="44" t="n">
        <x:v>-0.014855895232288013</x:v>
      </x:c>
      <x:c r="F762" s="33" t="n">
        <x:v>670</x:v>
      </x:c>
      <x:c r="G762" s="33" t="n">
        <x:v>79</x:v>
      </x:c>
      <x:c r="H762" s="26" t="n">
        <x:v>0.11791044776119403</x:v>
      </x:c>
      <x:c r="I762" s="12" t="n">
        <x:v>2</x:v>
      </x:c>
      <x:c r="J762" s="12" t="n">
        <x:v>36</x:v>
      </x:c>
      <x:c r="K762" s="12"/>
      <x:c r="L762" s="12"/>
      <x:c r="M762" s="12" t="str">
        <x:f>IF(K762="", "", MAX(0,IF(K762&lt;=20,100,IF(K762&lt;=30,85,IF(K762&lt;=40,70,IF(K762&lt;=50,55,IF(K762&lt;=60,40,20)))))-MIN(L762*5,20)))</x:f>
      </x:c>
      <x:c r="N762" s="12"/>
      <x:c r="O762" s="12"/>
      <x:c r="P762" s="12" t="str">
        <x:f>IF(OR(H762="",J762="",M762=""),"",ROUND(PERCENTRANK.INC($H$2:$H$941,H762)*35+J762*0.35+M762*0.30,0))</x:f>
      </x:c>
      <x:c r="Q762" s="12" t="str">
        <x:f>IF(P762="","",IF(P762&gt;=80,"ATTACK",IF(P762&gt;=65,"GROW",IF(P762&gt;=50,"PARTNER","WATCH"))))</x:f>
      </x:c>
      <x:c r="R762" s="12" t="str">
        <x:f>IF(Q762="","",IF(Q762="ATTACK","Grassroots + family acquisition",IF(Q762="GROW","Test local campaign",IF(Q762="PARTNER","Organisation-first partnership","Low priority / validate"))))</x:f>
      </x:c>
      <x:c r="S762" s="45" t="n">
        <x:v>8.446586924006734</x:v>
      </x:c>
      <x:c r="T762" t="str">
        <x:v>NEAR</x:v>
      </x:c>
      <x:c r="U762" s="32" t="n">
        <x:f>PERCENTRANK.INC($G$2:$G$941,G762)</x:f>
        <x:v>0.009</x:v>
      </x:c>
      <x:c r="V762" s="32" t="n">
        <x:f>PERCENTRANK.INC($H$2:$H$941,H762)</x:f>
        <x:v>0.012</x:v>
      </x:c>
      <x:c r="W762" t="n">
        <x:f>ROUND((U762*55+V762*45)*IF(S762&lt;=5,1,IF(S762&lt;=10,0.95,IF(S762&lt;=20,0.85,0.70))),0)</x:f>
        <x:v>1</x:v>
      </x:c>
      <x:c r="X762" t="n">
        <x:v>17</x:v>
      </x:c>
      <x:c r="Y762" t="str">
        <x:v>WATCH</x:v>
      </x:c>
      <x:c r="Z762" s="12" t="str">
        <x:v>Family + verified grassroots + straight-line geo only; transport not yet routed</x:v>
      </x:c>
      <x:c r="AA762" s="12"/>
      <x:c r="AB762" s="12"/>
      <x:c r="AC762" s="12"/>
      <x:c r="AD762" s="12"/>
      <x:c r="AE762" t="str">
        <x:v>Charlton Athletic Women</x:v>
      </x:c>
      <x:c r="AF762" s="45" t="n">
        <x:v>4.310765661026739</x:v>
      </x:c>
      <x:c r="AG762" t="str">
        <x:v>Dulwich Hamlet Women</x:v>
      </x:c>
      <x:c r="AH762" s="45" t="n">
        <x:v>4.799280398023855</x:v>
      </x:c>
      <x:c r="AI762" t="n">
        <x:v>85</x:v>
      </x:c>
      <x:c r="AJ762" t="str">
        <x:v>HIGH</x:v>
      </x:c>
    </x:row>
    <x:row r="763">
      <x:c r="A763" s="12" t="str">
        <x:v>E01034395</x:v>
      </x:c>
      <x:c r="B763" s="12" t="str">
        <x:v>Lewisham 040D</x:v>
      </x:c>
      <x:c r="C763" s="12" t="str">
        <x:v>Lewisham</x:v>
      </x:c>
      <x:c r="D763" s="44" t="n">
        <x:v>51.46436759290361</x:v>
      </x:c>
      <x:c r="E763" s="44" t="n">
        <x:v>-0.01636797673925794</x:v>
      </x:c>
      <x:c r="F763" s="33" t="n">
        <x:v>703</x:v>
      </x:c>
      <x:c r="G763" s="33" t="n">
        <x:v>268</x:v>
      </x:c>
      <x:c r="H763" s="26" t="n">
        <x:v>0.3812233285917496</x:v>
      </x:c>
      <x:c r="I763" s="12" t="n">
        <x:v>2</x:v>
      </x:c>
      <x:c r="J763" s="12" t="n">
        <x:v>36</x:v>
      </x:c>
      <x:c r="K763" s="12"/>
      <x:c r="L763" s="12"/>
      <x:c r="M763" s="12" t="str">
        <x:f>IF(K763="", "", MAX(0,IF(K763&lt;=20,100,IF(K763&lt;=30,85,IF(K763&lt;=40,70,IF(K763&lt;=50,55,IF(K763&lt;=60,40,20)))))-MIN(L763*5,20)))</x:f>
      </x:c>
      <x:c r="N763" s="12"/>
      <x:c r="O763" s="12"/>
      <x:c r="P763" s="12" t="str">
        <x:f>IF(OR(H763="",J763="",M763=""),"",ROUND(PERCENTRANK.INC($H$2:$H$941,H763)*35+J763*0.35+M763*0.30,0))</x:f>
      </x:c>
      <x:c r="Q763" s="12" t="str">
        <x:f>IF(P763="","",IF(P763&gt;=80,"ATTACK",IF(P763&gt;=65,"GROW",IF(P763&gt;=50,"PARTNER","WATCH"))))</x:f>
      </x:c>
      <x:c r="R763" s="12" t="str">
        <x:f>IF(Q763="","",IF(Q763="ATTACK","Grassroots + family acquisition",IF(Q763="GROW","Test local campaign",IF(Q763="PARTNER","Organisation-first partnership","Low priority / validate"))))</x:f>
      </x:c>
      <x:c r="S763" s="45" t="n">
        <x:v>8.495053477385914</x:v>
      </x:c>
      <x:c r="T763" t="str">
        <x:v>NEAR</x:v>
      </x:c>
      <x:c r="U763" s="32" t="n">
        <x:f>PERCENTRANK.INC($G$2:$G$941,G763)</x:f>
        <x:v>0.861</x:v>
      </x:c>
      <x:c r="V763" s="32" t="n">
        <x:f>PERCENTRANK.INC($H$2:$H$941,H763)</x:f>
        <x:v>0.833</x:v>
      </x:c>
      <x:c r="W763" t="n">
        <x:f>ROUND((U763*55+V763*45)*IF(S763&lt;=5,1,IF(S763&lt;=10,0.95,IF(S763&lt;=20,0.85,0.70))),0)</x:f>
        <x:v>81</x:v>
      </x:c>
      <x:c r="X763" t="n">
        <x:v>61</x:v>
      </x:c>
      <x:c r="Y763" t="str">
        <x:v>PARTNER</x:v>
      </x:c>
      <x:c r="Z763" s="12" t="str">
        <x:v>Family + verified grassroots + straight-line geo only; transport not yet routed</x:v>
      </x:c>
      <x:c r="AA763" s="12"/>
      <x:c r="AB763" s="12"/>
      <x:c r="AC763" s="12"/>
      <x:c r="AD763" s="12"/>
      <x:c r="AE763" t="str">
        <x:v>Charlton Athletic Women</x:v>
      </x:c>
      <x:c r="AF763" s="45" t="n">
        <x:v>4.385412592205404</x:v>
      </x:c>
      <x:c r="AG763" t="str">
        <x:v>Dulwich Hamlet Women</x:v>
      </x:c>
      <x:c r="AH763" s="45" t="n">
        <x:v>4.696199529524253</x:v>
      </x:c>
      <x:c r="AI763" t="n">
        <x:v>85</x:v>
      </x:c>
      <x:c r="AJ763" t="str">
        <x:v>HIGH</x:v>
      </x:c>
    </x:row>
    <x:row r="764">
      <x:c r="A764" s="12" t="str">
        <x:v>E01003288</x:v>
      </x:c>
      <x:c r="B764" s="12" t="str">
        <x:v>Lewisham 041A</x:v>
      </x:c>
      <x:c r="C764" s="12" t="str">
        <x:v>Lewisham</x:v>
      </x:c>
      <x:c r="D764" s="44" t="n">
        <x:v>51.46063724979219</x:v>
      </x:c>
      <x:c r="E764" s="44" t="n">
        <x:v>-0.004494908015040706</x:v>
      </x:c>
      <x:c r="F764" s="33" t="n">
        <x:v>946</x:v>
      </x:c>
      <x:c r="G764" s="33" t="n">
        <x:v>240</x:v>
      </x:c>
      <x:c r="H764" s="26" t="n">
        <x:v>0.2536997885835095</x:v>
      </x:c>
      <x:c r="I764" s="12" t="n">
        <x:v>2</x:v>
      </x:c>
      <x:c r="J764" s="12" t="n">
        <x:v>53</x:v>
      </x:c>
      <x:c r="K764" s="12"/>
      <x:c r="L764" s="12"/>
      <x:c r="M764" s="12" t="str">
        <x:f>IF(K764="", "", MAX(0,IF(K764&lt;=20,100,IF(K764&lt;=30,85,IF(K764&lt;=40,70,IF(K764&lt;=50,55,IF(K764&lt;=60,40,20)))))-MIN(L764*5,20)))</x:f>
      </x:c>
      <x:c r="N764" s="12"/>
      <x:c r="O764" s="12"/>
      <x:c r="P764" s="12" t="str">
        <x:f>IF(OR(H764="",J764="",M764=""),"",ROUND(PERCENTRANK.INC($H$2:$H$941,H764)*35+J764*0.35+M764*0.30,0))</x:f>
      </x:c>
      <x:c r="Q764" s="12" t="str">
        <x:f>IF(P764="","",IF(P764&gt;=80,"ATTACK",IF(P764&gt;=65,"GROW",IF(P764&gt;=50,"PARTNER","WATCH"))))</x:f>
      </x:c>
      <x:c r="R764" s="12" t="str">
        <x:f>IF(Q764="","",IF(Q764="ATTACK","Grassroots + family acquisition",IF(Q764="GROW","Test local campaign",IF(Q764="PARTNER","Organisation-first partnership","Low priority / validate"))))</x:f>
      </x:c>
      <x:c r="S764" s="45" t="n">
        <x:v>7.896627539793936</x:v>
      </x:c>
      <x:c r="T764" t="str">
        <x:v>NEAR</x:v>
      </x:c>
      <x:c r="U764" s="32" t="n">
        <x:f>PERCENTRANK.INC($G$2:$G$941,G764)</x:f>
        <x:v>0.708</x:v>
      </x:c>
      <x:c r="V764" s="32" t="n">
        <x:f>PERCENTRANK.INC($H$2:$H$941,H764)</x:f>
        <x:v>0.198</x:v>
      </x:c>
      <x:c r="W764" t="n">
        <x:f>ROUND((U764*55+V764*45)*IF(S764&lt;=5,1,IF(S764&lt;=10,0.95,IF(S764&lt;=20,0.85,0.70))),0)</x:f>
        <x:v>45</x:v>
      </x:c>
      <x:c r="X764" t="n">
        <x:v>49</x:v>
      </x:c>
      <x:c r="Y764" t="str">
        <x:v>WATCH</x:v>
      </x:c>
      <x:c r="Z764" s="12" t="str">
        <x:v>Family + verified grassroots + straight-line geo only; transport not yet routed</x:v>
      </x:c>
      <x:c r="AA764" s="12"/>
      <x:c r="AB764" s="12"/>
      <x:c r="AC764" s="12"/>
      <x:c r="AD764" s="12"/>
      <x:c r="AE764" t="str">
        <x:v>Charlton Athletic Women</x:v>
      </x:c>
      <x:c r="AF764" s="45" t="n">
        <x:v>4.016370313101632</x:v>
      </x:c>
      <x:c r="AG764" t="str">
        <x:v>Dulwich Hamlet Women</x:v>
      </x:c>
      <x:c r="AH764" s="45" t="n">
        <x:v>5.5072355379830285</x:v>
      </x:c>
      <x:c r="AI764" t="n">
        <x:v>85</x:v>
      </x:c>
      <x:c r="AJ764" t="str">
        <x:v>HIGH</x:v>
      </x:c>
    </x:row>
    <x:row r="765">
      <x:c r="A765" s="12" t="str">
        <x:v>E01033327</x:v>
      </x:c>
      <x:c r="B765" s="12" t="str">
        <x:v>Lewisham 041B</x:v>
      </x:c>
      <x:c r="C765" s="12" t="str">
        <x:v>Lewisham</x:v>
      </x:c>
      <x:c r="D765" s="44" t="n">
        <x:v>51.45974687728746</x:v>
      </x:c>
      <x:c r="E765" s="44" t="n">
        <x:v>-0.011544358037520104</x:v>
      </x:c>
      <x:c r="F765" s="33" t="n">
        <x:v>1006</x:v>
      </x:c>
      <x:c r="G765" s="33" t="n">
        <x:v>208</x:v>
      </x:c>
      <x:c r="H765" s="26" t="n">
        <x:v>0.20675944333996024</x:v>
      </x:c>
      <x:c r="I765" s="12" t="n">
        <x:v>2</x:v>
      </x:c>
      <x:c r="J765" s="12" t="n">
        <x:v>44</x:v>
      </x:c>
      <x:c r="K765" s="12"/>
      <x:c r="L765" s="12"/>
      <x:c r="M765" s="12" t="str">
        <x:f>IF(K765="", "", MAX(0,IF(K765&lt;=20,100,IF(K765&lt;=30,85,IF(K765&lt;=40,70,IF(K765&lt;=50,55,IF(K765&lt;=60,40,20)))))-MIN(L765*5,20)))</x:f>
      </x:c>
      <x:c r="N765" s="12"/>
      <x:c r="O765" s="12"/>
      <x:c r="P765" s="12" t="str">
        <x:f>IF(OR(H765="",J765="",M765=""),"",ROUND(PERCENTRANK.INC($H$2:$H$941,H765)*35+J765*0.35+M765*0.30,0))</x:f>
      </x:c>
      <x:c r="Q765" s="12" t="str">
        <x:f>IF(P765="","",IF(P765&gt;=80,"ATTACK",IF(P765&gt;=65,"GROW",IF(P765&gt;=50,"PARTNER","WATCH"))))</x:f>
      </x:c>
      <x:c r="R765" s="12" t="str">
        <x:f>IF(Q765="","",IF(Q765="ATTACK","Grassroots + family acquisition",IF(Q765="GROW","Test local campaign",IF(Q765="PARTNER","Organisation-first partnership","Low priority / validate"))))</x:f>
      </x:c>
      <x:c r="S765" s="45" t="n">
        <x:v>7.910551044415745</x:v>
      </x:c>
      <x:c r="T765" t="str">
        <x:v>NEAR</x:v>
      </x:c>
      <x:c r="U765" s="32" t="n">
        <x:f>PERCENTRANK.INC($G$2:$G$941,G765)</x:f>
        <x:v>0.448</x:v>
      </x:c>
      <x:c r="V765" s="32" t="n">
        <x:f>PERCENTRANK.INC($H$2:$H$941,H765)</x:f>
        <x:v>0.076</x:v>
      </x:c>
      <x:c r="W765" t="n">
        <x:f>ROUND((U765*55+V765*45)*IF(S765&lt;=5,1,IF(S765&lt;=10,0.95,IF(S765&lt;=20,0.85,0.70))),0)</x:f>
        <x:v>27</x:v>
      </x:c>
      <x:c r="X765" t="n">
        <x:v>35</x:v>
      </x:c>
      <x:c r="Y765" t="str">
        <x:v>WATCH</x:v>
      </x:c>
      <x:c r="Z765" s="12" t="str">
        <x:v>Family + verified grassroots + straight-line geo only; transport not yet routed</x:v>
      </x:c>
      <x:c r="AA765" s="12"/>
      <x:c r="AB765" s="12"/>
      <x:c r="AC765" s="12"/>
      <x:c r="AD765" s="12"/>
      <x:c r="AE765" t="str">
        <x:v>Charlton Athletic Women</x:v>
      </x:c>
      <x:c r="AF765" s="45" t="n">
        <x:v>4.43799689786195</x:v>
      </x:c>
      <x:c r="AG765" t="str">
        <x:v>Dulwich Hamlet Women</x:v>
      </x:c>
      <x:c r="AH765" s="45" t="n">
        <x:v>5.021424349306919</x:v>
      </x:c>
      <x:c r="AI765" t="n">
        <x:v>85</x:v>
      </x:c>
      <x:c r="AJ765" t="str">
        <x:v>HIGH</x:v>
      </x:c>
    </x:row>
    <x:row r="766">
      <x:c r="A766" s="12" t="str">
        <x:v>E01033341</x:v>
      </x:c>
      <x:c r="B766" s="12" t="str">
        <x:v>Lewisham 041C</x:v>
      </x:c>
      <x:c r="C766" s="12" t="str">
        <x:v>Lewisham</x:v>
      </x:c>
      <x:c r="D766" s="44" t="n">
        <x:v>51.45747117993646</x:v>
      </x:c>
      <x:c r="E766" s="44" t="n">
        <x:v>-0.01124140831623585</x:v>
      </x:c>
      <x:c r="F766" s="33" t="n">
        <x:v>568</x:v>
      </x:c>
      <x:c r="G766" s="33" t="n">
        <x:v>165</x:v>
      </x:c>
      <x:c r="H766" s="26" t="n">
        <x:v>0.2904929577464789</x:v>
      </x:c>
      <x:c r="I766" s="12" t="n">
        <x:v>2</x:v>
      </x:c>
      <x:c r="J766" s="12" t="n">
        <x:v>52</x:v>
      </x:c>
      <x:c r="K766" s="12"/>
      <x:c r="L766" s="12"/>
      <x:c r="M766" s="12" t="str">
        <x:f>IF(K766="", "", MAX(0,IF(K766&lt;=20,100,IF(K766&lt;=30,85,IF(K766&lt;=40,70,IF(K766&lt;=50,55,IF(K766&lt;=60,40,20)))))-MIN(L766*5,20)))</x:f>
      </x:c>
      <x:c r="N766" s="12"/>
      <x:c r="O766" s="12"/>
      <x:c r="P766" s="12" t="str">
        <x:f>IF(OR(H766="",J766="",M766=""),"",ROUND(PERCENTRANK.INC($H$2:$H$941,H766)*35+J766*0.35+M766*0.30,0))</x:f>
      </x:c>
      <x:c r="Q766" s="12" t="str">
        <x:f>IF(P766="","",IF(P766&gt;=80,"ATTACK",IF(P766&gt;=65,"GROW",IF(P766&gt;=50,"PARTNER","WATCH"))))</x:f>
      </x:c>
      <x:c r="R766" s="12" t="str">
        <x:f>IF(Q766="","",IF(Q766="ATTACK","Grassroots + family acquisition",IF(Q766="GROW","Test local campaign",IF(Q766="PARTNER","Organisation-first partnership","Low priority / validate"))))</x:f>
      </x:c>
      <x:c r="S766" s="45" t="n">
        <x:v>7.660721369211236</x:v>
      </x:c>
      <x:c r="T766" t="str">
        <x:v>NEAR</x:v>
      </x:c>
      <x:c r="U766" s="32" t="n">
        <x:f>PERCENTRANK.INC($G$2:$G$941,G766)</x:f>
        <x:v>0.145</x:v>
      </x:c>
      <x:c r="V766" s="32" t="n">
        <x:f>PERCENTRANK.INC($H$2:$H$941,H766)</x:f>
        <x:v>0.348</x:v>
      </x:c>
      <x:c r="W766" t="n">
        <x:f>ROUND((U766*55+V766*45)*IF(S766&lt;=5,1,IF(S766&lt;=10,0.95,IF(S766&lt;=20,0.85,0.70))),0)</x:f>
        <x:v>22</x:v>
      </x:c>
      <x:c r="X766" t="n">
        <x:v>36</x:v>
      </x:c>
      <x:c r="Y766" t="str">
        <x:v>WATCH</x:v>
      </x:c>
      <x:c r="Z766" s="12" t="str">
        <x:v>Family + verified grassroots + straight-line geo only; transport not yet routed</x:v>
      </x:c>
      <x:c r="AA766" s="12"/>
      <x:c r="AB766" s="12"/>
      <x:c r="AC766" s="12"/>
      <x:c r="AD766" s="12"/>
      <x:c r="AE766" t="str">
        <x:v>Charlton Athletic Women</x:v>
      </x:c>
      <x:c r="AF766" s="45" t="n">
        <x:v>4.5958789710776005</x:v>
      </x:c>
      <x:c r="AG766" t="str">
        <x:v>Dulwich Hamlet Women</x:v>
      </x:c>
      <x:c r="AH766" s="45" t="n">
        <x:v>5.05763043614098</x:v>
      </x:c>
      <x:c r="AI766" t="n">
        <x:v>85</x:v>
      </x:c>
      <x:c r="AJ766" t="str">
        <x:v>HIGH</x:v>
      </x:c>
    </x:row>
    <x:row r="767">
      <x:c r="A767" s="12" t="str">
        <x:v>E01003291</x:v>
      </x:c>
      <x:c r="B767" s="12" t="str">
        <x:v>Lewisham 041D</x:v>
      </x:c>
      <x:c r="C767" s="12" t="str">
        <x:v>Lewisham</x:v>
      </x:c>
      <x:c r="D767" s="44" t="n">
        <x:v>51.45398826632321</x:v>
      </x:c>
      <x:c r="E767" s="44" t="n">
        <x:v>-0.013148007306293515</x:v>
      </x:c>
      <x:c r="F767" s="33" t="n">
        <x:v>651</x:v>
      </x:c>
      <x:c r="G767" s="33" t="n">
        <x:v>209</x:v>
      </x:c>
      <x:c r="H767" s="26" t="n">
        <x:v>0.3210445468509985</x:v>
      </x:c>
      <x:c r="I767" s="12" t="n">
        <x:v>2</x:v>
      </x:c>
      <x:c r="J767" s="12" t="n">
        <x:v>52</x:v>
      </x:c>
      <x:c r="K767" s="12"/>
      <x:c r="L767" s="12"/>
      <x:c r="M767" s="12" t="str">
        <x:f>IF(K767="", "", MAX(0,IF(K767&lt;=20,100,IF(K767&lt;=30,85,IF(K767&lt;=40,70,IF(K767&lt;=50,55,IF(K767&lt;=60,40,20)))))-MIN(L767*5,20)))</x:f>
      </x:c>
      <x:c r="N767" s="12"/>
      <x:c r="O767" s="12"/>
      <x:c r="P767" s="12" t="str">
        <x:f>IF(OR(H767="",J767="",M767=""),"",ROUND(PERCENTRANK.INC($H$2:$H$941,H767)*35+J767*0.35+M767*0.30,0))</x:f>
      </x:c>
      <x:c r="Q767" s="12" t="str">
        <x:f>IF(P767="","",IF(P767&gt;=80,"ATTACK",IF(P767&gt;=65,"GROW",IF(P767&gt;=50,"PARTNER","WATCH"))))</x:f>
      </x:c>
      <x:c r="R767" s="12" t="str">
        <x:f>IF(Q767="","",IF(Q767="ATTACK","Grassroots + family acquisition",IF(Q767="GROW","Test local campaign",IF(Q767="PARTNER","Organisation-first partnership","Low priority / validate"))))</x:f>
      </x:c>
      <x:c r="S767" s="45" t="n">
        <x:v>7.3252160824564525</x:v>
      </x:c>
      <x:c r="T767" t="str">
        <x:v>NEAR</x:v>
      </x:c>
      <x:c r="U767" s="32" t="n">
        <x:f>PERCENTRANK.INC($G$2:$G$941,G767)</x:f>
        <x:v>0.461</x:v>
      </x:c>
      <x:c r="V767" s="32" t="n">
        <x:f>PERCENTRANK.INC($H$2:$H$941,H767)</x:f>
        <x:v>0.523</x:v>
      </x:c>
      <x:c r="W767" t="n">
        <x:f>ROUND((U767*55+V767*45)*IF(S767&lt;=5,1,IF(S767&lt;=10,0.95,IF(S767&lt;=20,0.85,0.70))),0)</x:f>
        <x:v>46</x:v>
      </x:c>
      <x:c r="X767" t="n">
        <x:v>49</x:v>
      </x:c>
      <x:c r="Y767" t="str">
        <x:v>WATCH</x:v>
      </x:c>
      <x:c r="Z767" s="12" t="str">
        <x:v>Family + verified grassroots + straight-line geo only; transport not yet routed</x:v>
      </x:c>
      <x:c r="AA767" s="12"/>
      <x:c r="AB767" s="12"/>
      <x:c r="AC767" s="12"/>
      <x:c r="AD767" s="12"/>
      <x:c r="AE767" t="str">
        <x:v>Charlton Athletic Women</x:v>
      </x:c>
      <x:c r="AF767" s="45" t="n">
        <x:v>4.964770710630686</x:v>
      </x:c>
      <x:c r="AG767" t="str">
        <x:v>Dulwich Hamlet Women</x:v>
      </x:c>
      <x:c r="AH767" s="45" t="n">
        <x:v>4.974839077161717</x:v>
      </x:c>
      <x:c r="AI767" t="n">
        <x:v>85</x:v>
      </x:c>
      <x:c r="AJ767" t="str">
        <x:v>HIGH</x:v>
      </x:c>
    </x:row>
    <x:row r="768">
      <x:c r="A768" s="12" t="str">
        <x:v>E01003290</x:v>
      </x:c>
      <x:c r="B768" s="12" t="str">
        <x:v>Lewisham 041E</x:v>
      </x:c>
      <x:c r="C768" s="12" t="str">
        <x:v>Lewisham</x:v>
      </x:c>
      <x:c r="D768" s="44" t="n">
        <x:v>51.454295851016354</x:v>
      </x:c>
      <x:c r="E768" s="44" t="n">
        <x:v>-0.0070145152918388975</x:v>
      </x:c>
      <x:c r="F768" s="33" t="n">
        <x:v>815</x:v>
      </x:c>
      <x:c r="G768" s="33" t="n">
        <x:v>215</x:v>
      </x:c>
      <x:c r="H768" s="26" t="n">
        <x:v>0.26380368098159507</x:v>
      </x:c>
      <x:c r="I768" s="12" t="n">
        <x:v>2</x:v>
      </x:c>
      <x:c r="J768" s="12" t="n">
        <x:v>67</x:v>
      </x:c>
      <x:c r="K768" s="12"/>
      <x:c r="L768" s="12"/>
      <x:c r="M768" s="12" t="str">
        <x:f>IF(K768="", "", MAX(0,IF(K768&lt;=20,100,IF(K768&lt;=30,85,IF(K768&lt;=40,70,IF(K768&lt;=50,55,IF(K768&lt;=60,40,20)))))-MIN(L768*5,20)))</x:f>
      </x:c>
      <x:c r="N768" s="12"/>
      <x:c r="O768" s="12"/>
      <x:c r="P768" s="12" t="str">
        <x:f>IF(OR(H768="",J768="",M768=""),"",ROUND(PERCENTRANK.INC($H$2:$H$941,H768)*35+J768*0.35+M768*0.30,0))</x:f>
      </x:c>
      <x:c r="Q768" s="12" t="str">
        <x:f>IF(P768="","",IF(P768&gt;=80,"ATTACK",IF(P768&gt;=65,"GROW",IF(P768&gt;=50,"PARTNER","WATCH"))))</x:f>
      </x:c>
      <x:c r="R768" s="12" t="str">
        <x:f>IF(Q768="","",IF(Q768="ATTACK","Grassroots + family acquisition",IF(Q768="GROW","Test local campaign",IF(Q768="PARTNER","Organisation-first partnership","Low priority / validate"))))</x:f>
      </x:c>
      <x:c r="S768" s="45" t="n">
        <x:v>7.2456963048143015</x:v>
      </x:c>
      <x:c r="T768" t="str">
        <x:v>NEAR</x:v>
      </x:c>
      <x:c r="U768" s="32" t="n">
        <x:f>PERCENTRANK.INC($G$2:$G$941,G768)</x:f>
        <x:v>0.515</x:v>
      </x:c>
      <x:c r="V768" s="32" t="n">
        <x:f>PERCENTRANK.INC($H$2:$H$941,H768)</x:f>
        <x:v>0.24</x:v>
      </x:c>
      <x:c r="W768" t="n">
        <x:f>ROUND((U768*55+V768*45)*IF(S768&lt;=5,1,IF(S768&lt;=10,0.95,IF(S768&lt;=20,0.85,0.70))),0)</x:f>
        <x:v>37</x:v>
      </x:c>
      <x:c r="X768" t="n">
        <x:v>51</x:v>
      </x:c>
      <x:c r="Y768" t="str">
        <x:v>PARTNER</x:v>
      </x:c>
      <x:c r="Z768" s="12" t="str">
        <x:v>Family + verified grassroots + straight-line geo only; transport not yet routed</x:v>
      </x:c>
      <x:c r="AA768" s="12"/>
      <x:c r="AB768" s="12"/>
      <x:c r="AC768" s="12"/>
      <x:c r="AD768" s="12"/>
      <x:c r="AE768" t="str">
        <x:v>Charlton Athletic Women</x:v>
      </x:c>
      <x:c r="AF768" s="45" t="n">
        <x:v>4.656461704609254</x:v>
      </x:c>
      <x:c r="AG768" t="str">
        <x:v>Dulwich Hamlet Women</x:v>
      </x:c>
      <x:c r="AH768" s="45" t="n">
        <x:v>5.38942117424682</x:v>
      </x:c>
      <x:c r="AI768" t="n">
        <x:v>85</x:v>
      </x:c>
      <x:c r="AJ768" t="str">
        <x:v>HIGH</x:v>
      </x:c>
    </x:row>
    <x:row r="769">
      <x:c r="A769" s="12" t="str">
        <x:v>E01004029</x:v>
      </x:c>
      <x:c r="B769" s="12" t="str">
        <x:v>Southwark 001A</x:v>
      </x:c>
      <x:c r="C769" s="12" t="str">
        <x:v>Southwark</x:v>
      </x:c>
      <x:c r="D769" s="44" t="n">
        <x:v>51.500605163359026</x:v>
      </x:c>
      <x:c r="E769" s="44" t="n">
        <x:v>-0.048040479030390056</x:v>
      </x:c>
      <x:c r="F769" s="33" t="n">
        <x:v>930</x:v>
      </x:c>
      <x:c r="G769" s="33" t="n">
        <x:v>199</x:v>
      </x:c>
      <x:c r="H769" s="26" t="n">
        <x:v>0.21397849462365592</x:v>
      </x:c>
      <x:c r="I769" s="12" t="n">
        <x:v>1</x:v>
      </x:c>
      <x:c r="J769" s="12" t="n">
        <x:v>29</x:v>
      </x:c>
      <x:c r="K769" s="12"/>
      <x:c r="L769" s="12"/>
      <x:c r="M769" s="12" t="str">
        <x:f>IF(K769="", "", MAX(0,IF(K769&lt;=20,100,IF(K769&lt;=30,85,IF(K769&lt;=40,70,IF(K769&lt;=50,55,IF(K769&lt;=60,40,20)))))-MIN(L769*5,20)))</x:f>
      </x:c>
      <x:c r="N769" s="12"/>
      <x:c r="O769" s="12"/>
      <x:c r="P769" s="12" t="str">
        <x:f>IF(OR(H769="",J769="",M769=""),"",ROUND(PERCENTRANK.INC($H$2:$H$941,H769)*35+J769*0.35+M769*0.30,0))</x:f>
      </x:c>
      <x:c r="Q769" s="12" t="str">
        <x:f>IF(P769="","",IF(P769&gt;=80,"ATTACK",IF(P769&gt;=65,"GROW",IF(P769&gt;=50,"PARTNER","WATCH"))))</x:f>
      </x:c>
      <x:c r="R769" s="12" t="str">
        <x:f>IF(Q769="","",IF(Q769="ATTACK","Grassroots + family acquisition",IF(Q769="GROW","Test local campaign",IF(Q769="PARTNER","Organisation-first partnership","Low priority / validate"))))</x:f>
      </x:c>
      <x:c r="S769" s="45" t="n">
        <x:v>13.013197500141287</x:v>
      </x:c>
      <x:c r="T769" t="str">
        <x:v>EXTENDED</x:v>
      </x:c>
      <x:c r="U769" s="32" t="n">
        <x:f>PERCENTRANK.INC($G$2:$G$941,G769)</x:f>
        <x:v>0.376</x:v>
      </x:c>
      <x:c r="V769" s="32" t="n">
        <x:f>PERCENTRANK.INC($H$2:$H$941,H769)</x:f>
        <x:v>0.089</x:v>
      </x:c>
      <x:c r="W769" t="n">
        <x:f>ROUND((U769*55+V769*45)*IF(S769&lt;=5,1,IF(S769&lt;=10,0.95,IF(S769&lt;=20,0.85,0.70))),0)</x:f>
        <x:v>21</x:v>
      </x:c>
      <x:c r="X769" t="n">
        <x:v>25</x:v>
      </x:c>
      <x:c r="Y769" t="str">
        <x:v>WATCH</x:v>
      </x:c>
      <x:c r="Z769" s="12" t="str">
        <x:v>Family + verified grassroots + straight-line geo only; transport not yet routed</x:v>
      </x:c>
      <x:c r="AA769" s="12"/>
      <x:c r="AB769" s="12"/>
      <x:c r="AC769" s="12"/>
      <x:c r="AD769" s="12"/>
      <x:c r="AE769" t="str">
        <x:v>Charlton Athletic Women</x:v>
      </x:c>
      <x:c r="AF769" s="45" t="n">
        <x:v>6.038780717223177</x:v>
      </x:c>
      <x:c r="AG769" t="str">
        <x:v>Millwall Lionesses</x:v>
      </x:c>
      <x:c r="AH769" s="45" t="n">
        <x:v>0.821291761956479</x:v>
      </x:c>
      <x:c r="AI769" t="n">
        <x:v>78</x:v>
      </x:c>
      <x:c r="AJ769" t="str">
        <x:v>HIGH</x:v>
      </x:c>
    </x:row>
    <x:row r="770">
      <x:c r="A770" s="12" t="str">
        <x:v>E01004032</x:v>
      </x:c>
      <x:c r="B770" s="12" t="str">
        <x:v>Southwark 001B</x:v>
      </x:c>
      <x:c r="C770" s="12" t="str">
        <x:v>Southwark</x:v>
      </x:c>
      <x:c r="D770" s="44" t="n">
        <x:v>51.50074089692122</x:v>
      </x:c>
      <x:c r="E770" s="44" t="n">
        <x:v>-0.04491524951873853</x:v>
      </x:c>
      <x:c r="F770" s="33" t="n">
        <x:v>656</x:v>
      </x:c>
      <x:c r="G770" s="33" t="n">
        <x:v>127</x:v>
      </x:c>
      <x:c r="H770" s="26" t="n">
        <x:v>0.19359756097560976</x:v>
      </x:c>
      <x:c r="I770" s="12" t="n">
        <x:v>1</x:v>
      </x:c>
      <x:c r="J770" s="12" t="n">
        <x:v>29</x:v>
      </x:c>
      <x:c r="K770" s="12"/>
      <x:c r="L770" s="12"/>
      <x:c r="M770" s="12" t="str">
        <x:f>IF(K770="", "", MAX(0,IF(K770&lt;=20,100,IF(K770&lt;=30,85,IF(K770&lt;=40,70,IF(K770&lt;=50,55,IF(K770&lt;=60,40,20)))))-MIN(L770*5,20)))</x:f>
      </x:c>
      <x:c r="N770" s="12"/>
      <x:c r="O770" s="12"/>
      <x:c r="P770" s="12" t="str">
        <x:f>IF(OR(H770="",J770="",M770=""),"",ROUND(PERCENTRANK.INC($H$2:$H$941,H770)*35+J770*0.35+M770*0.30,0))</x:f>
      </x:c>
      <x:c r="Q770" s="12" t="str">
        <x:f>IF(P770="","",IF(P770&gt;=80,"ATTACK",IF(P770&gt;=65,"GROW",IF(P770&gt;=50,"PARTNER","WATCH"))))</x:f>
      </x:c>
      <x:c r="R770" s="12" t="str">
        <x:f>IF(Q770="","",IF(Q770="ATTACK","Grassroots + family acquisition",IF(Q770="GROW","Test local campaign",IF(Q770="PARTNER","Organisation-first partnership","Low priority / validate"))))</x:f>
      </x:c>
      <x:c r="S770" s="45" t="n">
        <x:v>12.953165400461506</x:v>
      </x:c>
      <x:c r="T770" t="str">
        <x:v>EXTENDED</x:v>
      </x:c>
      <x:c r="U770" s="32" t="n">
        <x:f>PERCENTRANK.INC($G$2:$G$941,G770)</x:f>
        <x:v>0.044</x:v>
      </x:c>
      <x:c r="V770" s="32" t="n">
        <x:f>PERCENTRANK.INC($H$2:$H$941,H770)</x:f>
        <x:v>0.056</x:v>
      </x:c>
      <x:c r="W770" t="n">
        <x:f>ROUND((U770*55+V770*45)*IF(S770&lt;=5,1,IF(S770&lt;=10,0.95,IF(S770&lt;=20,0.85,0.70))),0)</x:f>
        <x:v>4</x:v>
      </x:c>
      <x:c r="X770" t="n">
        <x:v>15</x:v>
      </x:c>
      <x:c r="Y770" t="str">
        <x:v>WATCH</x:v>
      </x:c>
      <x:c r="Z770" s="12" t="str">
        <x:v>Family + verified grassroots + straight-line geo only; transport not yet routed</x:v>
      </x:c>
      <x:c r="AA770" s="12"/>
      <x:c r="AB770" s="12"/>
      <x:c r="AC770" s="12"/>
      <x:c r="AD770" s="12"/>
      <x:c r="AE770" t="str">
        <x:v>Charlton Athletic Women</x:v>
      </x:c>
      <x:c r="AF770" s="45" t="n">
        <x:v>5.834326029311268</x:v>
      </x:c>
      <x:c r="AG770" t="str">
        <x:v>Millwall Lionesses</x:v>
      </x:c>
      <x:c r="AH770" s="45" t="n">
        <x:v>0.6846268014879786</x:v>
      </x:c>
      <x:c r="AI770" t="n">
        <x:v>89</x:v>
      </x:c>
      <x:c r="AJ770" t="str">
        <x:v>HIGH</x:v>
      </x:c>
    </x:row>
    <x:row r="771">
      <x:c r="A771" s="12" t="str">
        <x:v>E01004053</x:v>
      </x:c>
      <x:c r="B771" s="12" t="str">
        <x:v>Southwark 001C</x:v>
      </x:c>
      <x:c r="C771" s="12" t="str">
        <x:v>Southwark</x:v>
      </x:c>
      <x:c r="D771" s="44" t="n">
        <x:v>51.50502208544882</x:v>
      </x:c>
      <x:c r="E771" s="44" t="n">
        <x:v>-0.04522479799194674</x:v>
      </x:c>
      <x:c r="F771" s="33" t="n">
        <x:v>890</x:v>
      </x:c>
      <x:c r="G771" s="33" t="n">
        <x:v>164</x:v>
      </x:c>
      <x:c r="H771" s="26" t="n">
        <x:v>0.1842696629213483</x:v>
      </x:c>
      <x:c r="I771" s="12" t="n">
        <x:v>1</x:v>
      </x:c>
      <x:c r="J771" s="12" t="n">
        <x:v>29</x:v>
      </x:c>
      <x:c r="K771" s="12"/>
      <x:c r="L771" s="12"/>
      <x:c r="M771" s="12" t="str">
        <x:f>IF(K771="", "", MAX(0,IF(K771&lt;=20,100,IF(K771&lt;=30,85,IF(K771&lt;=40,70,IF(K771&lt;=50,55,IF(K771&lt;=60,40,20)))))-MIN(L771*5,20)))</x:f>
      </x:c>
      <x:c r="N771" s="12"/>
      <x:c r="O771" s="12"/>
      <x:c r="P771" s="12" t="str">
        <x:f>IF(OR(H771="",J771="",M771=""),"",ROUND(PERCENTRANK.INC($H$2:$H$941,H771)*35+J771*0.35+M771*0.30,0))</x:f>
      </x:c>
      <x:c r="Q771" s="12" t="str">
        <x:f>IF(P771="","",IF(P771&gt;=80,"ATTACK",IF(P771&gt;=65,"GROW",IF(P771&gt;=50,"PARTNER","WATCH"))))</x:f>
      </x:c>
      <x:c r="R771" s="12" t="str">
        <x:f>IF(Q771="","",IF(Q771="ATTACK","Grassroots + family acquisition",IF(Q771="GROW","Test local campaign",IF(Q771="PARTNER","Organisation-first partnership","Low priority / validate"))))</x:f>
      </x:c>
      <x:c r="S771" s="45" t="n">
        <x:v>13.409540084076863</x:v>
      </x:c>
      <x:c r="T771" t="str">
        <x:v>EXTENDED</x:v>
      </x:c>
      <x:c r="U771" s="32" t="n">
        <x:f>PERCENTRANK.INC($G$2:$G$941,G771)</x:f>
        <x:v>0.139</x:v>
      </x:c>
      <x:c r="V771" s="32" t="n">
        <x:f>PERCENTRANK.INC($H$2:$H$941,H771)</x:f>
        <x:v>0.043</x:v>
      </x:c>
      <x:c r="W771" t="n">
        <x:f>ROUND((U771*55+V771*45)*IF(S771&lt;=5,1,IF(S771&lt;=10,0.95,IF(S771&lt;=20,0.85,0.70))),0)</x:f>
        <x:v>8</x:v>
      </x:c>
      <x:c r="X771" t="n">
        <x:v>18</x:v>
      </x:c>
      <x:c r="Y771" t="str">
        <x:v>WATCH</x:v>
      </x:c>
      <x:c r="Z771" s="12" t="str">
        <x:v>Family + verified grassroots + straight-line geo only; transport not yet routed</x:v>
      </x:c>
      <x:c r="AA771" s="12"/>
      <x:c r="AB771" s="12"/>
      <x:c r="AC771" s="12"/>
      <x:c r="AD771" s="12"/>
      <x:c r="AE771" t="str">
        <x:v>Charlton Athletic Women</x:v>
      </x:c>
      <x:c r="AF771" s="45" t="n">
        <x:v>6.001853312904147</x:v>
      </x:c>
      <x:c r="AG771" t="str">
        <x:v>Millwall Lionesses</x:v>
      </x:c>
      <x:c r="AH771" s="45" t="n">
        <x:v>0.3687786490114128</x:v>
      </x:c>
      <x:c r="AI771" t="n">
        <x:v>78</x:v>
      </x:c>
      <x:c r="AJ771" t="str">
        <x:v>HIGH</x:v>
      </x:c>
    </x:row>
    <x:row r="772">
      <x:c r="A772" s="12" t="str">
        <x:v>E01004054</x:v>
      </x:c>
      <x:c r="B772" s="12" t="str">
        <x:v>Southwark 001D</x:v>
      </x:c>
      <x:c r="C772" s="12" t="str">
        <x:v>Southwark</x:v>
      </x:c>
      <x:c r="D772" s="44" t="n">
        <x:v>51.506175408662244</x:v>
      </x:c>
      <x:c r="E772" s="44" t="n">
        <x:v>-0.03674017521416031</x:v>
      </x:c>
      <x:c r="F772" s="33" t="n">
        <x:v>726</x:v>
      </x:c>
      <x:c r="G772" s="33" t="n">
        <x:v>136</x:v>
      </x:c>
      <x:c r="H772" s="26" t="n">
        <x:v>0.18732782369146006</x:v>
      </x:c>
      <x:c r="I772" s="12" t="n">
        <x:v>1</x:v>
      </x:c>
      <x:c r="J772" s="12" t="n">
        <x:v>29</x:v>
      </x:c>
      <x:c r="K772" s="12"/>
      <x:c r="L772" s="12"/>
      <x:c r="M772" s="12" t="str">
        <x:f>IF(K772="", "", MAX(0,IF(K772&lt;=20,100,IF(K772&lt;=30,85,IF(K772&lt;=40,70,IF(K772&lt;=50,55,IF(K772&lt;=60,40,20)))))-MIN(L772*5,20)))</x:f>
      </x:c>
      <x:c r="N772" s="12"/>
      <x:c r="O772" s="12"/>
      <x:c r="P772" s="12" t="str">
        <x:f>IF(OR(H772="",J772="",M772=""),"",ROUND(PERCENTRANK.INC($H$2:$H$941,H772)*35+J772*0.35+M772*0.30,0))</x:f>
      </x:c>
      <x:c r="Q772" s="12" t="str">
        <x:f>IF(P772="","",IF(P772&gt;=80,"ATTACK",IF(P772&gt;=65,"GROW",IF(P772&gt;=50,"PARTNER","WATCH"))))</x:f>
      </x:c>
      <x:c r="R772" s="12" t="str">
        <x:f>IF(Q772="","",IF(Q772="ATTACK","Grassroots + family acquisition",IF(Q772="GROW","Test local campaign",IF(Q772="PARTNER","Organisation-first partnership","Low priority / validate"))))</x:f>
      </x:c>
      <x:c r="S772" s="45" t="n">
        <x:v>13.352946945502415</x:v>
      </x:c>
      <x:c r="T772" t="str">
        <x:v>EXTENDED</x:v>
      </x:c>
      <x:c r="U772" s="32" t="n">
        <x:f>PERCENTRANK.INC($G$2:$G$941,G772)</x:f>
        <x:v>0.062</x:v>
      </x:c>
      <x:c r="V772" s="32" t="n">
        <x:f>PERCENTRANK.INC($H$2:$H$941,H772)</x:f>
        <x:v>0.047</x:v>
      </x:c>
      <x:c r="W772" t="n">
        <x:f>ROUND((U772*55+V772*45)*IF(S772&lt;=5,1,IF(S772&lt;=10,0.95,IF(S772&lt;=20,0.85,0.70))),0)</x:f>
        <x:v>5</x:v>
      </x:c>
      <x:c r="X772" t="n">
        <x:v>16</x:v>
      </x:c>
      <x:c r="Y772" t="str">
        <x:v>WATCH</x:v>
      </x:c>
      <x:c r="Z772" s="12" t="str">
        <x:v>Family + verified grassroots + straight-line geo only; transport not yet routed</x:v>
      </x:c>
      <x:c r="AA772" s="12"/>
      <x:c r="AB772" s="12"/>
      <x:c r="AC772" s="12"/>
      <x:c r="AD772" s="12"/>
      <x:c r="AE772" t="str">
        <x:v>Charlton Athletic Women</x:v>
      </x:c>
      <x:c r="AF772" s="45" t="n">
        <x:v>5.504224738191387</x:v>
      </x:c>
      <x:c r="AG772" t="str">
        <x:v>Millwall Lionesses</x:v>
      </x:c>
      <x:c r="AH772" s="45" t="n">
        <x:v>0.24084893286139122</x:v>
      </x:c>
      <x:c r="AI772" t="n">
        <x:v>89</x:v>
      </x:c>
      <x:c r="AJ772" t="str">
        <x:v>HIGH</x:v>
      </x:c>
    </x:row>
    <x:row r="773">
      <x:c r="A773" s="12" t="str">
        <x:v>E01004055</x:v>
      </x:c>
      <x:c r="B773" s="12" t="str">
        <x:v>Southwark 001E</x:v>
      </x:c>
      <x:c r="C773" s="12" t="str">
        <x:v>Southwark</x:v>
      </x:c>
      <x:c r="D773" s="44" t="n">
        <x:v>51.50459424950657</x:v>
      </x:c>
      <x:c r="E773" s="44" t="n">
        <x:v>-0.04011121930841973</x:v>
      </x:c>
      <x:c r="F773" s="33" t="n">
        <x:v>531</x:v>
      </x:c>
      <x:c r="G773" s="33" t="n">
        <x:v>153</x:v>
      </x:c>
      <x:c r="H773" s="26" t="n">
        <x:v>0.288135593220339</x:v>
      </x:c>
      <x:c r="I773" s="12" t="n">
        <x:v>1</x:v>
      </x:c>
      <x:c r="J773" s="12" t="n">
        <x:v>29</x:v>
      </x:c>
      <x:c r="K773" s="12"/>
      <x:c r="L773" s="12"/>
      <x:c r="M773" s="12" t="str">
        <x:f>IF(K773="", "", MAX(0,IF(K773&lt;=20,100,IF(K773&lt;=30,85,IF(K773&lt;=40,70,IF(K773&lt;=50,55,IF(K773&lt;=60,40,20)))))-MIN(L773*5,20)))</x:f>
      </x:c>
      <x:c r="N773" s="12"/>
      <x:c r="O773" s="12"/>
      <x:c r="P773" s="12" t="str">
        <x:f>IF(OR(H773="",J773="",M773=""),"",ROUND(PERCENTRANK.INC($H$2:$H$941,H773)*35+J773*0.35+M773*0.30,0))</x:f>
      </x:c>
      <x:c r="Q773" s="12" t="str">
        <x:f>IF(P773="","",IF(P773&gt;=80,"ATTACK",IF(P773&gt;=65,"GROW",IF(P773&gt;=50,"PARTNER","WATCH"))))</x:f>
      </x:c>
      <x:c r="R773" s="12" t="str">
        <x:f>IF(Q773="","",IF(Q773="ATTACK","Grassroots + family acquisition",IF(Q773="GROW","Test local campaign",IF(Q773="PARTNER","Organisation-first partnership","Low priority / validate"))))</x:f>
      </x:c>
      <x:c r="S773" s="45" t="n">
        <x:v>13.253158443719332</x:v>
      </x:c>
      <x:c r="T773" t="str">
        <x:v>EXTENDED</x:v>
      </x:c>
      <x:c r="U773" s="32" t="n">
        <x:f>PERCENTRANK.INC($G$2:$G$941,G773)</x:f>
        <x:v>0.101</x:v>
      </x:c>
      <x:c r="V773" s="32" t="n">
        <x:f>PERCENTRANK.INC($H$2:$H$941,H773)</x:f>
        <x:v>0.334</x:v>
      </x:c>
      <x:c r="W773" t="n">
        <x:f>ROUND((U773*55+V773*45)*IF(S773&lt;=5,1,IF(S773&lt;=10,0.95,IF(S773&lt;=20,0.85,0.70))),0)</x:f>
        <x:v>17</x:v>
      </x:c>
      <x:c r="X773" t="n">
        <x:v>23</x:v>
      </x:c>
      <x:c r="Y773" t="str">
        <x:v>WATCH</x:v>
      </x:c>
      <x:c r="Z773" s="12" t="str">
        <x:v>Family + verified grassroots + straight-line geo only; transport not yet routed</x:v>
      </x:c>
      <x:c r="AA773" s="12"/>
      <x:c r="AB773" s="12"/>
      <x:c r="AC773" s="12"/>
      <x:c r="AD773" s="12"/>
      <x:c r="AE773" t="str">
        <x:v>Charlton Athletic Women</x:v>
      </x:c>
      <x:c r="AF773" s="45" t="n">
        <x:v>5.65373169966927</x:v>
      </x:c>
      <x:c r="AG773" t="str">
        <x:v>Millwall Lionesses</x:v>
      </x:c>
      <x:c r="AH773" s="45" t="n">
        <x:v>0.17426646779518926</x:v>
      </x:c>
      <x:c r="AI773" t="n">
        <x:v>89</x:v>
      </x:c>
      <x:c r="AJ773" t="str">
        <x:v>HIGH</x:v>
      </x:c>
    </x:row>
    <x:row r="774">
      <x:c r="A774" s="12" t="str">
        <x:v>E01003929</x:v>
      </x:c>
      <x:c r="B774" s="12" t="str">
        <x:v>Southwark 002B</x:v>
      </x:c>
      <x:c r="C774" s="12" t="str">
        <x:v>Southwark</x:v>
      </x:c>
      <x:c r="D774" s="44" t="n">
        <x:v>51.502434481857335</x:v>
      </x:c>
      <x:c r="E774" s="44" t="n">
        <x:v>-0.09507784930032871</x:v>
      </x:c>
      <x:c r="F774" s="33" t="n">
        <x:v>1072</x:v>
      </x:c>
      <x:c r="G774" s="33" t="n">
        <x:v>129</x:v>
      </x:c>
      <x:c r="H774" s="26" t="n">
        <x:v>0.12033582089552239</x:v>
      </x:c>
      <x:c r="I774" s="12" t="n">
        <x:v>1</x:v>
      </x:c>
      <x:c r="J774" s="12" t="n">
        <x:v>22</x:v>
      </x:c>
      <x:c r="K774" s="12"/>
      <x:c r="L774" s="12"/>
      <x:c r="M774" s="12" t="str">
        <x:f>IF(K774="", "", MAX(0,IF(K774&lt;=20,100,IF(K774&lt;=30,85,IF(K774&lt;=40,70,IF(K774&lt;=50,55,IF(K774&lt;=60,40,20)))))-MIN(L774*5,20)))</x:f>
      </x:c>
      <x:c r="N774" s="12"/>
      <x:c r="O774" s="12"/>
      <x:c r="P774" s="12" t="str">
        <x:f>IF(OR(H774="",J774="",M774=""),"",ROUND(PERCENTRANK.INC($H$2:$H$941,H774)*35+J774*0.35+M774*0.30,0))</x:f>
      </x:c>
      <x:c r="Q774" s="12" t="str">
        <x:f>IF(P774="","",IF(P774&gt;=80,"ATTACK",IF(P774&gt;=65,"GROW",IF(P774&gt;=50,"PARTNER","WATCH"))))</x:f>
      </x:c>
      <x:c r="R774" s="12" t="str">
        <x:f>IF(Q774="","",IF(Q774="ATTACK","Grassroots + family acquisition",IF(Q774="GROW","Test local campaign",IF(Q774="PARTNER","Organisation-first partnership","Low priority / validate"))))</x:f>
      </x:c>
      <x:c r="S774" s="45" t="n">
        <x:v>14.651810909874605</x:v>
      </x:c>
      <x:c r="T774" t="str">
        <x:v>EXTENDED</x:v>
      </x:c>
      <x:c r="U774" s="32" t="n">
        <x:f>PERCENTRANK.INC($G$2:$G$941,G774)</x:f>
        <x:v>0.048</x:v>
      </x:c>
      <x:c r="V774" s="32" t="n">
        <x:f>PERCENTRANK.INC($H$2:$H$941,H774)</x:f>
        <x:v>0.015</x:v>
      </x:c>
      <x:c r="W774" t="n">
        <x:f>ROUND((U774*55+V774*45)*IF(S774&lt;=5,1,IF(S774&lt;=10,0.95,IF(S774&lt;=20,0.85,0.70))),0)</x:f>
        <x:v>3</x:v>
      </x:c>
      <x:c r="X774" t="n">
        <x:v>12</x:v>
      </x:c>
      <x:c r="Y774" t="str">
        <x:v>WATCH</x:v>
      </x:c>
      <x:c r="Z774" s="12" t="str">
        <x:v>Family + verified grassroots + straight-line geo only; transport not yet routed</x:v>
      </x:c>
      <x:c r="AA774" s="12"/>
      <x:c r="AB774" s="12"/>
      <x:c r="AC774" s="12"/>
      <x:c r="AD774" s="12"/>
      <x:c r="AE774" t="str">
        <x:v>Arsenal Women</x:v>
      </x:c>
      <x:c r="AF774" s="45" t="n">
        <x:v>5.922726080536044</x:v>
      </x:c>
      <x:c r="AG774" t="str">
        <x:v>Millwall Lionesses</x:v>
      </x:c>
      <x:c r="AH774" s="45" t="n">
        <x:v>3.8194649220569192</x:v>
      </x:c>
      <x:c r="AI774" t="n">
        <x:v>85</x:v>
      </x:c>
      <x:c r="AJ774" t="str">
        <x:v>HIGH</x:v>
      </x:c>
    </x:row>
    <x:row r="775">
      <x:c r="A775" s="12" t="str">
        <x:v>E01003934</x:v>
      </x:c>
      <x:c r="B775" s="12" t="str">
        <x:v>Southwark 002C</x:v>
      </x:c>
      <x:c r="C775" s="12" t="str">
        <x:v>Southwark</x:v>
      </x:c>
      <x:c r="D775" s="44" t="n">
        <x:v>51.50668837120088</x:v>
      </x:c>
      <x:c r="E775" s="44" t="n">
        <x:v>-0.10351959173519734</x:v>
      </x:c>
      <x:c r="F775" s="33" t="n">
        <x:v>1117</x:v>
      </x:c>
      <x:c r="G775" s="33" t="n">
        <x:v>91</x:v>
      </x:c>
      <x:c r="H775" s="26" t="n">
        <x:v>0.08146821844225605</x:v>
      </x:c>
      <x:c r="I775" s="12" t="n">
        <x:v>1</x:v>
      </x:c>
      <x:c r="J775" s="12" t="n">
        <x:v>22</x:v>
      </x:c>
      <x:c r="K775" s="12"/>
      <x:c r="L775" s="12"/>
      <x:c r="M775" s="12" t="str">
        <x:f>IF(K775="", "", MAX(0,IF(K775&lt;=20,100,IF(K775&lt;=30,85,IF(K775&lt;=40,70,IF(K775&lt;=50,55,IF(K775&lt;=60,40,20)))))-MIN(L775*5,20)))</x:f>
      </x:c>
      <x:c r="N775" s="12"/>
      <x:c r="O775" s="12"/>
      <x:c r="P775" s="12" t="str">
        <x:f>IF(OR(H775="",J775="",M775=""),"",ROUND(PERCENTRANK.INC($H$2:$H$941,H775)*35+J775*0.35+M775*0.30,0))</x:f>
      </x:c>
      <x:c r="Q775" s="12" t="str">
        <x:f>IF(P775="","",IF(P775&gt;=80,"ATTACK",IF(P775&gt;=65,"GROW",IF(P775&gt;=50,"PARTNER","WATCH"))))</x:f>
      </x:c>
      <x:c r="R775" s="12" t="str">
        <x:f>IF(Q775="","",IF(Q775="ATTACK","Grassroots + family acquisition",IF(Q775="GROW","Test local campaign",IF(Q775="PARTNER","Organisation-first partnership","Low priority / validate"))))</x:f>
      </x:c>
      <x:c r="S775" s="45" t="n">
        <x:v>15.365686270375134</x:v>
      </x:c>
      <x:c r="T775" t="str">
        <x:v>EXTENDED</x:v>
      </x:c>
      <x:c r="U775" s="32" t="n">
        <x:f>PERCENTRANK.INC($G$2:$G$941,G775)</x:f>
        <x:v>0.014</x:v>
      </x:c>
      <x:c r="V775" s="32" t="n">
        <x:f>PERCENTRANK.INC($H$2:$H$941,H775)</x:f>
        <x:v>0.004</x:v>
      </x:c>
      <x:c r="W775" t="n">
        <x:f>ROUND((U775*55+V775*45)*IF(S775&lt;=5,1,IF(S775&lt;=10,0.95,IF(S775&lt;=20,0.85,0.70))),0)</x:f>
        <x:v>1</x:v>
      </x:c>
      <x:c r="X775" t="n">
        <x:v>10</x:v>
      </x:c>
      <x:c r="Y775" t="str">
        <x:v>WATCH</x:v>
      </x:c>
      <x:c r="Z775" s="12" t="str">
        <x:v>Family + verified grassroots + straight-line geo only; transport not yet routed</x:v>
      </x:c>
      <x:c r="AA775" s="12"/>
      <x:c r="AB775" s="12"/>
      <x:c r="AC775" s="12"/>
      <x:c r="AD775" s="12"/>
      <x:c r="AE775" t="str">
        <x:v>Arsenal Women</x:v>
      </x:c>
      <x:c r="AF775" s="45" t="n">
        <x:v>5.388161636884778</x:v>
      </x:c>
      <x:c r="AG775" t="str">
        <x:v>Millwall Lionesses</x:v>
      </x:c>
      <x:c r="AH775" s="45" t="n">
        <x:v>4.381409646441867</x:v>
      </x:c>
      <x:c r="AI775" t="n">
        <x:v>85</x:v>
      </x:c>
      <x:c r="AJ775" t="str">
        <x:v>HIGH</x:v>
      </x:c>
    </x:row>
    <x:row r="776">
      <x:c r="A776" s="12" t="str">
        <x:v>E01003935</x:v>
      </x:c>
      <x:c r="B776" s="12" t="str">
        <x:v>Southwark 002D</x:v>
      </x:c>
      <x:c r="C776" s="12" t="str">
        <x:v>Southwark</x:v>
      </x:c>
      <x:c r="D776" s="44" t="n">
        <x:v>51.50619429343795</x:v>
      </x:c>
      <x:c r="E776" s="44" t="n">
        <x:v>-0.09660459210802183</x:v>
      </x:c>
      <x:c r="F776" s="33" t="n">
        <x:v>422</x:v>
      </x:c>
      <x:c r="G776" s="33" t="n">
        <x:v>97</x:v>
      </x:c>
      <x:c r="H776" s="26" t="n">
        <x:v>0.22985781990521326</x:v>
      </x:c>
      <x:c r="I776" s="12" t="n">
        <x:v>1</x:v>
      </x:c>
      <x:c r="J776" s="12" t="n">
        <x:v>22</x:v>
      </x:c>
      <x:c r="K776" s="12"/>
      <x:c r="L776" s="12"/>
      <x:c r="M776" s="12" t="str">
        <x:f>IF(K776="", "", MAX(0,IF(K776&lt;=20,100,IF(K776&lt;=30,85,IF(K776&lt;=40,70,IF(K776&lt;=50,55,IF(K776&lt;=60,40,20)))))-MIN(L776*5,20)))</x:f>
      </x:c>
      <x:c r="N776" s="12"/>
      <x:c r="O776" s="12"/>
      <x:c r="P776" s="12" t="str">
        <x:f>IF(OR(H776="",J776="",M776=""),"",ROUND(PERCENTRANK.INC($H$2:$H$941,H776)*35+J776*0.35+M776*0.30,0))</x:f>
      </x:c>
      <x:c r="Q776" s="12" t="str">
        <x:f>IF(P776="","",IF(P776&gt;=80,"ATTACK",IF(P776&gt;=65,"GROW",IF(P776&gt;=50,"PARTNER","WATCH"))))</x:f>
      </x:c>
      <x:c r="R776" s="12" t="str">
        <x:f>IF(Q776="","",IF(Q776="ATTACK","Grassroots + family acquisition",IF(Q776="GROW","Test local campaign",IF(Q776="PARTNER","Organisation-first partnership","Low priority / validate"))))</x:f>
      </x:c>
      <x:c r="S776" s="45" t="n">
        <x:v>15.062288193377908</x:v>
      </x:c>
      <x:c r="T776" t="str">
        <x:v>EXTENDED</x:v>
      </x:c>
      <x:c r="U776" s="32" t="n">
        <x:f>PERCENTRANK.INC($G$2:$G$941,G776)</x:f>
        <x:v>0.017</x:v>
      </x:c>
      <x:c r="V776" s="32" t="n">
        <x:f>PERCENTRANK.INC($H$2:$H$941,H776)</x:f>
        <x:v>0.135</x:v>
      </x:c>
      <x:c r="W776" t="n">
        <x:f>ROUND((U776*55+V776*45)*IF(S776&lt;=5,1,IF(S776&lt;=10,0.95,IF(S776&lt;=20,0.85,0.70))),0)</x:f>
        <x:v>6</x:v>
      </x:c>
      <x:c r="X776" t="n">
        <x:v>13</x:v>
      </x:c>
      <x:c r="Y776" t="str">
        <x:v>WATCH</x:v>
      </x:c>
      <x:c r="Z776" s="12" t="str">
        <x:v>Family + verified grassroots + straight-line geo only; transport not yet routed</x:v>
      </x:c>
      <x:c r="AA776" s="12"/>
      <x:c r="AB776" s="12"/>
      <x:c r="AC776" s="12"/>
      <x:c r="AD776" s="12"/>
      <x:c r="AE776" t="str">
        <x:v>Arsenal Women</x:v>
      </x:c>
      <x:c r="AF776" s="45" t="n">
        <x:v>5.49344719723902</x:v>
      </x:c>
      <x:c r="AG776" t="str">
        <x:v>Millwall Lionesses</x:v>
      </x:c>
      <x:c r="AH776" s="45" t="n">
        <x:v>3.90244606509217</x:v>
      </x:c>
      <x:c r="AI776" t="n">
        <x:v>85</x:v>
      </x:c>
      <x:c r="AJ776" t="str">
        <x:v>HIGH</x:v>
      </x:c>
    </x:row>
    <x:row r="777">
      <x:c r="A777" s="12" t="str">
        <x:v>E01003939</x:v>
      </x:c>
      <x:c r="B777" s="12" t="str">
        <x:v>Southwark 002E</x:v>
      </x:c>
      <x:c r="C777" s="12" t="str">
        <x:v>Southwark</x:v>
      </x:c>
      <x:c r="D777" s="44" t="n">
        <x:v>51.50076601010871</x:v>
      </x:c>
      <x:c r="E777" s="44" t="n">
        <x:v>-0.0910612194279157</x:v>
      </x:c>
      <x:c r="F777" s="33" t="n">
        <x:v>881</x:v>
      </x:c>
      <x:c r="G777" s="33" t="n">
        <x:v>116</x:v>
      </x:c>
      <x:c r="H777" s="26" t="n">
        <x:v>0.13166855845629966</x:v>
      </x:c>
      <x:c r="I777" s="12" t="n">
        <x:v>1</x:v>
      </x:c>
      <x:c r="J777" s="12" t="n">
        <x:v>22</x:v>
      </x:c>
      <x:c r="K777" s="12"/>
      <x:c r="L777" s="12"/>
      <x:c r="M777" s="12" t="str">
        <x:f>IF(K777="", "", MAX(0,IF(K777&lt;=20,100,IF(K777&lt;=30,85,IF(K777&lt;=40,70,IF(K777&lt;=50,55,IF(K777&lt;=60,40,20)))))-MIN(L777*5,20)))</x:f>
      </x:c>
      <x:c r="N777" s="12"/>
      <x:c r="O777" s="12"/>
      <x:c r="P777" s="12" t="str">
        <x:f>IF(OR(H777="",J777="",M777=""),"",ROUND(PERCENTRANK.INC($H$2:$H$941,H777)*35+J777*0.35+M777*0.30,0))</x:f>
      </x:c>
      <x:c r="Q777" s="12" t="str">
        <x:f>IF(P777="","",IF(P777&gt;=80,"ATTACK",IF(P777&gt;=65,"GROW",IF(P777&gt;=50,"PARTNER","WATCH"))))</x:f>
      </x:c>
      <x:c r="R777" s="12" t="str">
        <x:f>IF(Q777="","",IF(Q777="ATTACK","Grassroots + family acquisition",IF(Q777="GROW","Test local campaign",IF(Q777="PARTNER","Organisation-first partnership","Low priority / validate"))))</x:f>
      </x:c>
      <x:c r="S777" s="45" t="n">
        <x:v>14.34711485785099</x:v>
      </x:c>
      <x:c r="T777" t="str">
        <x:v>EXTENDED</x:v>
      </x:c>
      <x:c r="U777" s="32" t="n">
        <x:f>PERCENTRANK.INC($G$2:$G$941,G777)</x:f>
        <x:v>0.025</x:v>
      </x:c>
      <x:c r="V777" s="32" t="n">
        <x:f>PERCENTRANK.INC($H$2:$H$941,H777)</x:f>
        <x:v>0.019</x:v>
      </x:c>
      <x:c r="W777" t="n">
        <x:f>ROUND((U777*55+V777*45)*IF(S777&lt;=5,1,IF(S777&lt;=10,0.95,IF(S777&lt;=20,0.85,0.70))),0)</x:f>
        <x:v>2</x:v>
      </x:c>
      <x:c r="X777" t="n">
        <x:v>11</x:v>
      </x:c>
      <x:c r="Y777" t="str">
        <x:v>WATCH</x:v>
      </x:c>
      <x:c r="Z777" s="12" t="str">
        <x:v>Family + verified grassroots + straight-line geo only; transport not yet routed</x:v>
      </x:c>
      <x:c r="AA777" s="12"/>
      <x:c r="AB777" s="12"/>
      <x:c r="AC777" s="12"/>
      <x:c r="AD777" s="12"/>
      <x:c r="AE777" t="str">
        <x:v>Arsenal Women</x:v>
      </x:c>
      <x:c r="AF777" s="45" t="n">
        <x:v>6.154134492965291</x:v>
      </x:c>
      <x:c r="AG777" t="str">
        <x:v>Millwall Lionesses</x:v>
      </x:c>
      <x:c r="AH777" s="45" t="n">
        <x:v>3.5697389147658316</x:v>
      </x:c>
      <x:c r="AI777" t="n">
        <x:v>74</x:v>
      </x:c>
      <x:c r="AJ777" t="str">
        <x:v>MEDIUM</x:v>
      </x:c>
    </x:row>
    <x:row r="778">
      <x:c r="A778" s="12" t="str">
        <x:v>E01033867</x:v>
      </x:c>
      <x:c r="B778" s="12" t="str">
        <x:v>Southwark 002F</x:v>
      </x:c>
      <x:c r="C778" s="12" t="str">
        <x:v>Southwark</x:v>
      </x:c>
      <x:c r="D778" s="44" t="n">
        <x:v>51.50062656946151</x:v>
      </x:c>
      <x:c r="E778" s="44" t="n">
        <x:v>-0.09736143869528605</x:v>
      </x:c>
      <x:c r="F778" s="33" t="n">
        <x:v>608</x:v>
      </x:c>
      <x:c r="G778" s="33" t="n">
        <x:v>100</x:v>
      </x:c>
      <x:c r="H778" s="26" t="n">
        <x:v>0.16447368421052633</x:v>
      </x:c>
      <x:c r="I778" s="12" t="n">
        <x:v>1</x:v>
      </x:c>
      <x:c r="J778" s="12" t="n">
        <x:v>22</x:v>
      </x:c>
      <x:c r="K778" s="12"/>
      <x:c r="L778" s="12"/>
      <x:c r="M778" s="12" t="str">
        <x:f>IF(K778="", "", MAX(0,IF(K778&lt;=20,100,IF(K778&lt;=30,85,IF(K778&lt;=40,70,IF(K778&lt;=50,55,IF(K778&lt;=60,40,20)))))-MIN(L778*5,20)))</x:f>
      </x:c>
      <x:c r="N778" s="12"/>
      <x:c r="O778" s="12"/>
      <x:c r="P778" s="12" t="str">
        <x:f>IF(OR(H778="",J778="",M778=""),"",ROUND(PERCENTRANK.INC($H$2:$H$941,H778)*35+J778*0.35+M778*0.30,0))</x:f>
      </x:c>
      <x:c r="Q778" s="12" t="str">
        <x:f>IF(P778="","",IF(P778&gt;=80,"ATTACK",IF(P778&gt;=65,"GROW",IF(P778&gt;=50,"PARTNER","WATCH"))))</x:f>
      </x:c>
      <x:c r="R778" s="12" t="str">
        <x:f>IF(Q778="","",IF(Q778="ATTACK","Grassroots + family acquisition",IF(Q778="GROW","Test local campaign",IF(Q778="PARTNER","Organisation-first partnership","Low priority / validate"))))</x:f>
      </x:c>
      <x:c r="S778" s="45" t="n">
        <x:v>14.568282714565395</x:v>
      </x:c>
      <x:c r="T778" t="str">
        <x:v>EXTENDED</x:v>
      </x:c>
      <x:c r="U778" s="32" t="n">
        <x:f>PERCENTRANK.INC($G$2:$G$941,G778)</x:f>
        <x:v>0.02</x:v>
      </x:c>
      <x:c r="V778" s="32" t="n">
        <x:f>PERCENTRANK.INC($H$2:$H$941,H778)</x:f>
        <x:v>0.029</x:v>
      </x:c>
      <x:c r="W778" t="n">
        <x:f>ROUND((U778*55+V778*45)*IF(S778&lt;=5,1,IF(S778&lt;=10,0.95,IF(S778&lt;=20,0.85,0.70))),0)</x:f>
        <x:v>2</x:v>
      </x:c>
      <x:c r="X778" t="n">
        <x:v>11</x:v>
      </x:c>
      <x:c r="Y778" t="str">
        <x:v>WATCH</x:v>
      </x:c>
      <x:c r="Z778" s="12" t="str">
        <x:v>Family + verified grassroots + straight-line geo only; transport not yet routed</x:v>
      </x:c>
      <x:c r="AA778" s="12"/>
      <x:c r="AB778" s="12"/>
      <x:c r="AC778" s="12"/>
      <x:c r="AD778" s="12"/>
      <x:c r="AE778" t="str">
        <x:v>Arsenal Women</x:v>
      </x:c>
      <x:c r="AF778" s="45" t="n">
        <x:v>6.0996069979909855</x:v>
      </x:c>
      <x:c r="AG778" t="str">
        <x:v>Millwall Lionesses</x:v>
      </x:c>
      <x:c r="AH778" s="45" t="n">
        <x:v>4.002642306885696</x:v>
      </x:c>
      <x:c r="AI778" t="n">
        <x:v>74</x:v>
      </x:c>
      <x:c r="AJ778" t="str">
        <x:v>MEDIUM</x:v>
      </x:c>
    </x:row>
    <x:row r="779">
      <x:c r="A779" s="12" t="str">
        <x:v>E01033868</x:v>
      </x:c>
      <x:c r="B779" s="12" t="str">
        <x:v>Southwark 002G</x:v>
      </x:c>
      <x:c r="C779" s="12" t="str">
        <x:v>Southwark</x:v>
      </x:c>
      <x:c r="D779" s="44" t="n">
        <x:v>51.50028692377108</x:v>
      </x:c>
      <x:c r="E779" s="44" t="n">
        <x:v>-0.09966998562920905</x:v>
      </x:c>
      <x:c r="F779" s="33" t="n">
        <x:v>601</x:v>
      </x:c>
      <x:c r="G779" s="33" t="n">
        <x:v>55</x:v>
      </x:c>
      <x:c r="H779" s="26" t="n">
        <x:v>0.09151414309484193</x:v>
      </x:c>
      <x:c r="I779" s="12" t="n">
        <x:v>1</x:v>
      </x:c>
      <x:c r="J779" s="12" t="n">
        <x:v>22</x:v>
      </x:c>
      <x:c r="K779" s="12"/>
      <x:c r="L779" s="12"/>
      <x:c r="M779" s="12" t="str">
        <x:f>IF(K779="", "", MAX(0,IF(K779&lt;=20,100,IF(K779&lt;=30,85,IF(K779&lt;=40,70,IF(K779&lt;=50,55,IF(K779&lt;=60,40,20)))))-MIN(L779*5,20)))</x:f>
      </x:c>
      <x:c r="N779" s="12"/>
      <x:c r="O779" s="12"/>
      <x:c r="P779" s="12" t="str">
        <x:f>IF(OR(H779="",J779="",M779=""),"",ROUND(PERCENTRANK.INC($H$2:$H$941,H779)*35+J779*0.35+M779*0.30,0))</x:f>
      </x:c>
      <x:c r="Q779" s="12" t="str">
        <x:f>IF(P779="","",IF(P779&gt;=80,"ATTACK",IF(P779&gt;=65,"GROW",IF(P779&gt;=50,"PARTNER","WATCH"))))</x:f>
      </x:c>
      <x:c r="R779" s="12" t="str">
        <x:f>IF(Q779="","",IF(Q779="ATTACK","Grassroots + family acquisition",IF(Q779="GROW","Test local campaign",IF(Q779="PARTNER","Organisation-first partnership","Low priority / validate"))))</x:f>
      </x:c>
      <x:c r="S779" s="45" t="n">
        <x:v>14.625089254200876</x:v>
      </x:c>
      <x:c r="T779" t="str">
        <x:v>EXTENDED</x:v>
      </x:c>
      <x:c r="U779" s="32" t="n">
        <x:f>PERCENTRANK.INC($G$2:$G$941,G779)</x:f>
        <x:v>0.004</x:v>
      </x:c>
      <x:c r="V779" s="32" t="n">
        <x:f>PERCENTRANK.INC($H$2:$H$941,H779)</x:f>
        <x:v>0.005</x:v>
      </x:c>
      <x:c r="W779" t="n">
        <x:f>ROUND((U779*55+V779*45)*IF(S779&lt;=5,1,IF(S779&lt;=10,0.95,IF(S779&lt;=20,0.85,0.70))),0)</x:f>
        <x:v>0</x:v>
      </x:c>
      <x:c r="X779" t="n">
        <x:v>10</x:v>
      </x:c>
      <x:c r="Y779" t="str">
        <x:v>WATCH</x:v>
      </x:c>
      <x:c r="Z779" s="12" t="str">
        <x:v>Family + verified grassroots + straight-line geo only; transport not yet routed</x:v>
      </x:c>
      <x:c r="AA779" s="12"/>
      <x:c r="AB779" s="12"/>
      <x:c r="AC779" s="12"/>
      <x:c r="AD779" s="12"/>
      <x:c r="AE779" t="str">
        <x:v>Arsenal Women</x:v>
      </x:c>
      <x:c r="AF779" s="45" t="n">
        <x:v>6.119259454232191</x:v>
      </x:c>
      <x:c r="AG779" t="str">
        <x:v>Millwall Lionesses</x:v>
      </x:c>
      <x:c r="AH779" s="45" t="n">
        <x:v>4.166370377102504</x:v>
      </x:c>
      <x:c r="AI779" t="n">
        <x:v>74</x:v>
      </x:c>
      <x:c r="AJ779" t="str">
        <x:v>MEDIUM</x:v>
      </x:c>
    </x:row>
    <x:row r="780">
      <x:c r="A780" s="12" t="str">
        <x:v>E01003975</x:v>
      </x:c>
      <x:c r="B780" s="12" t="str">
        <x:v>Southwark 004A</x:v>
      </x:c>
      <x:c r="C780" s="12" t="str">
        <x:v>Southwark</x:v>
      </x:c>
      <x:c r="D780" s="44" t="n">
        <x:v>51.497256728901306</x:v>
      </x:c>
      <x:c r="E780" s="44" t="n">
        <x:v>-0.07356500235122303</x:v>
      </x:c>
      <x:c r="F780" s="33" t="n">
        <x:v>737</x:v>
      </x:c>
      <x:c r="G780" s="33" t="n">
        <x:v>213</x:v>
      </x:c>
      <x:c r="H780" s="26" t="n">
        <x:v>0.28900949796472186</x:v>
      </x:c>
      <x:c r="I780" s="12" t="n">
        <x:v>1</x:v>
      </x:c>
      <x:c r="J780" s="12" t="n">
        <x:v>36</x:v>
      </x:c>
      <x:c r="K780" s="12"/>
      <x:c r="L780" s="12"/>
      <x:c r="M780" s="12" t="str">
        <x:f>IF(K780="", "", MAX(0,IF(K780&lt;=20,100,IF(K780&lt;=30,85,IF(K780&lt;=40,70,IF(K780&lt;=50,55,IF(K780&lt;=60,40,20)))))-MIN(L780*5,20)))</x:f>
      </x:c>
      <x:c r="N780" s="12"/>
      <x:c r="O780" s="12"/>
      <x:c r="P780" s="12" t="str">
        <x:f>IF(OR(H780="",J780="",M780=""),"",ROUND(PERCENTRANK.INC($H$2:$H$941,H780)*35+J780*0.35+M780*0.30,0))</x:f>
      </x:c>
      <x:c r="Q780" s="12" t="str">
        <x:f>IF(P780="","",IF(P780&gt;=80,"ATTACK",IF(P780&gt;=65,"GROW",IF(P780&gt;=50,"PARTNER","WATCH"))))</x:f>
      </x:c>
      <x:c r="R780" s="12" t="str">
        <x:f>IF(Q780="","",IF(Q780="ATTACK","Grassroots + family acquisition",IF(Q780="GROW","Test local campaign",IF(Q780="PARTNER","Organisation-first partnership","Low priority / validate"))))</x:f>
      </x:c>
      <x:c r="S780" s="45" t="n">
        <x:v>13.403653095212341</x:v>
      </x:c>
      <x:c r="T780" t="str">
        <x:v>EXTENDED</x:v>
      </x:c>
      <x:c r="U780" s="32" t="n">
        <x:f>PERCENTRANK.INC($G$2:$G$941,G780)</x:f>
        <x:v>0.496</x:v>
      </x:c>
      <x:c r="V780" s="32" t="n">
        <x:f>PERCENTRANK.INC($H$2:$H$941,H780)</x:f>
        <x:v>0.338</x:v>
      </x:c>
      <x:c r="W780" t="n">
        <x:f>ROUND((U780*55+V780*45)*IF(S780&lt;=5,1,IF(S780&lt;=10,0.95,IF(S780&lt;=20,0.85,0.70))),0)</x:f>
        <x:v>36</x:v>
      </x:c>
      <x:c r="X780" t="n">
        <x:v>36</x:v>
      </x:c>
      <x:c r="Y780" t="str">
        <x:v>WATCH</x:v>
      </x:c>
      <x:c r="Z780" s="12" t="str">
        <x:v>Family + verified grassroots + straight-line geo only; transport not yet routed</x:v>
      </x:c>
      <x:c r="AA780" s="12"/>
      <x:c r="AB780" s="12"/>
      <x:c r="AC780" s="12"/>
      <x:c r="AD780" s="12"/>
      <x:c r="AE780" t="str">
        <x:v>Arsenal Women</x:v>
      </x:c>
      <x:c r="AF780" s="45" t="n">
        <x:v>6.863335032292742</x:v>
      </x:c>
      <x:c r="AG780" t="str">
        <x:v>Millwall Lionesses</x:v>
      </x:c>
      <x:c r="AH780" s="45" t="n">
        <x:v>2.5114343439481326</x:v>
      </x:c>
      <x:c r="AI780" t="n">
        <x:v>78</x:v>
      </x:c>
      <x:c r="AJ780" t="str">
        <x:v>HIGH</x:v>
      </x:c>
    </x:row>
    <x:row r="781">
      <x:c r="A781" s="12" t="str">
        <x:v>E01004023</x:v>
      </x:c>
      <x:c r="B781" s="12" t="str">
        <x:v>Southwark 004D</x:v>
      </x:c>
      <x:c r="C781" s="12" t="str">
        <x:v>Southwark</x:v>
      </x:c>
      <x:c r="D781" s="44" t="n">
        <x:v>51.499041601007896</x:v>
      </x:c>
      <x:c r="E781" s="44" t="n">
        <x:v>-0.06288093579832327</x:v>
      </x:c>
      <x:c r="F781" s="33" t="n">
        <x:v>711</x:v>
      </x:c>
      <x:c r="G781" s="33" t="n">
        <x:v>157</x:v>
      </x:c>
      <x:c r="H781" s="26" t="n">
        <x:v>0.22081575246132207</x:v>
      </x:c>
      <x:c r="I781" s="12" t="n">
        <x:v>1</x:v>
      </x:c>
      <x:c r="J781" s="12" t="n">
        <x:v>36</x:v>
      </x:c>
      <x:c r="K781" s="12"/>
      <x:c r="L781" s="12"/>
      <x:c r="M781" s="12" t="str">
        <x:f>IF(K781="", "", MAX(0,IF(K781&lt;=20,100,IF(K781&lt;=30,85,IF(K781&lt;=40,70,IF(K781&lt;=50,55,IF(K781&lt;=60,40,20)))))-MIN(L781*5,20)))</x:f>
      </x:c>
      <x:c r="N781" s="12"/>
      <x:c r="O781" s="12"/>
      <x:c r="P781" s="12" t="str">
        <x:f>IF(OR(H781="",J781="",M781=""),"",ROUND(PERCENTRANK.INC($H$2:$H$941,H781)*35+J781*0.35+M781*0.30,0))</x:f>
      </x:c>
      <x:c r="Q781" s="12" t="str">
        <x:f>IF(P781="","",IF(P781&gt;=80,"ATTACK",IF(P781&gt;=65,"GROW",IF(P781&gt;=50,"PARTNER","WATCH"))))</x:f>
      </x:c>
      <x:c r="R781" s="12" t="str">
        <x:f>IF(Q781="","",IF(Q781="ATTACK","Grassroots + family acquisition",IF(Q781="GROW","Test local campaign",IF(Q781="PARTNER","Organisation-first partnership","Low priority / validate"))))</x:f>
      </x:c>
      <x:c r="S781" s="45" t="n">
        <x:v>13.250165365209893</x:v>
      </x:c>
      <x:c r="T781" t="str">
        <x:v>EXTENDED</x:v>
      </x:c>
      <x:c r="U781" s="32" t="n">
        <x:f>PERCENTRANK.INC($G$2:$G$941,G781)</x:f>
        <x:v>0.115</x:v>
      </x:c>
      <x:c r="V781" s="32" t="n">
        <x:f>PERCENTRANK.INC($H$2:$H$941,H781)</x:f>
        <x:v>0.107</x:v>
      </x:c>
      <x:c r="W781" t="n">
        <x:f>ROUND((U781*55+V781*45)*IF(S781&lt;=5,1,IF(S781&lt;=10,0.95,IF(S781&lt;=20,0.85,0.70))),0)</x:f>
        <x:v>9</x:v>
      </x:c>
      <x:c r="X781" t="n">
        <x:v>21</x:v>
      </x:c>
      <x:c r="Y781" t="str">
        <x:v>WATCH</x:v>
      </x:c>
      <x:c r="Z781" s="12" t="str">
        <x:v>Family + verified grassroots + straight-line geo only; transport not yet routed</x:v>
      </x:c>
      <x:c r="AA781" s="12"/>
      <x:c r="AB781" s="12"/>
      <x:c r="AC781" s="12"/>
      <x:c r="AD781" s="12"/>
      <x:c r="AE781" t="str">
        <x:v>Arsenal Women</x:v>
      </x:c>
      <x:c r="AF781" s="45" t="n">
        <x:v>6.978704981352211</x:v>
      </x:c>
      <x:c r="AG781" t="str">
        <x:v>Millwall Lionesses</x:v>
      </x:c>
      <x:c r="AH781" s="45" t="n">
        <x:v>1.756916349137048</x:v>
      </x:c>
      <x:c r="AI781" t="n">
        <x:v>78</x:v>
      </x:c>
      <x:c r="AJ781" t="str">
        <x:v>HIGH</x:v>
      </x:c>
    </x:row>
    <x:row r="782">
      <x:c r="A782" s="12" t="str">
        <x:v>E01004028</x:v>
      </x:c>
      <x:c r="B782" s="12" t="str">
        <x:v>Southwark 004E</x:v>
      </x:c>
      <x:c r="C782" s="12" t="str">
        <x:v>Southwark</x:v>
      </x:c>
      <x:c r="D782" s="44" t="n">
        <x:v>51.49892382561117</x:v>
      </x:c>
      <x:c r="E782" s="44" t="n">
        <x:v>-0.07039190472372293</x:v>
      </x:c>
      <x:c r="F782" s="33" t="n">
        <x:v>1100</x:v>
      </x:c>
      <x:c r="G782" s="33" t="n">
        <x:v>278</x:v>
      </x:c>
      <x:c r="H782" s="26" t="n">
        <x:v>0.25272727272727274</x:v>
      </x:c>
      <x:c r="I782" s="12" t="n">
        <x:v>1</x:v>
      </x:c>
      <x:c r="J782" s="12" t="n">
        <x:v>36</x:v>
      </x:c>
      <x:c r="K782" s="12"/>
      <x:c r="L782" s="12"/>
      <x:c r="M782" s="12" t="str">
        <x:f>IF(K782="", "", MAX(0,IF(K782&lt;=20,100,IF(K782&lt;=30,85,IF(K782&lt;=40,70,IF(K782&lt;=50,55,IF(K782&lt;=60,40,20)))))-MIN(L782*5,20)))</x:f>
      </x:c>
      <x:c r="N782" s="12"/>
      <x:c r="O782" s="12"/>
      <x:c r="P782" s="12" t="str">
        <x:f>IF(OR(H782="",J782="",M782=""),"",ROUND(PERCENTRANK.INC($H$2:$H$941,H782)*35+J782*0.35+M782*0.30,0))</x:f>
      </x:c>
      <x:c r="Q782" s="12" t="str">
        <x:f>IF(P782="","",IF(P782&gt;=80,"ATTACK",IF(P782&gt;=65,"GROW",IF(P782&gt;=50,"PARTNER","WATCH"))))</x:f>
      </x:c>
      <x:c r="R782" s="12" t="str">
        <x:f>IF(Q782="","",IF(Q782="ATTACK","Grassroots + family acquisition",IF(Q782="GROW","Test local campaign",IF(Q782="PARTNER","Organisation-first partnership","Low priority / validate"))))</x:f>
      </x:c>
      <x:c r="S782" s="45" t="n">
        <x:v>13.466184242844946</x:v>
      </x:c>
      <x:c r="T782" t="str">
        <x:v>EXTENDED</x:v>
      </x:c>
      <x:c r="U782" s="32" t="n">
        <x:f>PERCENTRANK.INC($G$2:$G$941,G782)</x:f>
        <x:v>0.893</x:v>
      </x:c>
      <x:c r="V782" s="32" t="n">
        <x:f>PERCENTRANK.INC($H$2:$H$941,H782)</x:f>
        <x:v>0.191</x:v>
      </x:c>
      <x:c r="W782" t="n">
        <x:f>ROUND((U782*55+V782*45)*IF(S782&lt;=5,1,IF(S782&lt;=10,0.95,IF(S782&lt;=20,0.85,0.70))),0)</x:f>
        <x:v>49</x:v>
      </x:c>
      <x:c r="X782" t="n">
        <x:v>43</x:v>
      </x:c>
      <x:c r="Y782" t="str">
        <x:v>WATCH</x:v>
      </x:c>
      <x:c r="Z782" s="12" t="str">
        <x:v>Family + verified grassroots + straight-line geo only; transport not yet routed</x:v>
      </x:c>
      <x:c r="AA782" s="12"/>
      <x:c r="AB782" s="12"/>
      <x:c r="AC782" s="12"/>
      <x:c r="AD782" s="12"/>
      <x:c r="AE782" t="str">
        <x:v>Arsenal Women</x:v>
      </x:c>
      <x:c r="AF782" s="45" t="n">
        <x:v>6.772235056146547</x:v>
      </x:c>
      <x:c r="AG782" t="str">
        <x:v>Millwall Lionesses</x:v>
      </x:c>
      <x:c r="AH782" s="45" t="n">
        <x:v>2.238043395844734</x:v>
      </x:c>
      <x:c r="AI782" t="n">
        <x:v>78</x:v>
      </x:c>
      <x:c r="AJ782" t="str">
        <x:v>HIGH</x:v>
      </x:c>
    </x:row>
    <x:row r="783">
      <x:c r="A783" s="12" t="str">
        <x:v>E01033869</x:v>
      </x:c>
      <x:c r="B783" s="12" t="str">
        <x:v>Southwark 004F</x:v>
      </x:c>
      <x:c r="C783" s="12" t="str">
        <x:v>Southwark</x:v>
      </x:c>
      <x:c r="D783" s="44" t="n">
        <x:v>51.49878020404693</x:v>
      </x:c>
      <x:c r="E783" s="44" t="n">
        <x:v>-0.0672416726910587</x:v>
      </x:c>
      <x:c r="F783" s="33" t="n">
        <x:v>638</x:v>
      </x:c>
      <x:c r="G783" s="33" t="n">
        <x:v>182</x:v>
      </x:c>
      <x:c r="H783" s="26" t="n">
        <x:v>0.2852664576802508</x:v>
      </x:c>
      <x:c r="I783" s="12" t="n">
        <x:v>1</x:v>
      </x:c>
      <x:c r="J783" s="12" t="n">
        <x:v>36</x:v>
      </x:c>
      <x:c r="K783" s="12"/>
      <x:c r="L783" s="12"/>
      <x:c r="M783" s="12" t="str">
        <x:f>IF(K783="", "", MAX(0,IF(K783&lt;=20,100,IF(K783&lt;=30,85,IF(K783&lt;=40,70,IF(K783&lt;=50,55,IF(K783&lt;=60,40,20)))))-MIN(L783*5,20)))</x:f>
      </x:c>
      <x:c r="N783" s="12"/>
      <x:c r="O783" s="12"/>
      <x:c r="P783" s="12" t="str">
        <x:f>IF(OR(H783="",J783="",M783=""),"",ROUND(PERCENTRANK.INC($H$2:$H$941,H783)*35+J783*0.35+M783*0.30,0))</x:f>
      </x:c>
      <x:c r="Q783" s="12" t="str">
        <x:f>IF(P783="","",IF(P783&gt;=80,"ATTACK",IF(P783&gt;=65,"GROW",IF(P783&gt;=50,"PARTNER","WATCH"))))</x:f>
      </x:c>
      <x:c r="R783" s="12" t="str">
        <x:f>IF(Q783="","",IF(Q783="ATTACK","Grassroots + family acquisition",IF(Q783="GROW","Test local campaign",IF(Q783="PARTNER","Organisation-first partnership","Low priority / validate"))))</x:f>
      </x:c>
      <x:c r="S783" s="45" t="n">
        <x:v>13.354276398776037</x:v>
      </x:c>
      <x:c r="T783" t="str">
        <x:v>EXTENDED</x:v>
      </x:c>
      <x:c r="U783" s="32" t="n">
        <x:f>PERCENTRANK.INC($G$2:$G$941,G783)</x:f>
        <x:v>0.238</x:v>
      </x:c>
      <x:c r="V783" s="32" t="n">
        <x:f>PERCENTRANK.INC($H$2:$H$941,H783)</x:f>
        <x:v>0.314</x:v>
      </x:c>
      <x:c r="W783" t="n">
        <x:f>ROUND((U783*55+V783*45)*IF(S783&lt;=5,1,IF(S783&lt;=10,0.95,IF(S783&lt;=20,0.85,0.70))),0)</x:f>
        <x:v>23</x:v>
      </x:c>
      <x:c r="X783" t="n">
        <x:v>29</x:v>
      </x:c>
      <x:c r="Y783" t="str">
        <x:v>WATCH</x:v>
      </x:c>
      <x:c r="Z783" s="12" t="str">
        <x:v>Family + verified grassroots + straight-line geo only; transport not yet routed</x:v>
      </x:c>
      <x:c r="AA783" s="12"/>
      <x:c r="AB783" s="12"/>
      <x:c r="AC783" s="12"/>
      <x:c r="AD783" s="12"/>
      <x:c r="AE783" t="str">
        <x:v>Arsenal Women</x:v>
      </x:c>
      <x:c r="AF783" s="45" t="n">
        <x:v>6.874323978368422</x:v>
      </x:c>
      <x:c r="AG783" t="str">
        <x:v>Millwall Lionesses</x:v>
      </x:c>
      <x:c r="AH783" s="45" t="n">
        <x:v>2.0424504230049965</x:v>
      </x:c>
      <x:c r="AI783" t="n">
        <x:v>78</x:v>
      </x:c>
      <x:c r="AJ783" t="str">
        <x:v>HIGH</x:v>
      </x:c>
    </x:row>
    <x:row r="784">
      <x:c r="A784" s="12" t="str">
        <x:v>E01033870</x:v>
      </x:c>
      <x:c r="B784" s="12" t="str">
        <x:v>Southwark 004G</x:v>
      </x:c>
      <x:c r="C784" s="12" t="str">
        <x:v>Southwark</x:v>
      </x:c>
      <x:c r="D784" s="44" t="n">
        <x:v>51.4962045483984</x:v>
      </x:c>
      <x:c r="E784" s="44" t="n">
        <x:v>-0.07658153937143906</x:v>
      </x:c>
      <x:c r="F784" s="33" t="n">
        <x:v>859</x:v>
      </x:c>
      <x:c r="G784" s="33" t="n">
        <x:v>156</x:v>
      </x:c>
      <x:c r="H784" s="26" t="n">
        <x:v>0.18160651920838183</x:v>
      </x:c>
      <x:c r="I784" s="12" t="n">
        <x:v>1</x:v>
      </x:c>
      <x:c r="J784" s="12" t="n">
        <x:v>36</x:v>
      </x:c>
      <x:c r="K784" s="12"/>
      <x:c r="L784" s="12"/>
      <x:c r="M784" s="12" t="str">
        <x:f>IF(K784="", "", MAX(0,IF(K784&lt;=20,100,IF(K784&lt;=30,85,IF(K784&lt;=40,70,IF(K784&lt;=50,55,IF(K784&lt;=60,40,20)))))-MIN(L784*5,20)))</x:f>
      </x:c>
      <x:c r="N784" s="12"/>
      <x:c r="O784" s="12"/>
      <x:c r="P784" s="12" t="str">
        <x:f>IF(OR(H784="",J784="",M784=""),"",ROUND(PERCENTRANK.INC($H$2:$H$941,H784)*35+J784*0.35+M784*0.30,0))</x:f>
      </x:c>
      <x:c r="Q784" s="12" t="str">
        <x:f>IF(P784="","",IF(P784&gt;=80,"ATTACK",IF(P784&gt;=65,"GROW",IF(P784&gt;=50,"PARTNER","WATCH"))))</x:f>
      </x:c>
      <x:c r="R784" s="12" t="str">
        <x:f>IF(Q784="","",IF(Q784="ATTACK","Grassroots + family acquisition",IF(Q784="GROW","Test local campaign",IF(Q784="PARTNER","Organisation-first partnership","Low priority / validate"))))</x:f>
      </x:c>
      <x:c r="S784" s="45" t="n">
        <x:v>13.401349588863656</x:v>
      </x:c>
      <x:c r="T784" t="str">
        <x:v>EXTENDED</x:v>
      </x:c>
      <x:c r="U784" s="32" t="n">
        <x:f>PERCENTRANK.INC($G$2:$G$941,G784)</x:f>
        <x:v>0.11</x:v>
      </x:c>
      <x:c r="V784" s="32" t="n">
        <x:f>PERCENTRANK.INC($H$2:$H$941,H784)</x:f>
        <x:v>0.039</x:v>
      </x:c>
      <x:c r="W784" t="n">
        <x:f>ROUND((U784*55+V784*45)*IF(S784&lt;=5,1,IF(S784&lt;=10,0.95,IF(S784&lt;=20,0.85,0.70))),0)</x:f>
        <x:v>7</x:v>
      </x:c>
      <x:c r="X784" t="n">
        <x:v>20</x:v>
      </x:c>
      <x:c r="Y784" t="str">
        <x:v>WATCH</x:v>
      </x:c>
      <x:c r="Z784" s="12" t="str">
        <x:v>Family + verified grassroots + straight-line geo only; transport not yet routed</x:v>
      </x:c>
      <x:c r="AA784" s="12"/>
      <x:c r="AB784" s="12"/>
      <x:c r="AC784" s="12"/>
      <x:c r="AD784" s="12"/>
      <x:c r="AE784" t="str">
        <x:v>Arsenal Women</x:v>
      </x:c>
      <x:c r="AF784" s="45" t="n">
        <x:v>6.903666494504051</x:v>
      </x:c>
      <x:c r="AG784" t="str">
        <x:v>Millwall Lionesses</x:v>
      </x:c>
      <x:c r="AH784" s="45" t="n">
        <x:v>2.7495878480317737</x:v>
      </x:c>
      <x:c r="AI784" t="n">
        <x:v>78</x:v>
      </x:c>
      <x:c r="AJ784" t="str">
        <x:v>HIGH</x:v>
      </x:c>
    </x:row>
    <x:row r="785">
      <x:c r="A785" s="12" t="str">
        <x:v>E01033871</x:v>
      </x:c>
      <x:c r="B785" s="12" t="str">
        <x:v>Southwark 004H</x:v>
      </x:c>
      <x:c r="C785" s="12" t="str">
        <x:v>Southwark</x:v>
      </x:c>
      <x:c r="D785" s="44" t="n">
        <x:v>51.49663313628206</x:v>
      </x:c>
      <x:c r="E785" s="44" t="n">
        <x:v>-0.06575944241272366</x:v>
      </x:c>
      <x:c r="F785" s="33" t="n">
        <x:v>689</x:v>
      </x:c>
      <x:c r="G785" s="33" t="n">
        <x:v>156</x:v>
      </x:c>
      <x:c r="H785" s="26" t="n">
        <x:v>0.22641509433962265</x:v>
      </x:c>
      <x:c r="I785" s="12" t="n">
        <x:v>1</x:v>
      </x:c>
      <x:c r="J785" s="12" t="n">
        <x:v>36</x:v>
      </x:c>
      <x:c r="K785" s="12"/>
      <x:c r="L785" s="12"/>
      <x:c r="M785" s="12" t="str">
        <x:f>IF(K785="", "", MAX(0,IF(K785&lt;=20,100,IF(K785&lt;=30,85,IF(K785&lt;=40,70,IF(K785&lt;=50,55,IF(K785&lt;=60,40,20)))))-MIN(L785*5,20)))</x:f>
      </x:c>
      <x:c r="N785" s="12"/>
      <x:c r="O785" s="12"/>
      <x:c r="P785" s="12" t="str">
        <x:f>IF(OR(H785="",J785="",M785=""),"",ROUND(PERCENTRANK.INC($H$2:$H$941,H785)*35+J785*0.35+M785*0.30,0))</x:f>
      </x:c>
      <x:c r="Q785" s="12" t="str">
        <x:f>IF(P785="","",IF(P785&gt;=80,"ATTACK",IF(P785&gt;=65,"GROW",IF(P785&gt;=50,"PARTNER","WATCH"))))</x:f>
      </x:c>
      <x:c r="R785" s="12" t="str">
        <x:f>IF(Q785="","",IF(Q785="ATTACK","Grassroots + family acquisition",IF(Q785="GROW","Test local campaign",IF(Q785="PARTNER","Organisation-first partnership","Low priority / validate"))))</x:f>
      </x:c>
      <x:c r="S785" s="45" t="n">
        <x:v>13.094765692771459</x:v>
      </x:c>
      <x:c r="T785" t="str">
        <x:v>EXTENDED</x:v>
      </x:c>
      <x:c r="U785" s="32" t="n">
        <x:f>PERCENTRANK.INC($G$2:$G$941,G785)</x:f>
        <x:v>0.11</x:v>
      </x:c>
      <x:c r="V785" s="32" t="n">
        <x:f>PERCENTRANK.INC($H$2:$H$941,H785)</x:f>
        <x:v>0.122</x:v>
      </x:c>
      <x:c r="W785" t="n">
        <x:f>ROUND((U785*55+V785*45)*IF(S785&lt;=5,1,IF(S785&lt;=10,0.95,IF(S785&lt;=20,0.85,0.70))),0)</x:f>
        <x:v>10</x:v>
      </x:c>
      <x:c r="X785" t="n">
        <x:v>22</x:v>
      </x:c>
      <x:c r="Y785" t="str">
        <x:v>WATCH</x:v>
      </x:c>
      <x:c r="Z785" s="12" t="str">
        <x:v>Family + verified grassroots + straight-line geo only; transport not yet routed</x:v>
      </x:c>
      <x:c r="AA785" s="12"/>
      <x:c r="AB785" s="12"/>
      <x:c r="AC785" s="12"/>
      <x:c r="AD785" s="12"/>
      <x:c r="AE785" t="str">
        <x:v>Arsenal Women</x:v>
      </x:c>
      <x:c r="AF785" s="45" t="n">
        <x:v>7.134127896057154</x:v>
      </x:c>
      <x:c r="AG785" t="str">
        <x:v>Millwall Lionesses</x:v>
      </x:c>
      <x:c r="AH785" s="45" t="n">
        <x:v>2.06090281738061</x:v>
      </x:c>
      <x:c r="AI785" t="n">
        <x:v>78</x:v>
      </x:c>
      <x:c r="AJ785" t="str">
        <x:v>HIGH</x:v>
      </x:c>
    </x:row>
    <x:row r="786">
      <x:c r="A786" s="12" t="str">
        <x:v>E01033872</x:v>
      </x:c>
      <x:c r="B786" s="12" t="str">
        <x:v>Southwark 004I</x:v>
      </x:c>
      <x:c r="C786" s="12" t="str">
        <x:v>Southwark</x:v>
      </x:c>
      <x:c r="D786" s="44" t="n">
        <x:v>51.494889904523504</x:v>
      </x:c>
      <x:c r="E786" s="44" t="n">
        <x:v>-0.07282683043778775</x:v>
      </x:c>
      <x:c r="F786" s="33" t="n">
        <x:v>657</x:v>
      </x:c>
      <x:c r="G786" s="33" t="n">
        <x:v>123</x:v>
      </x:c>
      <x:c r="H786" s="26" t="n">
        <x:v>0.1872146118721461</x:v>
      </x:c>
      <x:c r="I786" s="12" t="n">
        <x:v>1</x:v>
      </x:c>
      <x:c r="J786" s="12" t="n">
        <x:v>36</x:v>
      </x:c>
      <x:c r="K786" s="12"/>
      <x:c r="L786" s="12"/>
      <x:c r="M786" s="12" t="str">
        <x:f>IF(K786="", "", MAX(0,IF(K786&lt;=20,100,IF(K786&lt;=30,85,IF(K786&lt;=40,70,IF(K786&lt;=50,55,IF(K786&lt;=60,40,20)))))-MIN(L786*5,20)))</x:f>
      </x:c>
      <x:c r="N786" s="12"/>
      <x:c r="O786" s="12"/>
      <x:c r="P786" s="12" t="str">
        <x:f>IF(OR(H786="",J786="",M786=""),"",ROUND(PERCENTRANK.INC($H$2:$H$941,H786)*35+J786*0.35+M786*0.30,0))</x:f>
      </x:c>
      <x:c r="Q786" s="12" t="str">
        <x:f>IF(P786="","",IF(P786&gt;=80,"ATTACK",IF(P786&gt;=65,"GROW",IF(P786&gt;=50,"PARTNER","WATCH"))))</x:f>
      </x:c>
      <x:c r="R786" s="12" t="str">
        <x:f>IF(Q786="","",IF(Q786="ATTACK","Grassroots + family acquisition",IF(Q786="GROW","Test local campaign",IF(Q786="PARTNER","Organisation-first partnership","Low priority / validate"))))</x:f>
      </x:c>
      <x:c r="S786" s="45" t="n">
        <x:v>13.14779863831262</x:v>
      </x:c>
      <x:c r="T786" t="str">
        <x:v>EXTENDED</x:v>
      </x:c>
      <x:c r="U786" s="32" t="n">
        <x:f>PERCENTRANK.INC($G$2:$G$941,G786)</x:f>
        <x:v>0.034</x:v>
      </x:c>
      <x:c r="V786" s="32" t="n">
        <x:f>PERCENTRANK.INC($H$2:$H$941,H786)</x:f>
        <x:v>0.046</x:v>
      </x:c>
      <x:c r="W786" t="n">
        <x:f>ROUND((U786*55+V786*45)*IF(S786&lt;=5,1,IF(S786&lt;=10,0.95,IF(S786&lt;=20,0.85,0.70))),0)</x:f>
        <x:v>3</x:v>
      </x:c>
      <x:c r="X786" t="n">
        <x:v>18</x:v>
      </x:c>
      <x:c r="Y786" t="str">
        <x:v>WATCH</x:v>
      </x:c>
      <x:c r="Z786" s="12" t="str">
        <x:v>Family + verified grassroots + straight-line geo only; transport not yet routed</x:v>
      </x:c>
      <x:c r="AA786" s="12"/>
      <x:c r="AB786" s="12"/>
      <x:c r="AC786" s="12"/>
      <x:c r="AD786" s="12"/>
      <x:c r="AE786" t="str">
        <x:v>Arsenal Women</x:v>
      </x:c>
      <x:c r="AF786" s="45" t="n">
        <x:v>7.127849676684519</x:v>
      </x:c>
      <x:c r="AG786" t="str">
        <x:v>Millwall Lionesses</x:v>
      </x:c>
      <x:c r="AH786" s="45" t="n">
        <x:v>2.581603164492479</x:v>
      </x:c>
      <x:c r="AI786" t="n">
        <x:v>78</x:v>
      </x:c>
      <x:c r="AJ786" t="str">
        <x:v>HIGH</x:v>
      </x:c>
    </x:row>
    <x:row r="787">
      <x:c r="A787" s="12" t="str">
        <x:v>E01003938</x:v>
      </x:c>
      <x:c r="B787" s="12" t="str">
        <x:v>Southwark 006A</x:v>
      </x:c>
      <x:c r="C787" s="12" t="str">
        <x:v>Southwark</x:v>
      </x:c>
      <x:c r="D787" s="44" t="n">
        <x:v>51.50011908744341</x:v>
      </x:c>
      <x:c r="E787" s="44" t="n">
        <x:v>-0.08930408797384956</x:v>
      </x:c>
      <x:c r="F787" s="33" t="n">
        <x:v>754</x:v>
      </x:c>
      <x:c r="G787" s="33" t="n">
        <x:v>185</x:v>
      </x:c>
      <x:c r="H787" s="26" t="n">
        <x:v>0.2453580901856764</x:v>
      </x:c>
      <x:c r="I787" s="12" t="n">
        <x:v>1</x:v>
      </x:c>
      <x:c r="J787" s="12" t="n">
        <x:v>36</x:v>
      </x:c>
      <x:c r="K787" s="12"/>
      <x:c r="L787" s="12"/>
      <x:c r="M787" s="12" t="str">
        <x:f>IF(K787="", "", MAX(0,IF(K787&lt;=20,100,IF(K787&lt;=30,85,IF(K787&lt;=40,70,IF(K787&lt;=50,55,IF(K787&lt;=60,40,20)))))-MIN(L787*5,20)))</x:f>
      </x:c>
      <x:c r="N787" s="12"/>
      <x:c r="O787" s="12"/>
      <x:c r="P787" s="12" t="str">
        <x:f>IF(OR(H787="",J787="",M787=""),"",ROUND(PERCENTRANK.INC($H$2:$H$941,H787)*35+J787*0.35+M787*0.30,0))</x:f>
      </x:c>
      <x:c r="Q787" s="12" t="str">
        <x:f>IF(P787="","",IF(P787&gt;=80,"ATTACK",IF(P787&gt;=65,"GROW",IF(P787&gt;=50,"PARTNER","WATCH"))))</x:f>
      </x:c>
      <x:c r="R787" s="12" t="str">
        <x:f>IF(Q787="","",IF(Q787="ATTACK","Grassroots + family acquisition",IF(Q787="GROW","Test local campaign",IF(Q787="PARTNER","Organisation-first partnership","Low priority / validate"))))</x:f>
      </x:c>
      <x:c r="S787" s="45" t="n">
        <x:v>14.222107753862995</x:v>
      </x:c>
      <x:c r="T787" t="str">
        <x:v>EXTENDED</x:v>
      </x:c>
      <x:c r="U787" s="32" t="n">
        <x:f>PERCENTRANK.INC($G$2:$G$941,G787)</x:f>
        <x:v>0.266</x:v>
      </x:c>
      <x:c r="V787" s="32" t="n">
        <x:f>PERCENTRANK.INC($H$2:$H$941,H787)</x:f>
        <x:v>0.17</x:v>
      </x:c>
      <x:c r="W787" t="n">
        <x:f>ROUND((U787*55+V787*45)*IF(S787&lt;=5,1,IF(S787&lt;=10,0.95,IF(S787&lt;=20,0.85,0.70))),0)</x:f>
        <x:v>19</x:v>
      </x:c>
      <x:c r="X787" t="n">
        <x:v>27</x:v>
      </x:c>
      <x:c r="Y787" t="str">
        <x:v>WATCH</x:v>
      </x:c>
      <x:c r="Z787" s="12" t="str">
        <x:v>Family + verified grassroots + straight-line geo only; transport not yet routed</x:v>
      </x:c>
      <x:c r="AA787" s="12"/>
      <x:c r="AB787" s="12"/>
      <x:c r="AC787" s="12"/>
      <x:c r="AD787" s="12"/>
      <x:c r="AE787" t="str">
        <x:v>Arsenal Women</x:v>
      </x:c>
      <x:c r="AF787" s="45" t="n">
        <x:v>6.249268712178532</x:v>
      </x:c>
      <x:c r="AG787" t="str">
        <x:v>Millwall Lionesses</x:v>
      </x:c>
      <x:c r="AH787" s="45" t="n">
        <x:v>3.4631625104935657</x:v>
      </x:c>
      <x:c r="AI787" t="n">
        <x:v>74</x:v>
      </x:c>
      <x:c r="AJ787" t="str">
        <x:v>MEDIUM</x:v>
      </x:c>
    </x:row>
    <x:row r="788">
      <x:c r="A788" s="12" t="str">
        <x:v>E01003940</x:v>
      </x:c>
      <x:c r="B788" s="12" t="str">
        <x:v>Southwark 006B</x:v>
      </x:c>
      <x:c r="C788" s="12" t="str">
        <x:v>Southwark</x:v>
      </x:c>
      <x:c r="D788" s="44" t="n">
        <x:v>51.497728363603564</x:v>
      </x:c>
      <x:c r="E788" s="44" t="n">
        <x:v>-0.08653166682542238</x:v>
      </x:c>
      <x:c r="F788" s="33" t="n">
        <x:v>631</x:v>
      </x:c>
      <x:c r="G788" s="33" t="n">
        <x:v>174</x:v>
      </x:c>
      <x:c r="H788" s="26" t="n">
        <x:v>0.2757527733755943</x:v>
      </x:c>
      <x:c r="I788" s="12" t="n">
        <x:v>1</x:v>
      </x:c>
      <x:c r="J788" s="12" t="n">
        <x:v>36</x:v>
      </x:c>
      <x:c r="K788" s="12"/>
      <x:c r="L788" s="12"/>
      <x:c r="M788" s="12" t="str">
        <x:f>IF(K788="", "", MAX(0,IF(K788&lt;=20,100,IF(K788&lt;=30,85,IF(K788&lt;=40,70,IF(K788&lt;=50,55,IF(K788&lt;=60,40,20)))))-MIN(L788*5,20)))</x:f>
      </x:c>
      <x:c r="N788" s="12"/>
      <x:c r="O788" s="12"/>
      <x:c r="P788" s="12" t="str">
        <x:f>IF(OR(H788="",J788="",M788=""),"",ROUND(PERCENTRANK.INC($H$2:$H$941,H788)*35+J788*0.35+M788*0.30,0))</x:f>
      </x:c>
      <x:c r="Q788" s="12" t="str">
        <x:f>IF(P788="","",IF(P788&gt;=80,"ATTACK",IF(P788&gt;=65,"GROW",IF(P788&gt;=50,"PARTNER","WATCH"))))</x:f>
      </x:c>
      <x:c r="R788" s="12" t="str">
        <x:f>IF(Q788="","",IF(Q788="ATTACK","Grassroots + family acquisition",IF(Q788="GROW","Test local campaign",IF(Q788="PARTNER","Organisation-first partnership","Low priority / validate"))))</x:f>
      </x:c>
      <x:c r="S788" s="45" t="n">
        <x:v>13.895204897793256</x:v>
      </x:c>
      <x:c r="T788" t="str">
        <x:v>EXTENDED</x:v>
      </x:c>
      <x:c r="U788" s="32" t="n">
        <x:f>PERCENTRANK.INC($G$2:$G$941,G788)</x:f>
        <x:v>0.188</x:v>
      </x:c>
      <x:c r="V788" s="32" t="n">
        <x:f>PERCENTRANK.INC($H$2:$H$941,H788)</x:f>
        <x:v>0.274</x:v>
      </x:c>
      <x:c r="W788" t="n">
        <x:f>ROUND((U788*55+V788*45)*IF(S788&lt;=5,1,IF(S788&lt;=10,0.95,IF(S788&lt;=20,0.85,0.70))),0)</x:f>
        <x:v>19</x:v>
      </x:c>
      <x:c r="X788" t="n">
        <x:v>27</x:v>
      </x:c>
      <x:c r="Y788" t="str">
        <x:v>WATCH</x:v>
      </x:c>
      <x:c r="Z788" s="12" t="str">
        <x:v>Family + verified grassroots + straight-line geo only; transport not yet routed</x:v>
      </x:c>
      <x:c r="AA788" s="12"/>
      <x:c r="AB788" s="12"/>
      <x:c r="AC788" s="12"/>
      <x:c r="AD788" s="12"/>
      <x:c r="AE788" t="str">
        <x:v>Arsenal Women</x:v>
      </x:c>
      <x:c r="AF788" s="45" t="n">
        <x:v>6.550965286909628</x:v>
      </x:c>
      <x:c r="AG788" t="str">
        <x:v>Millwall Lionesses</x:v>
      </x:c>
      <x:c r="AH788" s="45" t="n">
        <x:v>3.3398763462426304</x:v>
      </x:c>
      <x:c r="AI788" t="n">
        <x:v>74</x:v>
      </x:c>
      <x:c r="AJ788" t="str">
        <x:v>MEDIUM</x:v>
      </x:c>
    </x:row>
    <x:row r="789">
      <x:c r="A789" s="12" t="str">
        <x:v>E01003941</x:v>
      </x:c>
      <x:c r="B789" s="12" t="str">
        <x:v>Southwark 006C</x:v>
      </x:c>
      <x:c r="C789" s="12" t="str">
        <x:v>Southwark</x:v>
      </x:c>
      <x:c r="D789" s="44" t="n">
        <x:v>51.49666216015641</x:v>
      </x:c>
      <x:c r="E789" s="44" t="n">
        <x:v>-0.08378708267041436</x:v>
      </x:c>
      <x:c r="F789" s="33" t="n">
        <x:v>964</x:v>
      </x:c>
      <x:c r="G789" s="33" t="n">
        <x:v>165</x:v>
      </x:c>
      <x:c r="H789" s="26" t="n">
        <x:v>0.17116182572614108</x:v>
      </x:c>
      <x:c r="I789" s="12" t="n">
        <x:v>1</x:v>
      </x:c>
      <x:c r="J789" s="12" t="n">
        <x:v>36</x:v>
      </x:c>
      <x:c r="K789" s="12"/>
      <x:c r="L789" s="12"/>
      <x:c r="M789" s="12" t="str">
        <x:f>IF(K789="", "", MAX(0,IF(K789&lt;=20,100,IF(K789&lt;=30,85,IF(K789&lt;=40,70,IF(K789&lt;=50,55,IF(K789&lt;=60,40,20)))))-MIN(L789*5,20)))</x:f>
      </x:c>
      <x:c r="N789" s="12"/>
      <x:c r="O789" s="12"/>
      <x:c r="P789" s="12" t="str">
        <x:f>IF(OR(H789="",J789="",M789=""),"",ROUND(PERCENTRANK.INC($H$2:$H$941,H789)*35+J789*0.35+M789*0.30,0))</x:f>
      </x:c>
      <x:c r="Q789" s="12" t="str">
        <x:f>IF(P789="","",IF(P789&gt;=80,"ATTACK",IF(P789&gt;=65,"GROW",IF(P789&gt;=50,"PARTNER","WATCH"))))</x:f>
      </x:c>
      <x:c r="R789" s="12" t="str">
        <x:f>IF(Q789="","",IF(Q789="ATTACK","Grassroots + family acquisition",IF(Q789="GROW","Test local campaign",IF(Q789="PARTNER","Organisation-first partnership","Low priority / validate"))))</x:f>
      </x:c>
      <x:c r="S789" s="45" t="n">
        <x:v>13.695449273429208</x:v>
      </x:c>
      <x:c r="T789" t="str">
        <x:v>EXTENDED</x:v>
      </x:c>
      <x:c r="U789" s="32" t="n">
        <x:f>PERCENTRANK.INC($G$2:$G$941,G789)</x:f>
        <x:v>0.145</x:v>
      </x:c>
      <x:c r="V789" s="32" t="n">
        <x:f>PERCENTRANK.INC($H$2:$H$941,H789)</x:f>
        <x:v>0.034</x:v>
      </x:c>
      <x:c r="W789" t="n">
        <x:f>ROUND((U789*55+V789*45)*IF(S789&lt;=5,1,IF(S789&lt;=10,0.95,IF(S789&lt;=20,0.85,0.70))),0)</x:f>
        <x:v>8</x:v>
      </x:c>
      <x:c r="X789" t="n">
        <x:v>21</x:v>
      </x:c>
      <x:c r="Y789" t="str">
        <x:v>WATCH</x:v>
      </x:c>
      <x:c r="Z789" s="12" t="str">
        <x:v>Family + verified grassroots + straight-line geo only; transport not yet routed</x:v>
      </x:c>
      <x:c r="AA789" s="12"/>
      <x:c r="AB789" s="12"/>
      <x:c r="AC789" s="12"/>
      <x:c r="AD789" s="12"/>
      <x:c r="AE789" t="str">
        <x:v>Arsenal Women</x:v>
      </x:c>
      <x:c r="AF789" s="45" t="n">
        <x:v>6.712015453296772</x:v>
      </x:c>
      <x:c r="AG789" t="str">
        <x:v>Millwall Lionesses</x:v>
      </x:c>
      <x:c r="AH789" s="45" t="n">
        <x:v>3.1952288480886293</x:v>
      </x:c>
      <x:c r="AI789" t="n">
        <x:v>74</x:v>
      </x:c>
      <x:c r="AJ789" t="str">
        <x:v>MEDIUM</x:v>
      </x:c>
    </x:row>
    <x:row r="790">
      <x:c r="A790" s="12" t="str">
        <x:v>E01003942</x:v>
      </x:c>
      <x:c r="B790" s="12" t="str">
        <x:v>Southwark 006D</x:v>
      </x:c>
      <x:c r="C790" s="12" t="str">
        <x:v>Southwark</x:v>
      </x:c>
      <x:c r="D790" s="44" t="n">
        <x:v>51.49622560999791</x:v>
      </x:c>
      <x:c r="E790" s="44" t="n">
        <x:v>-0.08951817017791845</x:v>
      </x:c>
      <x:c r="F790" s="33" t="n">
        <x:v>637</x:v>
      </x:c>
      <x:c r="G790" s="33" t="n">
        <x:v>208</x:v>
      </x:c>
      <x:c r="H790" s="26" t="n">
        <x:v>0.32653061224489793</x:v>
      </x:c>
      <x:c r="I790" s="12" t="n">
        <x:v>1</x:v>
      </x:c>
      <x:c r="J790" s="12" t="n">
        <x:v>36</x:v>
      </x:c>
      <x:c r="K790" s="12"/>
      <x:c r="L790" s="12"/>
      <x:c r="M790" s="12" t="str">
        <x:f>IF(K790="", "", MAX(0,IF(K790&lt;=20,100,IF(K790&lt;=30,85,IF(K790&lt;=40,70,IF(K790&lt;=50,55,IF(K790&lt;=60,40,20)))))-MIN(L790*5,20)))</x:f>
      </x:c>
      <x:c r="N790" s="12"/>
      <x:c r="O790" s="12"/>
      <x:c r="P790" s="12" t="str">
        <x:f>IF(OR(H790="",J790="",M790=""),"",ROUND(PERCENTRANK.INC($H$2:$H$941,H790)*35+J790*0.35+M790*0.30,0))</x:f>
      </x:c>
      <x:c r="Q790" s="12" t="str">
        <x:f>IF(P790="","",IF(P790&gt;=80,"ATTACK",IF(P790&gt;=65,"GROW",IF(P790&gt;=50,"PARTNER","WATCH"))))</x:f>
      </x:c>
      <x:c r="R790" s="12" t="str">
        <x:f>IF(Q790="","",IF(Q790="ATTACK","Grassroots + family acquisition",IF(Q790="GROW","Test local campaign",IF(Q790="PARTNER","Organisation-first partnership","Low priority / validate"))))</x:f>
      </x:c>
      <x:c r="S790" s="45" t="n">
        <x:v>13.862654645357514</x:v>
      </x:c>
      <x:c r="T790" t="str">
        <x:v>EXTENDED</x:v>
      </x:c>
      <x:c r="U790" s="32" t="n">
        <x:f>PERCENTRANK.INC($G$2:$G$941,G790)</x:f>
        <x:v>0.448</x:v>
      </x:c>
      <x:c r="V790" s="32" t="n">
        <x:f>PERCENTRANK.INC($H$2:$H$941,H790)</x:f>
        <x:v>0.548</x:v>
      </x:c>
      <x:c r="W790" t="n">
        <x:f>ROUND((U790*55+V790*45)*IF(S790&lt;=5,1,IF(S790&lt;=10,0.95,IF(S790&lt;=20,0.85,0.70))),0)</x:f>
        <x:v>42</x:v>
      </x:c>
      <x:c r="X790" t="n">
        <x:v>40</x:v>
      </x:c>
      <x:c r="Y790" t="str">
        <x:v>WATCH</x:v>
      </x:c>
      <x:c r="Z790" s="12" t="str">
        <x:v>Family + verified grassroots + straight-line geo only; transport not yet routed</x:v>
      </x:c>
      <x:c r="AA790" s="12"/>
      <x:c r="AB790" s="12"/>
      <x:c r="AC790" s="12"/>
      <x:c r="AD790" s="12"/>
      <x:c r="AE790" t="str">
        <x:v>Arsenal Women</x:v>
      </x:c>
      <x:c r="AF790" s="45" t="n">
        <x:v>6.6701432136582435</x:v>
      </x:c>
      <x:c r="AG790" t="str">
        <x:v>Millwall Lionesses</x:v>
      </x:c>
      <x:c r="AH790" s="45" t="n">
        <x:v>3.5867044771035306</x:v>
      </x:c>
      <x:c r="AI790" t="n">
        <x:v>74</x:v>
      </x:c>
      <x:c r="AJ790" t="str">
        <x:v>MEDIUM</x:v>
      </x:c>
    </x:row>
    <x:row r="791">
      <x:c r="A791" s="12" t="str">
        <x:v>E01003979</x:v>
      </x:c>
      <x:c r="B791" s="12" t="str">
        <x:v>Southwark 006E</x:v>
      </x:c>
      <x:c r="C791" s="12" t="str">
        <x:v>Southwark</x:v>
      </x:c>
      <x:c r="D791" s="44" t="n">
        <x:v>51.49460463877049</x:v>
      </x:c>
      <x:c r="E791" s="44" t="n">
        <x:v>-0.08218245871791804</x:v>
      </x:c>
      <x:c r="F791" s="33" t="n">
        <x:v>885</x:v>
      </x:c>
      <x:c r="G791" s="33" t="n">
        <x:v>167</x:v>
      </x:c>
      <x:c r="H791" s="26" t="n">
        <x:v>0.18870056497175142</x:v>
      </x:c>
      <x:c r="I791" s="12" t="n">
        <x:v>1</x:v>
      </x:c>
      <x:c r="J791" s="12" t="n">
        <x:v>36</x:v>
      </x:c>
      <x:c r="K791" s="12"/>
      <x:c r="L791" s="12"/>
      <x:c r="M791" s="12" t="str">
        <x:f>IF(K791="", "", MAX(0,IF(K791&lt;=20,100,IF(K791&lt;=30,85,IF(K791&lt;=40,70,IF(K791&lt;=50,55,IF(K791&lt;=60,40,20)))))-MIN(L791*5,20)))</x:f>
      </x:c>
      <x:c r="N791" s="12"/>
      <x:c r="O791" s="12"/>
      <x:c r="P791" s="12" t="str">
        <x:f>IF(OR(H791="",J791="",M791=""),"",ROUND(PERCENTRANK.INC($H$2:$H$941,H791)*35+J791*0.35+M791*0.30,0))</x:f>
      </x:c>
      <x:c r="Q791" s="12" t="str">
        <x:f>IF(P791="","",IF(P791&gt;=80,"ATTACK",IF(P791&gt;=65,"GROW",IF(P791&gt;=50,"PARTNER","WATCH"))))</x:f>
      </x:c>
      <x:c r="R791" s="12" t="str">
        <x:f>IF(Q791="","",IF(Q791="ATTACK","Grassroots + family acquisition",IF(Q791="GROW","Test local campaign",IF(Q791="PARTNER","Organisation-first partnership","Low priority / validate"))))</x:f>
      </x:c>
      <x:c r="S791" s="45" t="n">
        <x:v>13.442125803303247</x:v>
      </x:c>
      <x:c r="T791" t="str">
        <x:v>EXTENDED</x:v>
      </x:c>
      <x:c r="U791" s="32" t="n">
        <x:f>PERCENTRANK.INC($G$2:$G$941,G791)</x:f>
        <x:v>0.156</x:v>
      </x:c>
      <x:c r="V791" s="32" t="n">
        <x:f>PERCENTRANK.INC($H$2:$H$941,H791)</x:f>
        <x:v>0.05</x:v>
      </x:c>
      <x:c r="W791" t="n">
        <x:f>ROUND((U791*55+V791*45)*IF(S791&lt;=5,1,IF(S791&lt;=10,0.95,IF(S791&lt;=20,0.85,0.70))),0)</x:f>
        <x:v>9</x:v>
      </x:c>
      <x:c r="X791" t="n">
        <x:v>21</x:v>
      </x:c>
      <x:c r="Y791" t="str">
        <x:v>WATCH</x:v>
      </x:c>
      <x:c r="Z791" s="12" t="str">
        <x:v>Family + verified grassroots + straight-line geo only; transport not yet routed</x:v>
      </x:c>
      <x:c r="AA791" s="12"/>
      <x:c r="AB791" s="12"/>
      <x:c r="AC791" s="12"/>
      <x:c r="AD791" s="12"/>
      <x:c r="AE791" t="str">
        <x:v>Arsenal Women</x:v>
      </x:c>
      <x:c r="AF791" s="45" t="n">
        <x:v>6.961664569610833</x:v>
      </x:c>
      <x:c r="AG791" t="str">
        <x:v>Millwall Lionesses</x:v>
      </x:c>
      <x:c r="AH791" s="45" t="n">
        <x:v>3.176146037900525</x:v>
      </x:c>
      <x:c r="AI791" t="n">
        <x:v>74</x:v>
      </x:c>
      <x:c r="AJ791" t="str">
        <x:v>MEDIUM</x:v>
      </x:c>
    </x:row>
    <x:row r="792">
      <x:c r="A792" s="12" t="str">
        <x:v>E01003981</x:v>
      </x:c>
      <x:c r="B792" s="12" t="str">
        <x:v>Southwark 006F</x:v>
      </x:c>
      <x:c r="C792" s="12" t="str">
        <x:v>Southwark</x:v>
      </x:c>
      <x:c r="D792" s="44" t="n">
        <x:v>51.501400725704485</x:v>
      </x:c>
      <x:c r="E792" s="44" t="n">
        <x:v>-0.0862953232874814</x:v>
      </x:c>
      <x:c r="F792" s="33" t="n">
        <x:v>658</x:v>
      </x:c>
      <x:c r="G792" s="33" t="n">
        <x:v>112</x:v>
      </x:c>
      <x:c r="H792" s="26" t="n">
        <x:v>0.1702127659574468</x:v>
      </x:c>
      <x:c r="I792" s="12" t="n">
        <x:v>1</x:v>
      </x:c>
      <x:c r="J792" s="12" t="n">
        <x:v>36</x:v>
      </x:c>
      <x:c r="K792" s="12"/>
      <x:c r="L792" s="12"/>
      <x:c r="M792" s="12" t="str">
        <x:f>IF(K792="", "", MAX(0,IF(K792&lt;=20,100,IF(K792&lt;=30,85,IF(K792&lt;=40,70,IF(K792&lt;=50,55,IF(K792&lt;=60,40,20)))))-MIN(L792*5,20)))</x:f>
      </x:c>
      <x:c r="N792" s="12"/>
      <x:c r="O792" s="12"/>
      <x:c r="P792" s="12" t="str">
        <x:f>IF(OR(H792="",J792="",M792=""),"",ROUND(PERCENTRANK.INC($H$2:$H$941,H792)*35+J792*0.35+M792*0.30,0))</x:f>
      </x:c>
      <x:c r="Q792" s="12" t="str">
        <x:f>IF(P792="","",IF(P792&gt;=80,"ATTACK",IF(P792&gt;=65,"GROW",IF(P792&gt;=50,"PARTNER","WATCH"))))</x:f>
      </x:c>
      <x:c r="R792" s="12" t="str">
        <x:f>IF(Q792="","",IF(Q792="ATTACK","Grassroots + family acquisition",IF(Q792="GROW","Test local campaign",IF(Q792="PARTNER","Organisation-first partnership","Low priority / validate"))))</x:f>
      </x:c>
      <x:c r="S792" s="45" t="n">
        <x:v>14.237156541530753</x:v>
      </x:c>
      <x:c r="T792" t="str">
        <x:v>EXTENDED</x:v>
      </x:c>
      <x:c r="U792" s="32" t="n">
        <x:f>PERCENTRANK.INC($G$2:$G$941,G792)</x:f>
        <x:v>0.024</x:v>
      </x:c>
      <x:c r="V792" s="32" t="n">
        <x:f>PERCENTRANK.INC($H$2:$H$941,H792)</x:f>
        <x:v>0.031</x:v>
      </x:c>
      <x:c r="W792" t="n">
        <x:f>ROUND((U792*55+V792*45)*IF(S792&lt;=5,1,IF(S792&lt;=10,0.95,IF(S792&lt;=20,0.85,0.70))),0)</x:f>
        <x:v>2</x:v>
      </x:c>
      <x:c r="X792" t="n">
        <x:v>18</x:v>
      </x:c>
      <x:c r="Y792" t="str">
        <x:v>WATCH</x:v>
      </x:c>
      <x:c r="Z792" s="12" t="str">
        <x:v>Family + verified grassroots + straight-line geo only; transport not yet routed</x:v>
      </x:c>
      <x:c r="AA792" s="12"/>
      <x:c r="AB792" s="12"/>
      <x:c r="AC792" s="12"/>
      <x:c r="AD792" s="12"/>
      <x:c r="AE792" t="str">
        <x:v>Arsenal Women</x:v>
      </x:c>
      <x:c r="AF792" s="45" t="n">
        <x:v>6.158401749663841</x:v>
      </x:c>
      <x:c r="AG792" t="str">
        <x:v>Millwall Lionesses</x:v>
      </x:c>
      <x:c r="AH792" s="45" t="n">
        <x:v>3.2327062621925</x:v>
      </x:c>
      <x:c r="AI792" t="n">
        <x:v>74</x:v>
      </x:c>
      <x:c r="AJ792" t="str">
        <x:v>MEDIUM</x:v>
      </x:c>
    </x:row>
    <x:row r="793">
      <x:c r="A793" s="12" t="str">
        <x:v>E01004030</x:v>
      </x:c>
      <x:c r="B793" s="12" t="str">
        <x:v>Southwark 007A</x:v>
      </x:c>
      <x:c r="C793" s="12" t="str">
        <x:v>Southwark</x:v>
      </x:c>
      <x:c r="D793" s="44" t="n">
        <x:v>51.50121880360514</x:v>
      </x:c>
      <x:c r="E793" s="44" t="n">
        <x:v>-0.05315381068728361</x:v>
      </x:c>
      <x:c r="F793" s="33" t="n">
        <x:v>743</x:v>
      </x:c>
      <x:c r="G793" s="33" t="n">
        <x:v>132</x:v>
      </x:c>
      <x:c r="H793" s="26" t="n">
        <x:v>0.17765814266487215</x:v>
      </x:c>
      <x:c r="I793" s="12" t="n">
        <x:v>1</x:v>
      </x:c>
      <x:c r="J793" s="12" t="n">
        <x:v>29</x:v>
      </x:c>
      <x:c r="K793" s="12"/>
      <x:c r="L793" s="12"/>
      <x:c r="M793" s="12" t="str">
        <x:f>IF(K793="", "", MAX(0,IF(K793&lt;=20,100,IF(K793&lt;=30,85,IF(K793&lt;=40,70,IF(K793&lt;=50,55,IF(K793&lt;=60,40,20)))))-MIN(L793*5,20)))</x:f>
      </x:c>
      <x:c r="N793" s="12"/>
      <x:c r="O793" s="12"/>
      <x:c r="P793" s="12" t="str">
        <x:f>IF(OR(H793="",J793="",M793=""),"",ROUND(PERCENTRANK.INC($H$2:$H$941,H793)*35+J793*0.35+M793*0.30,0))</x:f>
      </x:c>
      <x:c r="Q793" s="12" t="str">
        <x:f>IF(P793="","",IF(P793&gt;=80,"ATTACK",IF(P793&gt;=65,"GROW",IF(P793&gt;=50,"PARTNER","WATCH"))))</x:f>
      </x:c>
      <x:c r="R793" s="12" t="str">
        <x:f>IF(Q793="","",IF(Q793="ATTACK","Grassroots + family acquisition",IF(Q793="GROW","Test local campaign",IF(Q793="PARTNER","Organisation-first partnership","Low priority / validate"))))</x:f>
      </x:c>
      <x:c r="S793" s="45" t="n">
        <x:v>13.204777895158765</x:v>
      </x:c>
      <x:c r="T793" t="str">
        <x:v>EXTENDED</x:v>
      </x:c>
      <x:c r="U793" s="32" t="n">
        <x:f>PERCENTRANK.INC($G$2:$G$941,G793)</x:f>
        <x:v>0.054</x:v>
      </x:c>
      <x:c r="V793" s="32" t="n">
        <x:f>PERCENTRANK.INC($H$2:$H$941,H793)</x:f>
        <x:v>0.037</x:v>
      </x:c>
      <x:c r="W793" t="n">
        <x:f>ROUND((U793*55+V793*45)*IF(S793&lt;=5,1,IF(S793&lt;=10,0.95,IF(S793&lt;=20,0.85,0.70))),0)</x:f>
        <x:v>4</x:v>
      </x:c>
      <x:c r="X793" t="n">
        <x:v>15</x:v>
      </x:c>
      <x:c r="Y793" t="str">
        <x:v>WATCH</x:v>
      </x:c>
      <x:c r="Z793" s="12" t="str">
        <x:v>Family + verified grassroots + straight-line geo only; transport not yet routed</x:v>
      </x:c>
      <x:c r="AA793" s="12"/>
      <x:c r="AB793" s="12"/>
      <x:c r="AC793" s="12"/>
      <x:c r="AD793" s="12"/>
      <x:c r="AE793" t="str">
        <x:v>Charlton Athletic Women</x:v>
      </x:c>
      <x:c r="AF793" s="45" t="n">
        <x:v>6.39831783766493</x:v>
      </x:c>
      <x:c r="AG793" t="str">
        <x:v>Millwall Lionesses</x:v>
      </x:c>
      <x:c r="AH793" s="45" t="n">
        <x:v>1.0503748848794872</x:v>
      </x:c>
      <x:c r="AI793" t="n">
        <x:v>78</x:v>
      </x:c>
      <x:c r="AJ793" t="str">
        <x:v>HIGH</x:v>
      </x:c>
    </x:row>
    <x:row r="794">
      <x:c r="A794" s="12" t="str">
        <x:v>E01004031</x:v>
      </x:c>
      <x:c r="B794" s="12" t="str">
        <x:v>Southwark 007B</x:v>
      </x:c>
      <x:c r="C794" s="12" t="str">
        <x:v>Southwark</x:v>
      </x:c>
      <x:c r="D794" s="44" t="n">
        <x:v>51.49682017734805</x:v>
      </x:c>
      <x:c r="E794" s="44" t="n">
        <x:v>-0.05079221782677378</x:v>
      </x:c>
      <x:c r="F794" s="33" t="n">
        <x:v>1082</x:v>
      </x:c>
      <x:c r="G794" s="33" t="n">
        <x:v>198</x:v>
      </x:c>
      <x:c r="H794" s="26" t="n">
        <x:v>0.18299445471349354</x:v>
      </x:c>
      <x:c r="I794" s="12" t="n">
        <x:v>1</x:v>
      </x:c>
      <x:c r="J794" s="12" t="n">
        <x:v>29</x:v>
      </x:c>
      <x:c r="K794" s="12"/>
      <x:c r="L794" s="12"/>
      <x:c r="M794" s="12" t="str">
        <x:f>IF(K794="", "", MAX(0,IF(K794&lt;=20,100,IF(K794&lt;=30,85,IF(K794&lt;=40,70,IF(K794&lt;=50,55,IF(K794&lt;=60,40,20)))))-MIN(L794*5,20)))</x:f>
      </x:c>
      <x:c r="N794" s="12"/>
      <x:c r="O794" s="12"/>
      <x:c r="P794" s="12" t="str">
        <x:f>IF(OR(H794="",J794="",M794=""),"",ROUND(PERCENTRANK.INC($H$2:$H$941,H794)*35+J794*0.35+M794*0.30,0))</x:f>
      </x:c>
      <x:c r="Q794" s="12" t="str">
        <x:f>IF(P794="","",IF(P794&gt;=80,"ATTACK",IF(P794&gt;=65,"GROW",IF(P794&gt;=50,"PARTNER","WATCH"))))</x:f>
      </x:c>
      <x:c r="R794" s="12" t="str">
        <x:f>IF(Q794="","",IF(Q794="ATTACK","Grassroots + family acquisition",IF(Q794="GROW","Test local campaign",IF(Q794="PARTNER","Organisation-first partnership","Low priority / validate"))))</x:f>
      </x:c>
      <x:c r="S794" s="45" t="n">
        <x:v>12.690009368833826</x:v>
      </x:c>
      <x:c r="T794" t="str">
        <x:v>EXTENDED</x:v>
      </x:c>
      <x:c r="U794" s="32" t="n">
        <x:f>PERCENTRANK.INC($G$2:$G$941,G794)</x:f>
        <x:v>0.365</x:v>
      </x:c>
      <x:c r="V794" s="32" t="n">
        <x:f>PERCENTRANK.INC($H$2:$H$941,H794)</x:f>
        <x:v>0.042</x:v>
      </x:c>
      <x:c r="W794" t="n">
        <x:f>ROUND((U794*55+V794*45)*IF(S794&lt;=5,1,IF(S794&lt;=10,0.95,IF(S794&lt;=20,0.85,0.70))),0)</x:f>
        <x:v>19</x:v>
      </x:c>
      <x:c r="X794" t="n">
        <x:v>24</x:v>
      </x:c>
      <x:c r="Y794" t="str">
        <x:v>WATCH</x:v>
      </x:c>
      <x:c r="Z794" s="12" t="str">
        <x:v>Family + verified grassroots + straight-line geo only; transport not yet routed</x:v>
      </x:c>
      <x:c r="AA794" s="12"/>
      <x:c r="AB794" s="12"/>
      <x:c r="AC794" s="12"/>
      <x:c r="AD794" s="12"/>
      <x:c r="AE794" t="str">
        <x:v>Charlton Athletic Women</x:v>
      </x:c>
      <x:c r="AF794" s="45" t="n">
        <x:v>6.129800692714239</x:v>
      </x:c>
      <x:c r="AG794" t="str">
        <x:v>Millwall Lionesses</x:v>
      </x:c>
      <x:c r="AH794" s="45" t="n">
        <x:v>1.270467699881826</x:v>
      </x:c>
      <x:c r="AI794" t="n">
        <x:v>78</x:v>
      </x:c>
      <x:c r="AJ794" t="str">
        <x:v>HIGH</x:v>
      </x:c>
    </x:row>
    <x:row r="795">
      <x:c r="A795" s="12" t="str">
        <x:v>E01004033</x:v>
      </x:c>
      <x:c r="B795" s="12" t="str">
        <x:v>Southwark 007C</x:v>
      </x:c>
      <x:c r="C795" s="12" t="str">
        <x:v>Southwark</x:v>
      </x:c>
      <x:c r="D795" s="44" t="n">
        <x:v>51.4990785012872</x:v>
      </x:c>
      <x:c r="E795" s="44" t="n">
        <x:v>-0.05033513633764917</x:v>
      </x:c>
      <x:c r="F795" s="33" t="n">
        <x:v>1141</x:v>
      </x:c>
      <x:c r="G795" s="33" t="n">
        <x:v>233</x:v>
      </x:c>
      <x:c r="H795" s="26" t="n">
        <x:v>0.2042068361086766</x:v>
      </x:c>
      <x:c r="I795" s="12" t="n">
        <x:v>1</x:v>
      </x:c>
      <x:c r="J795" s="12" t="n">
        <x:v>29</x:v>
      </x:c>
      <x:c r="K795" s="12"/>
      <x:c r="L795" s="12"/>
      <x:c r="M795" s="12" t="str">
        <x:f>IF(K795="", "", MAX(0,IF(K795&lt;=20,100,IF(K795&lt;=30,85,IF(K795&lt;=40,70,IF(K795&lt;=50,55,IF(K795&lt;=60,40,20)))))-MIN(L795*5,20)))</x:f>
      </x:c>
      <x:c r="N795" s="12"/>
      <x:c r="O795" s="12"/>
      <x:c r="P795" s="12" t="str">
        <x:f>IF(OR(H795="",J795="",M795=""),"",ROUND(PERCENTRANK.INC($H$2:$H$941,H795)*35+J795*0.35+M795*0.30,0))</x:f>
      </x:c>
      <x:c r="Q795" s="12" t="str">
        <x:f>IF(P795="","",IF(P795&gt;=80,"ATTACK",IF(P795&gt;=65,"GROW",IF(P795&gt;=50,"PARTNER","WATCH"))))</x:f>
      </x:c>
      <x:c r="R795" s="12" t="str">
        <x:f>IF(Q795="","",IF(Q795="ATTACK","Grassroots + family acquisition",IF(Q795="GROW","Test local campaign",IF(Q795="PARTNER","Organisation-first partnership","Low priority / validate"))))</x:f>
      </x:c>
      <x:c r="S795" s="45" t="n">
        <x:v>12.911582785587083</x:v>
      </x:c>
      <x:c r="T795" t="str">
        <x:v>EXTENDED</x:v>
      </x:c>
      <x:c r="U795" s="32" t="n">
        <x:f>PERCENTRANK.INC($G$2:$G$941,G795)</x:f>
        <x:v>0.654</x:v>
      </x:c>
      <x:c r="V795" s="32" t="n">
        <x:f>PERCENTRANK.INC($H$2:$H$941,H795)</x:f>
        <x:v>0.073</x:v>
      </x:c>
      <x:c r="W795" t="n">
        <x:f>ROUND((U795*55+V795*45)*IF(S795&lt;=5,1,IF(S795&lt;=10,0.95,IF(S795&lt;=20,0.85,0.70))),0)</x:f>
        <x:v>33</x:v>
      </x:c>
      <x:c r="X795" t="n">
        <x:v>31</x:v>
      </x:c>
      <x:c r="Y795" t="str">
        <x:v>WATCH</x:v>
      </x:c>
      <x:c r="Z795" s="12" t="str">
        <x:v>Family + verified grassroots + straight-line geo only; transport not yet routed</x:v>
      </x:c>
      <x:c r="AA795" s="12"/>
      <x:c r="AB795" s="12"/>
      <x:c r="AC795" s="12"/>
      <x:c r="AD795" s="12"/>
      <x:c r="AE795" t="str">
        <x:v>Charlton Athletic Women</x:v>
      </x:c>
      <x:c r="AF795" s="45" t="n">
        <x:v>6.15123522042619</x:v>
      </x:c>
      <x:c r="AG795" t="str">
        <x:v>Millwall Lionesses</x:v>
      </x:c>
      <x:c r="AH795" s="45" t="n">
        <x:v>1.0536754138721642</x:v>
      </x:c>
      <x:c r="AI795" t="n">
        <x:v>78</x:v>
      </x:c>
      <x:c r="AJ795" t="str">
        <x:v>HIGH</x:v>
      </x:c>
    </x:row>
    <x:row r="796">
      <x:c r="A796" s="12" t="str">
        <x:v>E01004034</x:v>
      </x:c>
      <x:c r="B796" s="12" t="str">
        <x:v>Southwark 007D</x:v>
      </x:c>
      <x:c r="C796" s="12" t="str">
        <x:v>Southwark</x:v>
      </x:c>
      <x:c r="D796" s="44" t="n">
        <x:v>51.49820379563194</x:v>
      </x:c>
      <x:c r="E796" s="44" t="n">
        <x:v>-0.059699526769787535</x:v>
      </x:c>
      <x:c r="F796" s="33" t="n">
        <x:v>653</x:v>
      </x:c>
      <x:c r="G796" s="33" t="n">
        <x:v>192</x:v>
      </x:c>
      <x:c r="H796" s="26" t="n">
        <x:v>0.29402756508422667</x:v>
      </x:c>
      <x:c r="I796" s="12" t="n">
        <x:v>1</x:v>
      </x:c>
      <x:c r="J796" s="12" t="n">
        <x:v>36</x:v>
      </x:c>
      <x:c r="K796" s="12"/>
      <x:c r="L796" s="12"/>
      <x:c r="M796" s="12" t="str">
        <x:f>IF(K796="", "", MAX(0,IF(K796&lt;=20,100,IF(K796&lt;=30,85,IF(K796&lt;=40,70,IF(K796&lt;=50,55,IF(K796&lt;=60,40,20)))))-MIN(L796*5,20)))</x:f>
      </x:c>
      <x:c r="N796" s="12"/>
      <x:c r="O796" s="12"/>
      <x:c r="P796" s="12" t="str">
        <x:f>IF(OR(H796="",J796="",M796=""),"",ROUND(PERCENTRANK.INC($H$2:$H$941,H796)*35+J796*0.35+M796*0.30,0))</x:f>
      </x:c>
      <x:c r="Q796" s="12" t="str">
        <x:f>IF(P796="","",IF(P796&gt;=80,"ATTACK",IF(P796&gt;=65,"GROW",IF(P796&gt;=50,"PARTNER","WATCH"))))</x:f>
      </x:c>
      <x:c r="R796" s="12" t="str">
        <x:f>IF(Q796="","",IF(Q796="ATTACK","Grassroots + family acquisition",IF(Q796="GROW","Test local campaign",IF(Q796="PARTNER","Organisation-first partnership","Low priority / validate"))))</x:f>
      </x:c>
      <x:c r="S796" s="45" t="n">
        <x:v>13.073754388728304</x:v>
      </x:c>
      <x:c r="T796" t="str">
        <x:v>EXTENDED</x:v>
      </x:c>
      <x:c r="U796" s="32" t="n">
        <x:f>PERCENTRANK.INC($G$2:$G$941,G796)</x:f>
        <x:v>0.325</x:v>
      </x:c>
      <x:c r="V796" s="32" t="n">
        <x:f>PERCENTRANK.INC($H$2:$H$941,H796)</x:f>
        <x:v>0.364</x:v>
      </x:c>
      <x:c r="W796" t="n">
        <x:f>ROUND((U796*55+V796*45)*IF(S796&lt;=5,1,IF(S796&lt;=10,0.95,IF(S796&lt;=20,0.85,0.70))),0)</x:f>
        <x:v>29</x:v>
      </x:c>
      <x:c r="X796" t="n">
        <x:v>32</x:v>
      </x:c>
      <x:c r="Y796" t="str">
        <x:v>WATCH</x:v>
      </x:c>
      <x:c r="Z796" s="12" t="str">
        <x:v>Family + verified grassroots + straight-line geo only; transport not yet routed</x:v>
      </x:c>
      <x:c r="AA796" s="12"/>
      <x:c r="AB796" s="12"/>
      <x:c r="AC796" s="12"/>
      <x:c r="AD796" s="12"/>
      <x:c r="AE796" t="str">
        <x:v>Charlton Athletic Women</x:v>
      </x:c>
      <x:c r="AF796" s="45" t="n">
        <x:v>6.764436588002394</x:v>
      </x:c>
      <x:c r="AG796" t="str">
        <x:v>Millwall Lionesses</x:v>
      </x:c>
      <x:c r="AH796" s="45" t="n">
        <x:v>1.61265082150661</x:v>
      </x:c>
      <x:c r="AI796" t="n">
        <x:v>78</x:v>
      </x:c>
      <x:c r="AJ796" t="str">
        <x:v>HIGH</x:v>
      </x:c>
    </x:row>
    <x:row r="797">
      <x:c r="A797" s="12" t="str">
        <x:v>E01004036</x:v>
      </x:c>
      <x:c r="B797" s="12" t="str">
        <x:v>Southwark 007E</x:v>
      </x:c>
      <x:c r="C797" s="12" t="str">
        <x:v>Southwark</x:v>
      </x:c>
      <x:c r="D797" s="44" t="n">
        <x:v>51.491376657873516</x:v>
      </x:c>
      <x:c r="E797" s="44" t="n">
        <x:v>-0.04741614538846425</x:v>
      </x:c>
      <x:c r="F797" s="33" t="n">
        <x:v>860</x:v>
      </x:c>
      <x:c r="G797" s="33" t="n">
        <x:v>274</x:v>
      </x:c>
      <x:c r="H797" s="26" t="n">
        <x:v>0.3186046511627907</x:v>
      </x:c>
      <x:c r="I797" s="12" t="n">
        <x:v>2</x:v>
      </x:c>
      <x:c r="J797" s="12" t="n">
        <x:v>36</x:v>
      </x:c>
      <x:c r="K797" s="12"/>
      <x:c r="L797" s="12"/>
      <x:c r="M797" s="12" t="str">
        <x:f>IF(K797="", "", MAX(0,IF(K797&lt;=20,100,IF(K797&lt;=30,85,IF(K797&lt;=40,70,IF(K797&lt;=50,55,IF(K797&lt;=60,40,20)))))-MIN(L797*5,20)))</x:f>
      </x:c>
      <x:c r="N797" s="12"/>
      <x:c r="O797" s="12"/>
      <x:c r="P797" s="12" t="str">
        <x:f>IF(OR(H797="",J797="",M797=""),"",ROUND(PERCENTRANK.INC($H$2:$H$941,H797)*35+J797*0.35+M797*0.30,0))</x:f>
      </x:c>
      <x:c r="Q797" s="12" t="str">
        <x:f>IF(P797="","",IF(P797&gt;=80,"ATTACK",IF(P797&gt;=65,"GROW",IF(P797&gt;=50,"PARTNER","WATCH"))))</x:f>
      </x:c>
      <x:c r="R797" s="12" t="str">
        <x:f>IF(Q797="","",IF(Q797="ATTACK","Grassroots + family acquisition",IF(Q797="GROW","Test local campaign",IF(Q797="PARTNER","Organisation-first partnership","Low priority / validate"))))</x:f>
      </x:c>
      <x:c r="S797" s="45" t="n">
        <x:v>12.041240691247436</x:v>
      </x:c>
      <x:c r="T797" t="str">
        <x:v>EXTENDED</x:v>
      </x:c>
      <x:c r="U797" s="32" t="n">
        <x:f>PERCENTRANK.INC($G$2:$G$941,G797)</x:f>
        <x:v>0.879</x:v>
      </x:c>
      <x:c r="V797" s="32" t="n">
        <x:f>PERCENTRANK.INC($H$2:$H$941,H797)</x:f>
        <x:v>0.504</x:v>
      </x:c>
      <x:c r="W797" t="n">
        <x:f>ROUND((U797*55+V797*45)*IF(S797&lt;=5,1,IF(S797&lt;=10,0.95,IF(S797&lt;=20,0.85,0.70))),0)</x:f>
        <x:v>60</x:v>
      </x:c>
      <x:c r="X797" t="n">
        <x:v>49</x:v>
      </x:c>
      <x:c r="Y797" t="str">
        <x:v>WATCH</x:v>
      </x:c>
      <x:c r="Z797" s="12" t="str">
        <x:v>Family + verified grassroots + straight-line geo only; transport not yet routed</x:v>
      </x:c>
      <x:c r="AA797" s="12"/>
      <x:c r="AB797" s="12"/>
      <x:c r="AC797" s="12"/>
      <x:c r="AD797" s="12"/>
      <x:c r="AE797" t="str">
        <x:v>Charlton Athletic Women</x:v>
      </x:c>
      <x:c r="AF797" s="45" t="n">
        <x:v>5.812308820829636</x:v>
      </x:c>
      <x:c r="AG797" t="str">
        <x:v>Millwall Lionesses</x:v>
      </x:c>
      <x:c r="AH797" s="45" t="n">
        <x:v>1.7176528771258126</x:v>
      </x:c>
      <x:c r="AI797" t="n">
        <x:v>89</x:v>
      </x:c>
      <x:c r="AJ797" t="str">
        <x:v>HIGH</x:v>
      </x:c>
    </x:row>
    <x:row r="798">
      <x:c r="A798" s="12" t="str">
        <x:v>E01004056</x:v>
      </x:c>
      <x:c r="B798" s="12" t="str">
        <x:v>Southwark 008A</x:v>
      </x:c>
      <x:c r="C798" s="12" t="str">
        <x:v>Southwark</x:v>
      </x:c>
      <x:c r="D798" s="44" t="n">
        <x:v>51.501275483932304</x:v>
      </x:c>
      <x:c r="E798" s="44" t="n">
        <x:v>-0.03376316124206983</x:v>
      </x:c>
      <x:c r="F798" s="33" t="n">
        <x:v>1023</x:v>
      </x:c>
      <x:c r="G798" s="33" t="n">
        <x:v>224</x:v>
      </x:c>
      <x:c r="H798" s="26" t="n">
        <x:v>0.21896383186705767</x:v>
      </x:c>
      <x:c r="I798" s="12" t="n">
        <x:v>1</x:v>
      </x:c>
      <x:c r="J798" s="12" t="n">
        <x:v>29</x:v>
      </x:c>
      <x:c r="K798" s="12"/>
      <x:c r="L798" s="12"/>
      <x:c r="M798" s="12" t="str">
        <x:f>IF(K798="", "", MAX(0,IF(K798&lt;=20,100,IF(K798&lt;=30,85,IF(K798&lt;=40,70,IF(K798&lt;=50,55,IF(K798&lt;=60,40,20)))))-MIN(L798*5,20)))</x:f>
      </x:c>
      <x:c r="N798" s="12"/>
      <x:c r="O798" s="12"/>
      <x:c r="P798" s="12" t="str">
        <x:f>IF(OR(H798="",J798="",M798=""),"",ROUND(PERCENTRANK.INC($H$2:$H$941,H798)*35+J798*0.35+M798*0.30,0))</x:f>
      </x:c>
      <x:c r="Q798" s="12" t="str">
        <x:f>IF(P798="","",IF(P798&gt;=80,"ATTACK",IF(P798&gt;=65,"GROW",IF(P798&gt;=50,"PARTNER","WATCH"))))</x:f>
      </x:c>
      <x:c r="R798" s="12" t="str">
        <x:f>IF(Q798="","",IF(Q798="ATTACK","Grassroots + family acquisition",IF(Q798="GROW","Test local campaign",IF(Q798="PARTNER","Organisation-first partnership","Low priority / validate"))))</x:f>
      </x:c>
      <x:c r="S798" s="45" t="n">
        <x:v>12.772137262757552</x:v>
      </x:c>
      <x:c r="T798" t="str">
        <x:v>EXTENDED</x:v>
      </x:c>
      <x:c r="U798" s="32" t="n">
        <x:f>PERCENTRANK.INC($G$2:$G$941,G798)</x:f>
        <x:v>0.576</x:v>
      </x:c>
      <x:c r="V798" s="32" t="n">
        <x:f>PERCENTRANK.INC($H$2:$H$941,H798)</x:f>
        <x:v>0.101</x:v>
      </x:c>
      <x:c r="W798" t="n">
        <x:f>ROUND((U798*55+V798*45)*IF(S798&lt;=5,1,IF(S798&lt;=10,0.95,IF(S798&lt;=20,0.85,0.70))),0)</x:f>
        <x:v>31</x:v>
      </x:c>
      <x:c r="X798" t="n">
        <x:v>30</x:v>
      </x:c>
      <x:c r="Y798" t="str">
        <x:v>WATCH</x:v>
      </x:c>
      <x:c r="Z798" s="12" t="str">
        <x:v>Family + verified grassroots + straight-line geo only; transport not yet routed</x:v>
      </x:c>
      <x:c r="AA798" s="12"/>
      <x:c r="AB798" s="12"/>
      <x:c r="AC798" s="12"/>
      <x:c r="AD798" s="12"/>
      <x:c r="AE798" t="str">
        <x:v>Charlton Athletic Women</x:v>
      </x:c>
      <x:c r="AF798" s="45" t="n">
        <x:v>5.114917599646473</x:v>
      </x:c>
      <x:c r="AG798" t="str">
        <x:v>Millwall Lionesses</x:v>
      </x:c>
      <x:c r="AH798" s="45" t="n">
        <x:v>0.7033653896791443</x:v>
      </x:c>
      <x:c r="AI798" t="n">
        <x:v>89</x:v>
      </x:c>
      <x:c r="AJ798" t="str">
        <x:v>HIGH</x:v>
      </x:c>
    </x:row>
    <x:row r="799">
      <x:c r="A799" s="12" t="str">
        <x:v>E01004057</x:v>
      </x:c>
      <x:c r="B799" s="12" t="str">
        <x:v>Southwark 008B</x:v>
      </x:c>
      <x:c r="C799" s="12" t="str">
        <x:v>Southwark</x:v>
      </x:c>
      <x:c r="D799" s="44" t="n">
        <x:v>51.49876409758921</x:v>
      </x:c>
      <x:c r="E799" s="44" t="n">
        <x:v>-0.03763764903418146</x:v>
      </x:c>
      <x:c r="F799" s="33" t="n">
        <x:v>949</x:v>
      </x:c>
      <x:c r="G799" s="33" t="n">
        <x:v>275</x:v>
      </x:c>
      <x:c r="H799" s="26" t="n">
        <x:v>0.2897787144362487</x:v>
      </x:c>
      <x:c r="I799" s="12" t="n">
        <x:v>1</x:v>
      </x:c>
      <x:c r="J799" s="12" t="n">
        <x:v>29</x:v>
      </x:c>
      <x:c r="K799" s="12"/>
      <x:c r="L799" s="12"/>
      <x:c r="M799" s="12" t="str">
        <x:f>IF(K799="", "", MAX(0,IF(K799&lt;=20,100,IF(K799&lt;=30,85,IF(K799&lt;=40,70,IF(K799&lt;=50,55,IF(K799&lt;=60,40,20)))))-MIN(L799*5,20)))</x:f>
      </x:c>
      <x:c r="N799" s="12"/>
      <x:c r="O799" s="12"/>
      <x:c r="P799" s="12" t="str">
        <x:f>IF(OR(H799="",J799="",M799=""),"",ROUND(PERCENTRANK.INC($H$2:$H$941,H799)*35+J799*0.35+M799*0.30,0))</x:f>
      </x:c>
      <x:c r="Q799" s="12" t="str">
        <x:f>IF(P799="","",IF(P799&gt;=80,"ATTACK",IF(P799&gt;=65,"GROW",IF(P799&gt;=50,"PARTNER","WATCH"))))</x:f>
      </x:c>
      <x:c r="R799" s="12" t="str">
        <x:f>IF(Q799="","",IF(Q799="ATTACK","Grassroots + family acquisition",IF(Q799="GROW","Test local campaign",IF(Q799="PARTNER","Organisation-first partnership","Low priority / validate"))))</x:f>
      </x:c>
      <x:c r="S799" s="45" t="n">
        <x:v>12.583504466184365</x:v>
      </x:c>
      <x:c r="T799" t="str">
        <x:v>EXTENDED</x:v>
      </x:c>
      <x:c r="U799" s="32" t="n">
        <x:f>PERCENTRANK.INC($G$2:$G$941,G799)</x:f>
        <x:v>0.88</x:v>
      </x:c>
      <x:c r="V799" s="32" t="n">
        <x:f>PERCENTRANK.INC($H$2:$H$941,H799)</x:f>
        <x:v>0.346</x:v>
      </x:c>
      <x:c r="W799" t="n">
        <x:f>ROUND((U799*55+V799*45)*IF(S799&lt;=5,1,IF(S799&lt;=10,0.95,IF(S799&lt;=20,0.85,0.70))),0)</x:f>
        <x:v>54</x:v>
      </x:c>
      <x:c r="X799" t="n">
        <x:v>43</x:v>
      </x:c>
      <x:c r="Y799" t="str">
        <x:v>WATCH</x:v>
      </x:c>
      <x:c r="Z799" s="12" t="str">
        <x:v>Family + verified grassroots + straight-line geo only; transport not yet routed</x:v>
      </x:c>
      <x:c r="AA799" s="12"/>
      <x:c r="AB799" s="12"/>
      <x:c r="AC799" s="12"/>
      <x:c r="AD799" s="12"/>
      <x:c r="AE799" t="str">
        <x:v>Charlton Athletic Women</x:v>
      </x:c>
      <x:c r="AF799" s="45" t="n">
        <x:v>5.290221991812554</x:v>
      </x:c>
      <x:c r="AG799" t="str">
        <x:v>Millwall Lionesses</x:v>
      </x:c>
      <x:c r="AH799" s="45" t="n">
        <x:v>0.8415882074770278</x:v>
      </x:c>
      <x:c r="AI799" t="n">
        <x:v>89</x:v>
      </x:c>
      <x:c r="AJ799" t="str">
        <x:v>HIGH</x:v>
      </x:c>
    </x:row>
    <x:row r="800">
      <x:c r="A800" s="12" t="str">
        <x:v>E01004058</x:v>
      </x:c>
      <x:c r="B800" s="12" t="str">
        <x:v>Southwark 008C</x:v>
      </x:c>
      <x:c r="C800" s="12" t="str">
        <x:v>Southwark</x:v>
      </x:c>
      <x:c r="D800" s="44" t="n">
        <x:v>51.494707819898</x:v>
      </x:c>
      <x:c r="E800" s="44" t="n">
        <x:v>-0.0347136705329502</x:v>
      </x:c>
      <x:c r="F800" s="33" t="n">
        <x:v>847</x:v>
      </x:c>
      <x:c r="G800" s="33" t="n">
        <x:v>104</x:v>
      </x:c>
      <x:c r="H800" s="26" t="n">
        <x:v>0.12278630460448642</x:v>
      </x:c>
      <x:c r="I800" s="12" t="n">
        <x:v>2</x:v>
      </x:c>
      <x:c r="J800" s="12" t="n">
        <x:v>36</x:v>
      </x:c>
      <x:c r="K800" s="12"/>
      <x:c r="L800" s="12"/>
      <x:c r="M800" s="12" t="str">
        <x:f>IF(K800="", "", MAX(0,IF(K800&lt;=20,100,IF(K800&lt;=30,85,IF(K800&lt;=40,70,IF(K800&lt;=50,55,IF(K800&lt;=60,40,20)))))-MIN(L800*5,20)))</x:f>
      </x:c>
      <x:c r="N800" s="12"/>
      <x:c r="O800" s="12"/>
      <x:c r="P800" s="12" t="str">
        <x:f>IF(OR(H800="",J800="",M800=""),"",ROUND(PERCENTRANK.INC($H$2:$H$941,H800)*35+J800*0.35+M800*0.30,0))</x:f>
      </x:c>
      <x:c r="Q800" s="12" t="str">
        <x:f>IF(P800="","",IF(P800&gt;=80,"ATTACK",IF(P800&gt;=65,"GROW",IF(P800&gt;=50,"PARTNER","WATCH"))))</x:f>
      </x:c>
      <x:c r="R800" s="12" t="str">
        <x:f>IF(Q800="","",IF(Q800="ATTACK","Grassroots + family acquisition",IF(Q800="GROW","Test local campaign",IF(Q800="PARTNER","Organisation-first partnership","Low priority / validate"))))</x:f>
      </x:c>
      <x:c r="S800" s="45" t="n">
        <x:v>12.092336719595158</x:v>
      </x:c>
      <x:c r="T800" t="str">
        <x:v>EXTENDED</x:v>
      </x:c>
      <x:c r="U800" s="32" t="n">
        <x:f>PERCENTRANK.INC($G$2:$G$941,G800)</x:f>
        <x:v>0.022</x:v>
      </x:c>
      <x:c r="V800" s="32" t="n">
        <x:f>PERCENTRANK.INC($H$2:$H$941,H800)</x:f>
        <x:v>0.017</x:v>
      </x:c>
      <x:c r="W800" t="n">
        <x:f>ROUND((U800*55+V800*45)*IF(S800&lt;=5,1,IF(S800&lt;=10,0.95,IF(S800&lt;=20,0.85,0.70))),0)</x:f>
        <x:v>2</x:v>
      </x:c>
      <x:c r="X800" t="n">
        <x:v>17</x:v>
      </x:c>
      <x:c r="Y800" t="str">
        <x:v>WATCH</x:v>
      </x:c>
      <x:c r="Z800" s="12" t="str">
        <x:v>Family + verified grassroots + straight-line geo only; transport not yet routed</x:v>
      </x:c>
      <x:c r="AA800" s="12"/>
      <x:c r="AB800" s="12"/>
      <x:c r="AC800" s="12"/>
      <x:c r="AD800" s="12"/>
      <x:c r="AE800" t="str">
        <x:v>Charlton Athletic Women</x:v>
      </x:c>
      <x:c r="AF800" s="45" t="n">
        <x:v>4.992451662051371</x:v>
      </x:c>
      <x:c r="AG800" t="str">
        <x:v>Millwall Lionesses</x:v>
      </x:c>
      <x:c r="AH800" s="45" t="n">
        <x:v>1.3292432022561462</x:v>
      </x:c>
      <x:c r="AI800" t="n">
        <x:v>89</x:v>
      </x:c>
      <x:c r="AJ800" t="str">
        <x:v>HIGH</x:v>
      </x:c>
    </x:row>
    <x:row r="801">
      <x:c r="A801" s="12" t="str">
        <x:v>E01004059</x:v>
      </x:c>
      <x:c r="B801" s="12" t="str">
        <x:v>Southwark 008D</x:v>
      </x:c>
      <x:c r="C801" s="12" t="str">
        <x:v>Southwark</x:v>
      </x:c>
      <x:c r="D801" s="44" t="n">
        <x:v>51.495893346514194</x:v>
      </x:c>
      <x:c r="E801" s="44" t="n">
        <x:v>-0.04075635822513022</x:v>
      </x:c>
      <x:c r="F801" s="33" t="n">
        <x:v>897</x:v>
      </x:c>
      <x:c r="G801" s="33" t="n">
        <x:v>167</x:v>
      </x:c>
      <x:c r="H801" s="26" t="n">
        <x:v>0.18617614269788182</x:v>
      </x:c>
      <x:c r="I801" s="12" t="n">
        <x:v>1</x:v>
      </x:c>
      <x:c r="J801" s="12" t="n">
        <x:v>29</x:v>
      </x:c>
      <x:c r="K801" s="12"/>
      <x:c r="L801" s="12"/>
      <x:c r="M801" s="12" t="str">
        <x:f>IF(K801="", "", MAX(0,IF(K801&lt;=20,100,IF(K801&lt;=30,85,IF(K801&lt;=40,70,IF(K801&lt;=50,55,IF(K801&lt;=60,40,20)))))-MIN(L801*5,20)))</x:f>
      </x:c>
      <x:c r="N801" s="12"/>
      <x:c r="O801" s="12"/>
      <x:c r="P801" s="12" t="str">
        <x:f>IF(OR(H801="",J801="",M801=""),"",ROUND(PERCENTRANK.INC($H$2:$H$941,H801)*35+J801*0.35+M801*0.30,0))</x:f>
      </x:c>
      <x:c r="Q801" s="12" t="str">
        <x:f>IF(P801="","",IF(P801&gt;=80,"ATTACK",IF(P801&gt;=65,"GROW",IF(P801&gt;=50,"PARTNER","WATCH"))))</x:f>
      </x:c>
      <x:c r="R801" s="12" t="str">
        <x:f>IF(Q801="","",IF(Q801="ATTACK","Grassroots + family acquisition",IF(Q801="GROW","Test local campaign",IF(Q801="PARTNER","Organisation-first partnership","Low priority / validate"))))</x:f>
      </x:c>
      <x:c r="S801" s="45" t="n">
        <x:v>12.349132716908974</x:v>
      </x:c>
      <x:c r="T801" t="str">
        <x:v>EXTENDED</x:v>
      </x:c>
      <x:c r="U801" s="32" t="n">
        <x:f>PERCENTRANK.INC($G$2:$G$941,G801)</x:f>
        <x:v>0.156</x:v>
      </x:c>
      <x:c r="V801" s="32" t="n">
        <x:f>PERCENTRANK.INC($H$2:$H$941,H801)</x:f>
        <x:v>0.044</x:v>
      </x:c>
      <x:c r="W801" t="n">
        <x:f>ROUND((U801*55+V801*45)*IF(S801&lt;=5,1,IF(S801&lt;=10,0.95,IF(S801&lt;=20,0.85,0.70))),0)</x:f>
        <x:v>9</x:v>
      </x:c>
      <x:c r="X801" t="n">
        <x:v>18</x:v>
      </x:c>
      <x:c r="Y801" t="str">
        <x:v>WATCH</x:v>
      </x:c>
      <x:c r="Z801" s="12" t="str">
        <x:v>Family + verified grassroots + straight-line geo only; transport not yet routed</x:v>
      </x:c>
      <x:c r="AA801" s="12"/>
      <x:c r="AB801" s="12"/>
      <x:c r="AC801" s="12"/>
      <x:c r="AD801" s="12"/>
      <x:c r="AE801" t="str">
        <x:v>Charlton Athletic Women</x:v>
      </x:c>
      <x:c r="AF801" s="45" t="n">
        <x:v>5.428166951461425</x:v>
      </x:c>
      <x:c r="AG801" t="str">
        <x:v>Millwall Lionesses</x:v>
      </x:c>
      <x:c r="AH801" s="45" t="n">
        <x:v>1.142204891524603</x:v>
      </x:c>
      <x:c r="AI801" t="n">
        <x:v>89</x:v>
      </x:c>
      <x:c r="AJ801" t="str">
        <x:v>HIGH</x:v>
      </x:c>
    </x:row>
    <x:row r="802">
      <x:c r="A802" s="12" t="str">
        <x:v>E01004060</x:v>
      </x:c>
      <x:c r="B802" s="12" t="str">
        <x:v>Southwark 008E</x:v>
      </x:c>
      <x:c r="C802" s="12" t="str">
        <x:v>Southwark</x:v>
      </x:c>
      <x:c r="D802" s="44" t="n">
        <x:v>51.49208804900107</x:v>
      </x:c>
      <x:c r="E802" s="44" t="n">
        <x:v>-0.04209714355433815</x:v>
      </x:c>
      <x:c r="F802" s="33" t="n">
        <x:v>870</x:v>
      </x:c>
      <x:c r="G802" s="33" t="n">
        <x:v>192</x:v>
      </x:c>
      <x:c r="H802" s="26" t="n">
        <x:v>0.2206896551724138</x:v>
      </x:c>
      <x:c r="I802" s="12" t="n">
        <x:v>2</x:v>
      </x:c>
      <x:c r="J802" s="12" t="n">
        <x:v>36</x:v>
      </x:c>
      <x:c r="K802" s="12"/>
      <x:c r="L802" s="12"/>
      <x:c r="M802" s="12" t="str">
        <x:f>IF(K802="", "", MAX(0,IF(K802&lt;=20,100,IF(K802&lt;=30,85,IF(K802&lt;=40,70,IF(K802&lt;=50,55,IF(K802&lt;=60,40,20)))))-MIN(L802*5,20)))</x:f>
      </x:c>
      <x:c r="N802" s="12"/>
      <x:c r="O802" s="12"/>
      <x:c r="P802" s="12" t="str">
        <x:f>IF(OR(H802="",J802="",M802=""),"",ROUND(PERCENTRANK.INC($H$2:$H$941,H802)*35+J802*0.35+M802*0.30,0))</x:f>
      </x:c>
      <x:c r="Q802" s="12" t="str">
        <x:f>IF(P802="","",IF(P802&gt;=80,"ATTACK",IF(P802&gt;=65,"GROW",IF(P802&gt;=50,"PARTNER","WATCH"))))</x:f>
      </x:c>
      <x:c r="R802" s="12" t="str">
        <x:f>IF(Q802="","",IF(Q802="ATTACK","Grassroots + family acquisition",IF(Q802="GROW","Test local campaign",IF(Q802="PARTNER","Organisation-first partnership","Low priority / validate"))))</x:f>
      </x:c>
      <x:c r="S802" s="45" t="n">
        <x:v>11.982123988625778</x:v>
      </x:c>
      <x:c r="T802" t="str">
        <x:v>EXTENDED</x:v>
      </x:c>
      <x:c r="U802" s="32" t="n">
        <x:f>PERCENTRANK.INC($G$2:$G$941,G802)</x:f>
        <x:v>0.325</x:v>
      </x:c>
      <x:c r="V802" s="32" t="n">
        <x:f>PERCENTRANK.INC($H$2:$H$941,H802)</x:f>
        <x:v>0.105</x:v>
      </x:c>
      <x:c r="W802" t="n">
        <x:f>ROUND((U802*55+V802*45)*IF(S802&lt;=5,1,IF(S802&lt;=10,0.95,IF(S802&lt;=20,0.85,0.70))),0)</x:f>
        <x:v>19</x:v>
      </x:c>
      <x:c r="X802" t="n">
        <x:v>27</x:v>
      </x:c>
      <x:c r="Y802" t="str">
        <x:v>WATCH</x:v>
      </x:c>
      <x:c r="Z802" s="12" t="str">
        <x:v>Family + verified grassroots + straight-line geo only; transport not yet routed</x:v>
      </x:c>
      <x:c r="AA802" s="12"/>
      <x:c r="AB802" s="12"/>
      <x:c r="AC802" s="12"/>
      <x:c r="AD802" s="12"/>
      <x:c r="AE802" t="str">
        <x:v>Charlton Athletic Women</x:v>
      </x:c>
      <x:c r="AF802" s="45" t="n">
        <x:v>5.454384447379117</x:v>
      </x:c>
      <x:c r="AG802" t="str">
        <x:v>Millwall Lionesses</x:v>
      </x:c>
      <x:c r="AH802" s="45" t="n">
        <x:v>1.570117706719269</x:v>
      </x:c>
      <x:c r="AI802" t="n">
        <x:v>89</x:v>
      </x:c>
      <x:c r="AJ802" t="str">
        <x:v>HIGH</x:v>
      </x:c>
    </x:row>
    <x:row r="803">
      <x:c r="A803" s="12" t="str">
        <x:v>E01003936</x:v>
      </x:c>
      <x:c r="B803" s="12" t="str">
        <x:v>Southwark 009A</x:v>
      </x:c>
      <x:c r="C803" s="12" t="str">
        <x:v>Southwark</x:v>
      </x:c>
      <x:c r="D803" s="44" t="n">
        <x:v>51.49817807198615</x:v>
      </x:c>
      <x:c r="E803" s="44" t="n">
        <x:v>-0.09168074160913042</x:v>
      </x:c>
      <x:c r="F803" s="33" t="n">
        <x:v>582</x:v>
      </x:c>
      <x:c r="G803" s="33" t="n">
        <x:v>90</x:v>
      </x:c>
      <x:c r="H803" s="26" t="n">
        <x:v>0.15463917525773196</x:v>
      </x:c>
      <x:c r="I803" s="12" t="n">
        <x:v>1</x:v>
      </x:c>
      <x:c r="J803" s="12" t="n">
        <x:v>36</x:v>
      </x:c>
      <x:c r="K803" s="12"/>
      <x:c r="L803" s="12"/>
      <x:c r="M803" s="12" t="str">
        <x:f>IF(K803="", "", MAX(0,IF(K803&lt;=20,100,IF(K803&lt;=30,85,IF(K803&lt;=40,70,IF(K803&lt;=50,55,IF(K803&lt;=60,40,20)))))-MIN(L803*5,20)))</x:f>
      </x:c>
      <x:c r="N803" s="12"/>
      <x:c r="O803" s="12"/>
      <x:c r="P803" s="12" t="str">
        <x:f>IF(OR(H803="",J803="",M803=""),"",ROUND(PERCENTRANK.INC($H$2:$H$941,H803)*35+J803*0.35+M803*0.30,0))</x:f>
      </x:c>
      <x:c r="Q803" s="12" t="str">
        <x:f>IF(P803="","",IF(P803&gt;=80,"ATTACK",IF(P803&gt;=65,"GROW",IF(P803&gt;=50,"PARTNER","WATCH"))))</x:f>
      </x:c>
      <x:c r="R803" s="12" t="str">
        <x:f>IF(Q803="","",IF(Q803="ATTACK","Grassroots + family acquisition",IF(Q803="GROW","Test local campaign",IF(Q803="PARTNER","Organisation-first partnership","Low priority / validate"))))</x:f>
      </x:c>
      <x:c r="S803" s="45" t="n">
        <x:v>14.126190815817255</x:v>
      </x:c>
      <x:c r="T803" t="str">
        <x:v>EXTENDED</x:v>
      </x:c>
      <x:c r="U803" s="32" t="n">
        <x:f>PERCENTRANK.INC($G$2:$G$941,G803)</x:f>
        <x:v>0.013</x:v>
      </x:c>
      <x:c r="V803" s="32" t="n">
        <x:f>PERCENTRANK.INC($H$2:$H$941,H803)</x:f>
        <x:v>0.026</x:v>
      </x:c>
      <x:c r="W803" t="n">
        <x:f>ROUND((U803*55+V803*45)*IF(S803&lt;=5,1,IF(S803&lt;=10,0.95,IF(S803&lt;=20,0.85,0.70))),0)</x:f>
        <x:v>2</x:v>
      </x:c>
      <x:c r="X803" t="n">
        <x:v>17</x:v>
      </x:c>
      <x:c r="Y803" t="str">
        <x:v>WATCH</x:v>
      </x:c>
      <x:c r="Z803" s="12" t="str">
        <x:v>Family + verified grassroots + straight-line geo only; transport not yet routed</x:v>
      </x:c>
      <x:c r="AA803" s="12"/>
      <x:c r="AB803" s="12"/>
      <x:c r="AC803" s="12"/>
      <x:c r="AD803" s="12"/>
      <x:c r="AE803" t="str">
        <x:v>Arsenal Women</x:v>
      </x:c>
      <x:c r="AF803" s="45" t="n">
        <x:v>6.428783499069487</x:v>
      </x:c>
      <x:c r="AG803" t="str">
        <x:v>Millwall Lionesses</x:v>
      </x:c>
      <x:c r="AH803" s="45" t="n">
        <x:v>3.670884282574511</x:v>
      </x:c>
      <x:c r="AI803" t="n">
        <x:v>74</x:v>
      </x:c>
      <x:c r="AJ803" t="str">
        <x:v>MEDIUM</x:v>
      </x:c>
    </x:row>
    <x:row r="804">
      <x:c r="A804" s="12" t="str">
        <x:v>E01003937</x:v>
      </x:c>
      <x:c r="B804" s="12" t="str">
        <x:v>Southwark 009B</x:v>
      </x:c>
      <x:c r="C804" s="12" t="str">
        <x:v>Southwark</x:v>
      </x:c>
      <x:c r="D804" s="44" t="n">
        <x:v>51.49695517701327</x:v>
      </x:c>
      <x:c r="E804" s="44" t="n">
        <x:v>-0.09734927203458783</x:v>
      </x:c>
      <x:c r="F804" s="33" t="n">
        <x:v>768</x:v>
      </x:c>
      <x:c r="G804" s="33" t="n">
        <x:v>86</x:v>
      </x:c>
      <x:c r="H804" s="26" t="n">
        <x:v>0.11197916666666667</x:v>
      </x:c>
      <x:c r="I804" s="12" t="n">
        <x:v>1</x:v>
      </x:c>
      <x:c r="J804" s="12" t="n">
        <x:v>36</x:v>
      </x:c>
      <x:c r="K804" s="12"/>
      <x:c r="L804" s="12"/>
      <x:c r="M804" s="12" t="str">
        <x:f>IF(K804="", "", MAX(0,IF(K804&lt;=20,100,IF(K804&lt;=30,85,IF(K804&lt;=40,70,IF(K804&lt;=50,55,IF(K804&lt;=60,40,20)))))-MIN(L804*5,20)))</x:f>
      </x:c>
      <x:c r="N804" s="12"/>
      <x:c r="O804" s="12"/>
      <x:c r="P804" s="12" t="str">
        <x:f>IF(OR(H804="",J804="",M804=""),"",ROUND(PERCENTRANK.INC($H$2:$H$941,H804)*35+J804*0.35+M804*0.30,0))</x:f>
      </x:c>
      <x:c r="Q804" s="12" t="str">
        <x:f>IF(P804="","",IF(P804&gt;=80,"ATTACK",IF(P804&gt;=65,"GROW",IF(P804&gt;=50,"PARTNER","WATCH"))))</x:f>
      </x:c>
      <x:c r="R804" s="12" t="str">
        <x:f>IF(Q804="","",IF(Q804="ATTACK","Grassroots + family acquisition",IF(Q804="GROW","Test local campaign",IF(Q804="PARTNER","Organisation-first partnership","Low priority / validate"))))</x:f>
      </x:c>
      <x:c r="S804" s="45" t="n">
        <x:v>14.2281019032083</x:v>
      </x:c>
      <x:c r="T804" t="str">
        <x:v>EXTENDED</x:v>
      </x:c>
      <x:c r="U804" s="32" t="n">
        <x:f>PERCENTRANK.INC($G$2:$G$941,G804)</x:f>
        <x:v>0.011</x:v>
      </x:c>
      <x:c r="V804" s="32" t="n">
        <x:f>PERCENTRANK.INC($H$2:$H$941,H804)</x:f>
        <x:v>0.009</x:v>
      </x:c>
      <x:c r="W804" t="n">
        <x:f>ROUND((U804*55+V804*45)*IF(S804&lt;=5,1,IF(S804&lt;=10,0.95,IF(S804&lt;=20,0.85,0.70))),0)</x:f>
        <x:v>1</x:v>
      </x:c>
      <x:c r="X804" t="n">
        <x:v>17</x:v>
      </x:c>
      <x:c r="Y804" t="str">
        <x:v>WATCH</x:v>
      </x:c>
      <x:c r="Z804" s="12" t="str">
        <x:v>Family + verified grassroots + straight-line geo only; transport not yet routed</x:v>
      </x:c>
      <x:c r="AA804" s="12"/>
      <x:c r="AB804" s="12"/>
      <x:c r="AC804" s="12"/>
      <x:c r="AD804" s="12"/>
      <x:c r="AE804" t="str">
        <x:v>Arsenal Women</x:v>
      </x:c>
      <x:c r="AF804" s="45" t="n">
        <x:v>6.504939166557959</x:v>
      </x:c>
      <x:c r="AG804" t="str">
        <x:v>Dulwich Hamlet Women</x:v>
      </x:c>
      <x:c r="AH804" s="45" t="n">
        <x:v>4.069184495467047</x:v>
      </x:c>
      <x:c r="AI804" t="n">
        <x:v>74</x:v>
      </x:c>
      <x:c r="AJ804" t="str">
        <x:v>MEDIUM</x:v>
      </x:c>
    </x:row>
    <x:row r="805">
      <x:c r="A805" s="12" t="str">
        <x:v>E01003943</x:v>
      </x:c>
      <x:c r="B805" s="12" t="str">
        <x:v>Southwark 009C</x:v>
      </x:c>
      <x:c r="C805" s="12" t="str">
        <x:v>Southwark</x:v>
      </x:c>
      <x:c r="D805" s="44" t="n">
        <x:v>51.49619608088594</x:v>
      </x:c>
      <x:c r="E805" s="44" t="n">
        <x:v>-0.09595687061304178</x:v>
      </x:c>
      <x:c r="F805" s="33" t="n">
        <x:v>586</x:v>
      </x:c>
      <x:c r="G805" s="33" t="n">
        <x:v>156</x:v>
      </x:c>
      <x:c r="H805" s="26" t="n">
        <x:v>0.26621160409556316</x:v>
      </x:c>
      <x:c r="I805" s="12" t="n">
        <x:v>1</x:v>
      </x:c>
      <x:c r="J805" s="12" t="n">
        <x:v>36</x:v>
      </x:c>
      <x:c r="K805" s="12"/>
      <x:c r="L805" s="12"/>
      <x:c r="M805" s="12" t="str">
        <x:f>IF(K805="", "", MAX(0,IF(K805&lt;=20,100,IF(K805&lt;=30,85,IF(K805&lt;=40,70,IF(K805&lt;=50,55,IF(K805&lt;=60,40,20)))))-MIN(L805*5,20)))</x:f>
      </x:c>
      <x:c r="N805" s="12"/>
      <x:c r="O805" s="12"/>
      <x:c r="P805" s="12" t="str">
        <x:f>IF(OR(H805="",J805="",M805=""),"",ROUND(PERCENTRANK.INC($H$2:$H$941,H805)*35+J805*0.35+M805*0.30,0))</x:f>
      </x:c>
      <x:c r="Q805" s="12" t="str">
        <x:f>IF(P805="","",IF(P805&gt;=80,"ATTACK",IF(P805&gt;=65,"GROW",IF(P805&gt;=50,"PARTNER","WATCH"))))</x:f>
      </x:c>
      <x:c r="R805" s="12" t="str">
        <x:f>IF(Q805="","",IF(Q805="ATTACK","Grassroots + family acquisition",IF(Q805="GROW","Test local campaign",IF(Q805="PARTNER","Organisation-first partnership","Low priority / validate"))))</x:f>
      </x:c>
      <x:c r="S805" s="45" t="n">
        <x:v>14.104186348368577</x:v>
      </x:c>
      <x:c r="T805" t="str">
        <x:v>EXTENDED</x:v>
      </x:c>
      <x:c r="U805" s="32" t="n">
        <x:f>PERCENTRANK.INC($G$2:$G$941,G805)</x:f>
        <x:v>0.11</x:v>
      </x:c>
      <x:c r="V805" s="32" t="n">
        <x:f>PERCENTRANK.INC($H$2:$H$941,H805)</x:f>
        <x:v>0.244</x:v>
      </x:c>
      <x:c r="W805" t="n">
        <x:f>ROUND((U805*55+V805*45)*IF(S805&lt;=5,1,IF(S805&lt;=10,0.95,IF(S805&lt;=20,0.85,0.70))),0)</x:f>
        <x:v>14</x:v>
      </x:c>
      <x:c r="X805" t="n">
        <x:v>24</x:v>
      </x:c>
      <x:c r="Y805" t="str">
        <x:v>WATCH</x:v>
      </x:c>
      <x:c r="Z805" s="12" t="str">
        <x:v>Family + verified grassroots + straight-line geo only; transport not yet routed</x:v>
      </x:c>
      <x:c r="AA805" s="12"/>
      <x:c r="AB805" s="12"/>
      <x:c r="AC805" s="12"/>
      <x:c r="AD805" s="12"/>
      <x:c r="AE805" t="str">
        <x:v>Arsenal Women</x:v>
      </x:c>
      <x:c r="AF805" s="45" t="n">
        <x:v>6.600640824243056</x:v>
      </x:c>
      <x:c r="AG805" t="str">
        <x:v>Dulwich Hamlet Women</x:v>
      </x:c>
      <x:c r="AH805" s="45" t="n">
        <x:v>3.9657557320013286</x:v>
      </x:c>
      <x:c r="AI805" t="n">
        <x:v>74</x:v>
      </x:c>
      <x:c r="AJ805" t="str">
        <x:v>MEDIUM</x:v>
      </x:c>
    </x:row>
    <x:row r="806">
      <x:c r="A806" s="12" t="str">
        <x:v>E01033873</x:v>
      </x:c>
      <x:c r="B806" s="12" t="str">
        <x:v>Southwark 009G</x:v>
      </x:c>
      <x:c r="C806" s="12" t="str">
        <x:v>Southwark</x:v>
      </x:c>
      <x:c r="D806" s="44" t="n">
        <x:v>51.49506571707121</x:v>
      </x:c>
      <x:c r="E806" s="44" t="n">
        <x:v>-0.0943934621354302</x:v>
      </x:c>
      <x:c r="F806" s="33" t="n">
        <x:v>675</x:v>
      </x:c>
      <x:c r="G806" s="33" t="n">
        <x:v>193</x:v>
      </x:c>
      <x:c r="H806" s="26" t="n">
        <x:v>0.2859259259259259</x:v>
      </x:c>
      <x:c r="I806" s="12" t="n">
        <x:v>1</x:v>
      </x:c>
      <x:c r="J806" s="12" t="n">
        <x:v>36</x:v>
      </x:c>
      <x:c r="K806" s="12"/>
      <x:c r="L806" s="12"/>
      <x:c r="M806" s="12" t="str">
        <x:f>IF(K806="", "", MAX(0,IF(K806&lt;=20,100,IF(K806&lt;=30,85,IF(K806&lt;=40,70,IF(K806&lt;=50,55,IF(K806&lt;=60,40,20)))))-MIN(L806*5,20)))</x:f>
      </x:c>
      <x:c r="N806" s="12"/>
      <x:c r="O806" s="12"/>
      <x:c r="P806" s="12" t="str">
        <x:f>IF(OR(H806="",J806="",M806=""),"",ROUND(PERCENTRANK.INC($H$2:$H$941,H806)*35+J806*0.35+M806*0.30,0))</x:f>
      </x:c>
      <x:c r="Q806" s="12" t="str">
        <x:f>IF(P806="","",IF(P806&gt;=80,"ATTACK",IF(P806&gt;=65,"GROW",IF(P806&gt;=50,"PARTNER","WATCH"))))</x:f>
      </x:c>
      <x:c r="R806" s="12" t="str">
        <x:f>IF(Q806="","",IF(Q806="ATTACK","Grassroots + family acquisition",IF(Q806="GROW","Test local campaign",IF(Q806="PARTNER","Organisation-first partnership","Low priority / validate"))))</x:f>
      </x:c>
      <x:c r="S806" s="45" t="n">
        <x:v>13.939476089303456</x:v>
      </x:c>
      <x:c r="T806" t="str">
        <x:v>EXTENDED</x:v>
      </x:c>
      <x:c r="U806" s="32" t="n">
        <x:f>PERCENTRANK.INC($G$2:$G$941,G806)</x:f>
        <x:v>0.333</x:v>
      </x:c>
      <x:c r="V806" s="32" t="n">
        <x:f>PERCENTRANK.INC($H$2:$H$941,H806)</x:f>
        <x:v>0.321</x:v>
      </x:c>
      <x:c r="W806" t="n">
        <x:f>ROUND((U806*55+V806*45)*IF(S806&lt;=5,1,IF(S806&lt;=10,0.95,IF(S806&lt;=20,0.85,0.70))),0)</x:f>
        <x:v>28</x:v>
      </x:c>
      <x:c r="X806" t="n">
        <x:v>32</x:v>
      </x:c>
      <x:c r="Y806" t="str">
        <x:v>WATCH</x:v>
      </x:c>
      <x:c r="Z806" s="12" t="str">
        <x:v>Family + verified grassroots + straight-line geo only; transport not yet routed</x:v>
      </x:c>
      <x:c r="AA806" s="12"/>
      <x:c r="AB806" s="12"/>
      <x:c r="AC806" s="12"/>
      <x:c r="AD806" s="12"/>
      <x:c r="AE806" t="str">
        <x:v>Arsenal Women</x:v>
      </x:c>
      <x:c r="AF806" s="45" t="n">
        <x:v>6.7399779734557095</x:v>
      </x:c>
      <x:c r="AG806" t="str">
        <x:v>Dulwich Hamlet Women</x:v>
      </x:c>
      <x:c r="AH806" s="45" t="n">
        <x:v>3.8210306680259998</x:v>
      </x:c>
      <x:c r="AI806" t="n">
        <x:v>74</x:v>
      </x:c>
      <x:c r="AJ806" t="str">
        <x:v>MEDIUM</x:v>
      </x:c>
    </x:row>
    <x:row r="807">
      <x:c r="A807" s="12" t="str">
        <x:v>E01033874</x:v>
      </x:c>
      <x:c r="B807" s="12" t="str">
        <x:v>Southwark 009H</x:v>
      </x:c>
      <x:c r="C807" s="12" t="str">
        <x:v>Southwark</x:v>
      </x:c>
      <x:c r="D807" s="44" t="n">
        <x:v>51.4939695628398</x:v>
      </x:c>
      <x:c r="E807" s="44" t="n">
        <x:v>-0.09771140028406636</x:v>
      </x:c>
      <x:c r="F807" s="33" t="n">
        <x:v>625</x:v>
      </x:c>
      <x:c r="G807" s="33" t="n">
        <x:v>42</x:v>
      </x:c>
      <x:c r="H807" s="26" t="n">
        <x:v>0.0672</x:v>
      </x:c>
      <x:c r="I807" s="12" t="n">
        <x:v>1</x:v>
      </x:c>
      <x:c r="J807" s="12" t="n">
        <x:v>36</x:v>
      </x:c>
      <x:c r="K807" s="12"/>
      <x:c r="L807" s="12"/>
      <x:c r="M807" s="12" t="str">
        <x:f>IF(K807="", "", MAX(0,IF(K807&lt;=20,100,IF(K807&lt;=30,85,IF(K807&lt;=40,70,IF(K807&lt;=50,55,IF(K807&lt;=60,40,20)))))-MIN(L807*5,20)))</x:f>
      </x:c>
      <x:c r="N807" s="12"/>
      <x:c r="O807" s="12"/>
      <x:c r="P807" s="12" t="str">
        <x:f>IF(OR(H807="",J807="",M807=""),"",ROUND(PERCENTRANK.INC($H$2:$H$941,H807)*35+J807*0.35+M807*0.30,0))</x:f>
      </x:c>
      <x:c r="Q807" s="12" t="str">
        <x:f>IF(P807="","",IF(P807&gt;=80,"ATTACK",IF(P807&gt;=65,"GROW",IF(P807&gt;=50,"PARTNER","WATCH"))))</x:f>
      </x:c>
      <x:c r="R807" s="12" t="str">
        <x:f>IF(Q807="","",IF(Q807="ATTACK","Grassroots + family acquisition",IF(Q807="GROW","Test local campaign",IF(Q807="PARTNER","Organisation-first partnership","Low priority / validate"))))</x:f>
      </x:c>
      <x:c r="S807" s="45" t="n">
        <x:v>13.968904667172477</x:v>
      </x:c>
      <x:c r="T807" t="str">
        <x:v>EXTENDED</x:v>
      </x:c>
      <x:c r="U807" s="32" t="n">
        <x:f>PERCENTRANK.INC($G$2:$G$941,G807)</x:f>
        <x:v>0.002</x:v>
      </x:c>
      <x:c r="V807" s="32" t="n">
        <x:f>PERCENTRANK.INC($H$2:$H$941,H807)</x:f>
        <x:v>0.002</x:v>
      </x:c>
      <x:c r="W807" t="n">
        <x:f>ROUND((U807*55+V807*45)*IF(S807&lt;=5,1,IF(S807&lt;=10,0.95,IF(S807&lt;=20,0.85,0.70))),0)</x:f>
        <x:v>0</x:v>
      </x:c>
      <x:c r="X807" t="n">
        <x:v>16</x:v>
      </x:c>
      <x:c r="Y807" t="str">
        <x:v>WATCH</x:v>
      </x:c>
      <x:c r="Z807" s="12" t="str">
        <x:v>Family + verified grassroots + straight-line geo only; transport not yet routed</x:v>
      </x:c>
      <x:c r="AA807" s="12"/>
      <x:c r="AB807" s="12"/>
      <x:c r="AC807" s="12"/>
      <x:c r="AD807" s="12"/>
      <x:c r="AE807" t="str">
        <x:v>Chelsea Women</x:v>
      </x:c>
      <x:c r="AF807" s="45" t="n">
        <x:v>6.603758096565776</x:v>
      </x:c>
      <x:c r="AG807" t="str">
        <x:v>Dulwich Hamlet Women</x:v>
      </x:c>
      <x:c r="AH807" s="45" t="n">
        <x:v>3.752951566573298</x:v>
      </x:c>
      <x:c r="AI807" t="n">
        <x:v>74</x:v>
      </x:c>
      <x:c r="AJ807" t="str">
        <x:v>MEDIUM</x:v>
      </x:c>
    </x:row>
    <x:row r="808">
      <x:c r="A808" s="12" t="str">
        <x:v>E01003977</x:v>
      </x:c>
      <x:c r="B808" s="12" t="str">
        <x:v>Southwark 010A</x:v>
      </x:c>
      <x:c r="C808" s="12" t="str">
        <x:v>Southwark</x:v>
      </x:c>
      <x:c r="D808" s="44" t="n">
        <x:v>51.494301815777995</x:v>
      </x:c>
      <x:c r="E808" s="44" t="n">
        <x:v>-0.06943062314305307</x:v>
      </x:c>
      <x:c r="F808" s="33" t="n">
        <x:v>827</x:v>
      </x:c>
      <x:c r="G808" s="33" t="n">
        <x:v>197</x:v>
      </x:c>
      <x:c r="H808" s="26" t="n">
        <x:v>0.23821039903264812</x:v>
      </x:c>
      <x:c r="I808" s="12" t="n">
        <x:v>1</x:v>
      </x:c>
      <x:c r="J808" s="12" t="n">
        <x:v>36</x:v>
      </x:c>
      <x:c r="K808" s="12"/>
      <x:c r="L808" s="12"/>
      <x:c r="M808" s="12" t="str">
        <x:f>IF(K808="", "", MAX(0,IF(K808&lt;=20,100,IF(K808&lt;=30,85,IF(K808&lt;=40,70,IF(K808&lt;=50,55,IF(K808&lt;=60,40,20)))))-MIN(L808*5,20)))</x:f>
      </x:c>
      <x:c r="N808" s="12"/>
      <x:c r="O808" s="12"/>
      <x:c r="P808" s="12" t="str">
        <x:f>IF(OR(H808="",J808="",M808=""),"",ROUND(PERCENTRANK.INC($H$2:$H$941,H808)*35+J808*0.35+M808*0.30,0))</x:f>
      </x:c>
      <x:c r="Q808" s="12" t="str">
        <x:f>IF(P808="","",IF(P808&gt;=80,"ATTACK",IF(P808&gt;=65,"GROW",IF(P808&gt;=50,"PARTNER","WATCH"))))</x:f>
      </x:c>
      <x:c r="R808" s="12" t="str">
        <x:f>IF(Q808="","",IF(Q808="ATTACK","Grassroots + family acquisition",IF(Q808="GROW","Test local campaign",IF(Q808="PARTNER","Organisation-first partnership","Low priority / validate"))))</x:f>
      </x:c>
      <x:c r="S808" s="45" t="n">
        <x:v>12.9792035935483</x:v>
      </x:c>
      <x:c r="T808" t="str">
        <x:v>EXTENDED</x:v>
      </x:c>
      <x:c r="U808" s="32" t="n">
        <x:f>PERCENTRANK.INC($G$2:$G$941,G808)</x:f>
        <x:v>0.356</x:v>
      </x:c>
      <x:c r="V808" s="32" t="n">
        <x:f>PERCENTRANK.INC($H$2:$H$941,H808)</x:f>
        <x:v>0.15</x:v>
      </x:c>
      <x:c r="W808" t="n">
        <x:f>ROUND((U808*55+V808*45)*IF(S808&lt;=5,1,IF(S808&lt;=10,0.95,IF(S808&lt;=20,0.85,0.70))),0)</x:f>
        <x:v>22</x:v>
      </x:c>
      <x:c r="X808" t="n">
        <x:v>29</x:v>
      </x:c>
      <x:c r="Y808" t="str">
        <x:v>WATCH</x:v>
      </x:c>
      <x:c r="Z808" s="12" t="str">
        <x:v>Family + verified grassroots + straight-line geo only; transport not yet routed</x:v>
      </x:c>
      <x:c r="AA808" s="12"/>
      <x:c r="AB808" s="12"/>
      <x:c r="AC808" s="12"/>
      <x:c r="AD808" s="12"/>
      <x:c r="AE808" t="str">
        <x:v>Arsenal Women</x:v>
      </x:c>
      <x:c r="AF808" s="45" t="n">
        <x:v>7.273045540003699</x:v>
      </x:c>
      <x:c r="AG808" t="str">
        <x:v>Millwall Lionesses</x:v>
      </x:c>
      <x:c r="AH808" s="45" t="n">
        <x:v>2.4139130408758196</x:v>
      </x:c>
      <x:c r="AI808" t="n">
        <x:v>78</x:v>
      </x:c>
      <x:c r="AJ808" t="str">
        <x:v>HIGH</x:v>
      </x:c>
    </x:row>
    <x:row r="809">
      <x:c r="A809" s="12" t="str">
        <x:v>E01004037</x:v>
      </x:c>
      <x:c r="B809" s="12" t="str">
        <x:v>Southwark 010B</x:v>
      </x:c>
      <x:c r="C809" s="12" t="str">
        <x:v>Southwark</x:v>
      </x:c>
      <x:c r="D809" s="44" t="n">
        <x:v>51.48950924756274</x:v>
      </x:c>
      <x:c r="E809" s="44" t="n">
        <x:v>-0.05931023106686315</x:v>
      </x:c>
      <x:c r="F809" s="33" t="n">
        <x:v>876</x:v>
      </x:c>
      <x:c r="G809" s="33" t="n">
        <x:v>259</x:v>
      </x:c>
      <x:c r="H809" s="26" t="n">
        <x:v>0.295662100456621</x:v>
      </x:c>
      <x:c r="I809" s="12" t="n">
        <x:v>2</x:v>
      </x:c>
      <x:c r="J809" s="12" t="n">
        <x:v>43</x:v>
      </x:c>
      <x:c r="K809" s="12"/>
      <x:c r="L809" s="12"/>
      <x:c r="M809" s="12" t="str">
        <x:f>IF(K809="", "", MAX(0,IF(K809&lt;=20,100,IF(K809&lt;=30,85,IF(K809&lt;=40,70,IF(K809&lt;=50,55,IF(K809&lt;=60,40,20)))))-MIN(L809*5,20)))</x:f>
      </x:c>
      <x:c r="N809" s="12"/>
      <x:c r="O809" s="12"/>
      <x:c r="P809" s="12" t="str">
        <x:f>IF(OR(H809="",J809="",M809=""),"",ROUND(PERCENTRANK.INC($H$2:$H$941,H809)*35+J809*0.35+M809*0.30,0))</x:f>
      </x:c>
      <x:c r="Q809" s="12" t="str">
        <x:f>IF(P809="","",IF(P809&gt;=80,"ATTACK",IF(P809&gt;=65,"GROW",IF(P809&gt;=50,"PARTNER","WATCH"))))</x:f>
      </x:c>
      <x:c r="R809" s="12" t="str">
        <x:f>IF(Q809="","",IF(Q809="ATTACK","Grassroots + family acquisition",IF(Q809="GROW","Test local campaign",IF(Q809="PARTNER","Organisation-first partnership","Low priority / validate"))))</x:f>
      </x:c>
      <x:c r="S809" s="45" t="n">
        <x:v>12.186945546833307</x:v>
      </x:c>
      <x:c r="T809" t="str">
        <x:v>EXTENDED</x:v>
      </x:c>
      <x:c r="U809" s="32" t="n">
        <x:f>PERCENTRANK.INC($G$2:$G$941,G809)</x:f>
        <x:v>0.824</x:v>
      </x:c>
      <x:c r="V809" s="32" t="n">
        <x:f>PERCENTRANK.INC($H$2:$H$941,H809)</x:f>
        <x:v>0.372</x:v>
      </x:c>
      <x:c r="W809" t="n">
        <x:f>ROUND((U809*55+V809*45)*IF(S809&lt;=5,1,IF(S809&lt;=10,0.95,IF(S809&lt;=20,0.85,0.70))),0)</x:f>
        <x:v>53</x:v>
      </x:c>
      <x:c r="X809" t="n">
        <x:v>48</x:v>
      </x:c>
      <x:c r="Y809" t="str">
        <x:v>WATCH</x:v>
      </x:c>
      <x:c r="Z809" s="12" t="str">
        <x:v>Family + verified grassroots + straight-line geo only; transport not yet routed</x:v>
      </x:c>
      <x:c r="AA809" s="12"/>
      <x:c r="AB809" s="12"/>
      <x:c r="AC809" s="12"/>
      <x:c r="AD809" s="12"/>
      <x:c r="AE809" t="str">
        <x:v>Charlton Athletic Women</x:v>
      </x:c>
      <x:c r="AF809" s="45" t="n">
        <x:v>6.618593067023792</x:v>
      </x:c>
      <x:c r="AG809" t="str">
        <x:v>Millwall Lionesses</x:v>
      </x:c>
      <x:c r="AH809" s="45" t="n">
        <x:v>2.274718701107589</x:v>
      </x:c>
      <x:c r="AI809" t="n">
        <x:v>78</x:v>
      </x:c>
      <x:c r="AJ809" t="str">
        <x:v>HIGH</x:v>
      </x:c>
    </x:row>
    <x:row r="810">
      <x:c r="A810" s="12" t="str">
        <x:v>E01004038</x:v>
      </x:c>
      <x:c r="B810" s="12" t="str">
        <x:v>Southwark 010C</x:v>
      </x:c>
      <x:c r="C810" s="12" t="str">
        <x:v>Southwark</x:v>
      </x:c>
      <x:c r="D810" s="44" t="n">
        <x:v>51.4877995143035</x:v>
      </x:c>
      <x:c r="E810" s="44" t="n">
        <x:v>-0.06491072355228783</x:v>
      </x:c>
      <x:c r="F810" s="33" t="n">
        <x:v>1032</x:v>
      </x:c>
      <x:c r="G810" s="33" t="n">
        <x:v>281</x:v>
      </x:c>
      <x:c r="H810" s="26" t="n">
        <x:v>0.27228682170542634</x:v>
      </x:c>
      <x:c r="I810" s="12" t="n">
        <x:v>2</x:v>
      </x:c>
      <x:c r="J810" s="12" t="n">
        <x:v>43</x:v>
      </x:c>
      <x:c r="K810" s="12"/>
      <x:c r="L810" s="12"/>
      <x:c r="M810" s="12" t="str">
        <x:f>IF(K810="", "", MAX(0,IF(K810&lt;=20,100,IF(K810&lt;=30,85,IF(K810&lt;=40,70,IF(K810&lt;=50,55,IF(K810&lt;=60,40,20)))))-MIN(L810*5,20)))</x:f>
      </x:c>
      <x:c r="N810" s="12"/>
      <x:c r="O810" s="12"/>
      <x:c r="P810" s="12" t="str">
        <x:f>IF(OR(H810="",J810="",M810=""),"",ROUND(PERCENTRANK.INC($H$2:$H$941,H810)*35+J810*0.35+M810*0.30,0))</x:f>
      </x:c>
      <x:c r="Q810" s="12" t="str">
        <x:f>IF(P810="","",IF(P810&gt;=80,"ATTACK",IF(P810&gt;=65,"GROW",IF(P810&gt;=50,"PARTNER","WATCH"))))</x:f>
      </x:c>
      <x:c r="R810" s="12" t="str">
        <x:f>IF(Q810="","",IF(Q810="ATTACK","Grassroots + family acquisition",IF(Q810="GROW","Test local campaign",IF(Q810="PARTNER","Organisation-first partnership","Low priority / validate"))))</x:f>
      </x:c>
      <x:c r="S810" s="45" t="n">
        <x:v>12.193791989063017</x:v>
      </x:c>
      <x:c r="T810" t="str">
        <x:v>EXTENDED</x:v>
      </x:c>
      <x:c r="U810" s="32" t="n">
        <x:f>PERCENTRANK.INC($G$2:$G$941,G810)</x:f>
        <x:v>0.906</x:v>
      </x:c>
      <x:c r="V810" s="32" t="n">
        <x:f>PERCENTRANK.INC($H$2:$H$941,H810)</x:f>
        <x:v>0.265</x:v>
      </x:c>
      <x:c r="W810" t="n">
        <x:f>ROUND((U810*55+V810*45)*IF(S810&lt;=5,1,IF(S810&lt;=10,0.95,IF(S810&lt;=20,0.85,0.70))),0)</x:f>
        <x:v>52</x:v>
      </x:c>
      <x:c r="X810" t="n">
        <x:v>48</x:v>
      </x:c>
      <x:c r="Y810" t="str">
        <x:v>WATCH</x:v>
      </x:c>
      <x:c r="Z810" s="12" t="str">
        <x:v>Family + verified grassroots + straight-line geo only; transport not yet routed</x:v>
      </x:c>
      <x:c r="AA810" s="12"/>
      <x:c r="AB810" s="12"/>
      <x:c r="AC810" s="12"/>
      <x:c r="AD810" s="12"/>
      <x:c r="AE810" t="str">
        <x:v>Charlton Athletic Women</x:v>
      </x:c>
      <x:c r="AF810" s="45" t="n">
        <x:v>6.999189970401512</x:v>
      </x:c>
      <x:c r="AG810" t="str">
        <x:v>Millwall Lionesses</x:v>
      </x:c>
      <x:c r="AH810" s="45" t="n">
        <x:v>2.662619510566406</x:v>
      </x:c>
      <x:c r="AI810" t="n">
        <x:v>78</x:v>
      </x:c>
      <x:c r="AJ810" t="str">
        <x:v>HIGH</x:v>
      </x:c>
    </x:row>
    <x:row r="811">
      <x:c r="A811" s="12" t="str">
        <x:v>E01004042</x:v>
      </x:c>
      <x:c r="B811" s="12" t="str">
        <x:v>Southwark 010D</x:v>
      </x:c>
      <x:c r="C811" s="12" t="str">
        <x:v>Southwark</x:v>
      </x:c>
      <x:c r="D811" s="44" t="n">
        <x:v>51.492215599058255</x:v>
      </x:c>
      <x:c r="E811" s="44" t="n">
        <x:v>-0.0637798621325378</x:v>
      </x:c>
      <x:c r="F811" s="33" t="n">
        <x:v>824</x:v>
      </x:c>
      <x:c r="G811" s="33" t="n">
        <x:v>185</x:v>
      </x:c>
      <x:c r="H811" s="26" t="n">
        <x:v>0.22451456310679613</x:v>
      </x:c>
      <x:c r="I811" s="12" t="n">
        <x:v>1</x:v>
      </x:c>
      <x:c r="J811" s="12" t="n">
        <x:v>36</x:v>
      </x:c>
      <x:c r="K811" s="12"/>
      <x:c r="L811" s="12"/>
      <x:c r="M811" s="12" t="str">
        <x:f>IF(K811="", "", MAX(0,IF(K811&lt;=20,100,IF(K811&lt;=30,85,IF(K811&lt;=40,70,IF(K811&lt;=50,55,IF(K811&lt;=60,40,20)))))-MIN(L811*5,20)))</x:f>
      </x:c>
      <x:c r="N811" s="12"/>
      <x:c r="O811" s="12"/>
      <x:c r="P811" s="12" t="str">
        <x:f>IF(OR(H811="",J811="",M811=""),"",ROUND(PERCENTRANK.INC($H$2:$H$941,H811)*35+J811*0.35+M811*0.30,0))</x:f>
      </x:c>
      <x:c r="Q811" s="12" t="str">
        <x:f>IF(P811="","",IF(P811&gt;=80,"ATTACK",IF(P811&gt;=65,"GROW",IF(P811&gt;=50,"PARTNER","WATCH"))))</x:f>
      </x:c>
      <x:c r="R811" s="12" t="str">
        <x:f>IF(Q811="","",IF(Q811="ATTACK","Grassroots + family acquisition",IF(Q811="GROW","Test local campaign",IF(Q811="PARTNER","Organisation-first partnership","Low priority / validate"))))</x:f>
      </x:c>
      <x:c r="S811" s="45" t="n">
        <x:v>12.593952679757237</x:v>
      </x:c>
      <x:c r="T811" t="str">
        <x:v>EXTENDED</x:v>
      </x:c>
      <x:c r="U811" s="32" t="n">
        <x:f>PERCENTRANK.INC($G$2:$G$941,G811)</x:f>
        <x:v>0.266</x:v>
      </x:c>
      <x:c r="V811" s="32" t="n">
        <x:f>PERCENTRANK.INC($H$2:$H$941,H811)</x:f>
        <x:v>0.112</x:v>
      </x:c>
      <x:c r="W811" t="n">
        <x:f>ROUND((U811*55+V811*45)*IF(S811&lt;=5,1,IF(S811&lt;=10,0.95,IF(S811&lt;=20,0.85,0.70))),0)</x:f>
        <x:v>17</x:v>
      </x:c>
      <x:c r="X811" t="n">
        <x:v>26</x:v>
      </x:c>
      <x:c r="Y811" t="str">
        <x:v>WATCH</x:v>
      </x:c>
      <x:c r="Z811" s="12" t="str">
        <x:v>Family + verified grassroots + straight-line geo only; transport not yet routed</x:v>
      </x:c>
      <x:c r="AA811" s="12"/>
      <x:c r="AB811" s="12"/>
      <x:c r="AC811" s="12"/>
      <x:c r="AD811" s="12"/>
      <x:c r="AE811" t="str">
        <x:v>Charlton Athletic Women</x:v>
      </x:c>
      <x:c r="AF811" s="45" t="n">
        <x:v>6.948978177954962</x:v>
      </x:c>
      <x:c r="AG811" t="str">
        <x:v>Millwall Lionesses</x:v>
      </x:c>
      <x:c r="AH811" s="45" t="n">
        <x:v>2.2503094937029897</x:v>
      </x:c>
      <x:c r="AI811" t="n">
        <x:v>78</x:v>
      </x:c>
      <x:c r="AJ811" t="str">
        <x:v>HIGH</x:v>
      </x:c>
    </x:row>
    <x:row r="812">
      <x:c r="A812" s="12" t="str">
        <x:v>E01004043</x:v>
      </x:c>
      <x:c r="B812" s="12" t="str">
        <x:v>Southwark 010E</x:v>
      </x:c>
      <x:c r="C812" s="12" t="str">
        <x:v>Southwark</x:v>
      </x:c>
      <x:c r="D812" s="44" t="n">
        <x:v>51.491303676363955</x:v>
      </x:c>
      <x:c r="E812" s="44" t="n">
        <x:v>-0.06789457725278808</x:v>
      </x:c>
      <x:c r="F812" s="33" t="n">
        <x:v>579</x:v>
      </x:c>
      <x:c r="G812" s="33" t="n">
        <x:v>120</x:v>
      </x:c>
      <x:c r="H812" s="26" t="n">
        <x:v>0.20725388601036268</x:v>
      </x:c>
      <x:c r="I812" s="12" t="n">
        <x:v>1</x:v>
      </x:c>
      <x:c r="J812" s="12" t="n">
        <x:v>36</x:v>
      </x:c>
      <x:c r="K812" s="12"/>
      <x:c r="L812" s="12"/>
      <x:c r="M812" s="12" t="str">
        <x:f>IF(K812="", "", MAX(0,IF(K812&lt;=20,100,IF(K812&lt;=30,85,IF(K812&lt;=40,70,IF(K812&lt;=50,55,IF(K812&lt;=60,40,20)))))-MIN(L812*5,20)))</x:f>
      </x:c>
      <x:c r="N812" s="12"/>
      <x:c r="O812" s="12"/>
      <x:c r="P812" s="12" t="str">
        <x:f>IF(OR(H812="",J812="",M812=""),"",ROUND(PERCENTRANK.INC($H$2:$H$941,H812)*35+J812*0.35+M812*0.30,0))</x:f>
      </x:c>
      <x:c r="Q812" s="12" t="str">
        <x:f>IF(P812="","",IF(P812&gt;=80,"ATTACK",IF(P812&gt;=65,"GROW",IF(P812&gt;=50,"PARTNER","WATCH"))))</x:f>
      </x:c>
      <x:c r="R812" s="12" t="str">
        <x:f>IF(Q812="","",IF(Q812="ATTACK","Grassroots + family acquisition",IF(Q812="GROW","Test local campaign",IF(Q812="PARTNER","Organisation-first partnership","Low priority / validate"))))</x:f>
      </x:c>
      <x:c r="S812" s="45" t="n">
        <x:v>12.634816896680293</x:v>
      </x:c>
      <x:c r="T812" t="str">
        <x:v>EXTENDED</x:v>
      </x:c>
      <x:c r="U812" s="32" t="n">
        <x:f>PERCENTRANK.INC($G$2:$G$941,G812)</x:f>
        <x:v>0.03</x:v>
      </x:c>
      <x:c r="V812" s="32" t="n">
        <x:f>PERCENTRANK.INC($H$2:$H$941,H812)</x:f>
        <x:v>0.078</x:v>
      </x:c>
      <x:c r="W812" t="n">
        <x:f>ROUND((U812*55+V812*45)*IF(S812&lt;=5,1,IF(S812&lt;=10,0.95,IF(S812&lt;=20,0.85,0.70))),0)</x:f>
        <x:v>4</x:v>
      </x:c>
      <x:c r="X812" t="n">
        <x:v>19</x:v>
      </x:c>
      <x:c r="Y812" t="str">
        <x:v>WATCH</x:v>
      </x:c>
      <x:c r="Z812" s="12" t="str">
        <x:v>Family + verified grassroots + straight-line geo only; transport not yet routed</x:v>
      </x:c>
      <x:c r="AA812" s="12"/>
      <x:c r="AB812" s="12"/>
      <x:c r="AC812" s="12"/>
      <x:c r="AD812" s="12"/>
      <x:c r="AE812" t="str">
        <x:v>Charlton Athletic Women</x:v>
      </x:c>
      <x:c r="AF812" s="45" t="n">
        <x:v>7.2243918110782515</x:v>
      </x:c>
      <x:c r="AG812" t="str">
        <x:v>Millwall Lionesses</x:v>
      </x:c>
      <x:c r="AH812" s="45" t="n">
        <x:v>2.5295963368925958</x:v>
      </x:c>
      <x:c r="AI812" t="n">
        <x:v>78</x:v>
      </x:c>
      <x:c r="AJ812" t="str">
        <x:v>HIGH</x:v>
      </x:c>
    </x:row>
    <x:row r="813">
      <x:c r="A813" s="12" t="str">
        <x:v>E01003986</x:v>
      </x:c>
      <x:c r="B813" s="12" t="str">
        <x:v>Southwark 011A</x:v>
      </x:c>
      <x:c r="C813" s="12" t="str">
        <x:v>Southwark</x:v>
      </x:c>
      <x:c r="D813" s="44" t="n">
        <x:v>51.48993290299715</x:v>
      </x:c>
      <x:c r="E813" s="44" t="n">
        <x:v>-0.05247122724346721</x:v>
      </x:c>
      <x:c r="F813" s="33" t="n">
        <x:v>696</x:v>
      </x:c>
      <x:c r="G813" s="33" t="n">
        <x:v>194</x:v>
      </x:c>
      <x:c r="H813" s="26" t="n">
        <x:v>0.27873563218390807</x:v>
      </x:c>
      <x:c r="I813" s="12" t="n">
        <x:v>2</x:v>
      </x:c>
      <x:c r="J813" s="12" t="n">
        <x:v>43</x:v>
      </x:c>
      <x:c r="K813" s="12"/>
      <x:c r="L813" s="12"/>
      <x:c r="M813" s="12" t="str">
        <x:f>IF(K813="", "", MAX(0,IF(K813&lt;=20,100,IF(K813&lt;=30,85,IF(K813&lt;=40,70,IF(K813&lt;=50,55,IF(K813&lt;=60,40,20)))))-MIN(L813*5,20)))</x:f>
      </x:c>
      <x:c r="N813" s="12"/>
      <x:c r="O813" s="12"/>
      <x:c r="P813" s="12" t="str">
        <x:f>IF(OR(H813="",J813="",M813=""),"",ROUND(PERCENTRANK.INC($H$2:$H$941,H813)*35+J813*0.35+M813*0.30,0))</x:f>
      </x:c>
      <x:c r="Q813" s="12" t="str">
        <x:f>IF(P813="","",IF(P813&gt;=80,"ATTACK",IF(P813&gt;=65,"GROW",IF(P813&gt;=50,"PARTNER","WATCH"))))</x:f>
      </x:c>
      <x:c r="R813" s="12" t="str">
        <x:f>IF(Q813="","",IF(Q813="ATTACK","Grassroots + family acquisition",IF(Q813="GROW","Test local campaign",IF(Q813="PARTNER","Organisation-first partnership","Low priority / validate"))))</x:f>
      </x:c>
      <x:c r="S813" s="45" t="n">
        <x:v>12.029943793419909</x:v>
      </x:c>
      <x:c r="T813" t="str">
        <x:v>EXTENDED</x:v>
      </x:c>
      <x:c r="U813" s="32" t="n">
        <x:f>PERCENTRANK.INC($G$2:$G$941,G813)</x:f>
        <x:v>0.343</x:v>
      </x:c>
      <x:c r="V813" s="32" t="n">
        <x:f>PERCENTRANK.INC($H$2:$H$941,H813)</x:f>
        <x:v>0.287</x:v>
      </x:c>
      <x:c r="W813" t="n">
        <x:f>ROUND((U813*55+V813*45)*IF(S813&lt;=5,1,IF(S813&lt;=10,0.95,IF(S813&lt;=20,0.85,0.70))),0)</x:f>
        <x:v>27</x:v>
      </x:c>
      <x:c r="X813" t="n">
        <x:v>34</x:v>
      </x:c>
      <x:c r="Y813" t="str">
        <x:v>WATCH</x:v>
      </x:c>
      <x:c r="Z813" s="12" t="str">
        <x:v>Family + verified grassroots + straight-line geo only; transport not yet routed</x:v>
      </x:c>
      <x:c r="AA813" s="12"/>
      <x:c r="AB813" s="12"/>
      <x:c r="AC813" s="12"/>
      <x:c r="AD813" s="12"/>
      <x:c r="AE813" t="str">
        <x:v>Charlton Athletic Women</x:v>
      </x:c>
      <x:c r="AF813" s="45" t="n">
        <x:v>6.148566160476172</x:v>
      </x:c>
      <x:c r="AG813" t="str">
        <x:v>Millwall Lionesses</x:v>
      </x:c>
      <x:c r="AH813" s="45" t="n">
        <x:v>1.993738036274404</x:v>
      </x:c>
      <x:c r="AI813" t="n">
        <x:v>78</x:v>
      </x:c>
      <x:c r="AJ813" t="str">
        <x:v>HIGH</x:v>
      </x:c>
    </x:row>
    <x:row r="814">
      <x:c r="A814" s="12" t="str">
        <x:v>E01003987</x:v>
      </x:c>
      <x:c r="B814" s="12" t="str">
        <x:v>Southwark 011B</x:v>
      </x:c>
      <x:c r="C814" s="12" t="str">
        <x:v>Southwark</x:v>
      </x:c>
      <x:c r="D814" s="44" t="n">
        <x:v>51.48611839561554</x:v>
      </x:c>
      <x:c r="E814" s="44" t="n">
        <x:v>-0.057800142945114555</x:v>
      </x:c>
      <x:c r="F814" s="33" t="n">
        <x:v>823</x:v>
      </x:c>
      <x:c r="G814" s="33" t="n">
        <x:v>217</x:v>
      </x:c>
      <x:c r="H814" s="26" t="n">
        <x:v>0.26366950182260024</x:v>
      </x:c>
      <x:c r="I814" s="12" t="n">
        <x:v>2</x:v>
      </x:c>
      <x:c r="J814" s="12" t="n">
        <x:v>43</x:v>
      </x:c>
      <x:c r="K814" s="12"/>
      <x:c r="L814" s="12"/>
      <x:c r="M814" s="12" t="str">
        <x:f>IF(K814="", "", MAX(0,IF(K814&lt;=20,100,IF(K814&lt;=30,85,IF(K814&lt;=40,70,IF(K814&lt;=50,55,IF(K814&lt;=60,40,20)))))-MIN(L814*5,20)))</x:f>
      </x:c>
      <x:c r="N814" s="12"/>
      <x:c r="O814" s="12"/>
      <x:c r="P814" s="12" t="str">
        <x:f>IF(OR(H814="",J814="",M814=""),"",ROUND(PERCENTRANK.INC($H$2:$H$941,H814)*35+J814*0.35+M814*0.30,0))</x:f>
      </x:c>
      <x:c r="Q814" s="12" t="str">
        <x:f>IF(P814="","",IF(P814&gt;=80,"ATTACK",IF(P814&gt;=65,"GROW",IF(P814&gt;=50,"PARTNER","WATCH"))))</x:f>
      </x:c>
      <x:c r="R814" s="12" t="str">
        <x:f>IF(Q814="","",IF(Q814="ATTACK","Grassroots + family acquisition",IF(Q814="GROW","Test local campaign",IF(Q814="PARTNER","Organisation-first partnership","Low priority / validate"))))</x:f>
      </x:c>
      <x:c r="S814" s="45" t="n">
        <x:v>11.802450245407178</x:v>
      </x:c>
      <x:c r="T814" t="str">
        <x:v>EXTENDED</x:v>
      </x:c>
      <x:c r="U814" s="32" t="n">
        <x:f>PERCENTRANK.INC($G$2:$G$941,G814)</x:f>
        <x:v>0.531</x:v>
      </x:c>
      <x:c r="V814" s="32" t="n">
        <x:f>PERCENTRANK.INC($H$2:$H$941,H814)</x:f>
        <x:v>0.239</x:v>
      </x:c>
      <x:c r="W814" t="n">
        <x:f>ROUND((U814*55+V814*45)*IF(S814&lt;=5,1,IF(S814&lt;=10,0.95,IF(S814&lt;=20,0.85,0.70))),0)</x:f>
        <x:v>34</x:v>
      </x:c>
      <x:c r="X814" t="n">
        <x:v>38</x:v>
      </x:c>
      <x:c r="Y814" t="str">
        <x:v>WATCH</x:v>
      </x:c>
      <x:c r="Z814" s="12" t="str">
        <x:v>Family + verified grassroots + straight-line geo only; transport not yet routed</x:v>
      </x:c>
      <x:c r="AA814" s="12"/>
      <x:c r="AB814" s="12"/>
      <x:c r="AC814" s="12"/>
      <x:c r="AD814" s="12"/>
      <x:c r="AE814" t="str">
        <x:v>Charlton Athletic Women</x:v>
      </x:c>
      <x:c r="AF814" s="45" t="n">
        <x:v>6.505317428149058</x:v>
      </x:c>
      <x:c r="AG814" t="str">
        <x:v>Millwall Lionesses</x:v>
      </x:c>
      <x:c r="AH814" s="45" t="n">
        <x:v>2.539183073600315</x:v>
      </x:c>
      <x:c r="AI814" t="n">
        <x:v>78</x:v>
      </x:c>
      <x:c r="AJ814" t="str">
        <x:v>HIGH</x:v>
      </x:c>
    </x:row>
    <x:row r="815">
      <x:c r="A815" s="12" t="str">
        <x:v>E01004024</x:v>
      </x:c>
      <x:c r="B815" s="12" t="str">
        <x:v>Southwark 011C</x:v>
      </x:c>
      <x:c r="C815" s="12" t="str">
        <x:v>Southwark</x:v>
      </x:c>
      <x:c r="D815" s="44" t="n">
        <x:v>51.49485771237306</x:v>
      </x:c>
      <x:c r="E815" s="44" t="n">
        <x:v>-0.06021037766072237</x:v>
      </x:c>
      <x:c r="F815" s="33" t="n">
        <x:v>814</x:v>
      </x:c>
      <x:c r="G815" s="33" t="n">
        <x:v>204</x:v>
      </x:c>
      <x:c r="H815" s="26" t="n">
        <x:v>0.25061425061425063</x:v>
      </x:c>
      <x:c r="I815" s="12" t="n">
        <x:v>1</x:v>
      </x:c>
      <x:c r="J815" s="12" t="n">
        <x:v>36</x:v>
      </x:c>
      <x:c r="K815" s="12"/>
      <x:c r="L815" s="12"/>
      <x:c r="M815" s="12" t="str">
        <x:f>IF(K815="", "", MAX(0,IF(K815&lt;=20,100,IF(K815&lt;=30,85,IF(K815&lt;=40,70,IF(K815&lt;=50,55,IF(K815&lt;=60,40,20)))))-MIN(L815*5,20)))</x:f>
      </x:c>
      <x:c r="N815" s="12"/>
      <x:c r="O815" s="12"/>
      <x:c r="P815" s="12" t="str">
        <x:f>IF(OR(H815="",J815="",M815=""),"",ROUND(PERCENTRANK.INC($H$2:$H$941,H815)*35+J815*0.35+M815*0.30,0))</x:f>
      </x:c>
      <x:c r="Q815" s="12" t="str">
        <x:f>IF(P815="","",IF(P815&gt;=80,"ATTACK",IF(P815&gt;=65,"GROW",IF(P815&gt;=50,"PARTNER","WATCH"))))</x:f>
      </x:c>
      <x:c r="R815" s="12" t="str">
        <x:f>IF(Q815="","",IF(Q815="ATTACK","Grassroots + family acquisition",IF(Q815="GROW","Test local campaign",IF(Q815="PARTNER","Organisation-first partnership","Low priority / validate"))))</x:f>
      </x:c>
      <x:c r="S815" s="45" t="n">
        <x:v>12.750409243792717</x:v>
      </x:c>
      <x:c r="T815" t="str">
        <x:v>EXTENDED</x:v>
      </x:c>
      <x:c r="U815" s="32" t="n">
        <x:f>PERCENTRANK.INC($G$2:$G$941,G815)</x:f>
        <x:v>0.421</x:v>
      </x:c>
      <x:c r="V815" s="32" t="n">
        <x:f>PERCENTRANK.INC($H$2:$H$941,H815)</x:f>
        <x:v>0.184</x:v>
      </x:c>
      <x:c r="W815" t="n">
        <x:f>ROUND((U815*55+V815*45)*IF(S815&lt;=5,1,IF(S815&lt;=10,0.95,IF(S815&lt;=20,0.85,0.70))),0)</x:f>
        <x:v>27</x:v>
      </x:c>
      <x:c r="X815" t="n">
        <x:v>31</x:v>
      </x:c>
      <x:c r="Y815" t="str">
        <x:v>WATCH</x:v>
      </x:c>
      <x:c r="Z815" s="12" t="str">
        <x:v>Family + verified grassroots + straight-line geo only; transport not yet routed</x:v>
      </x:c>
      <x:c r="AA815" s="12"/>
      <x:c r="AB815" s="12"/>
      <x:c r="AC815" s="12"/>
      <x:c r="AD815" s="12"/>
      <x:c r="AE815" t="str">
        <x:v>Charlton Athletic Women</x:v>
      </x:c>
      <x:c r="AF815" s="45" t="n">
        <x:v>6.737450961467234</x:v>
      </x:c>
      <x:c r="AG815" t="str">
        <x:v>Millwall Lionesses</x:v>
      </x:c>
      <x:c r="AH815" s="45" t="n">
        <x:v>1.8692647490877785</x:v>
      </x:c>
      <x:c r="AI815" t="n">
        <x:v>78</x:v>
      </x:c>
      <x:c r="AJ815" t="str">
        <x:v>HIGH</x:v>
      </x:c>
    </x:row>
    <x:row r="816">
      <x:c r="A816" s="12" t="str">
        <x:v>E01004035</x:v>
      </x:c>
      <x:c r="B816" s="12" t="str">
        <x:v>Southwark 011D</x:v>
      </x:c>
      <x:c r="C816" s="12" t="str">
        <x:v>Southwark</x:v>
      </x:c>
      <x:c r="D816" s="44" t="n">
        <x:v>51.49177059036024</x:v>
      </x:c>
      <x:c r="E816" s="44" t="n">
        <x:v>-0.05532934962484771</x:v>
      </x:c>
      <x:c r="F816" s="33" t="n">
        <x:v>591</x:v>
      </x:c>
      <x:c r="G816" s="33" t="n">
        <x:v>143</x:v>
      </x:c>
      <x:c r="H816" s="26" t="n">
        <x:v>0.24196277495769883</x:v>
      </x:c>
      <x:c r="I816" s="12" t="n">
        <x:v>2</x:v>
      </x:c>
      <x:c r="J816" s="12" t="n">
        <x:v>43</x:v>
      </x:c>
      <x:c r="K816" s="12"/>
      <x:c r="L816" s="12"/>
      <x:c r="M816" s="12" t="str">
        <x:f>IF(K816="", "", MAX(0,IF(K816&lt;=20,100,IF(K816&lt;=30,85,IF(K816&lt;=40,70,IF(K816&lt;=50,55,IF(K816&lt;=60,40,20)))))-MIN(L816*5,20)))</x:f>
      </x:c>
      <x:c r="N816" s="12"/>
      <x:c r="O816" s="12"/>
      <x:c r="P816" s="12" t="str">
        <x:f>IF(OR(H816="",J816="",M816=""),"",ROUND(PERCENTRANK.INC($H$2:$H$941,H816)*35+J816*0.35+M816*0.30,0))</x:f>
      </x:c>
      <x:c r="Q816" s="12" t="str">
        <x:f>IF(P816="","",IF(P816&gt;=80,"ATTACK",IF(P816&gt;=65,"GROW",IF(P816&gt;=50,"PARTNER","WATCH"))))</x:f>
      </x:c>
      <x:c r="R816" s="12" t="str">
        <x:f>IF(Q816="","",IF(Q816="ATTACK","Grassroots + family acquisition",IF(Q816="GROW","Test local campaign",IF(Q816="PARTNER","Organisation-first partnership","Low priority / validate"))))</x:f>
      </x:c>
      <x:c r="S816" s="45" t="n">
        <x:v>12.297290142068965</x:v>
      </x:c>
      <x:c r="T816" t="str">
        <x:v>EXTENDED</x:v>
      </x:c>
      <x:c r="U816" s="32" t="n">
        <x:f>PERCENTRANK.INC($G$2:$G$941,G816)</x:f>
        <x:v>0.073</x:v>
      </x:c>
      <x:c r="V816" s="32" t="n">
        <x:f>PERCENTRANK.INC($H$2:$H$941,H816)</x:f>
        <x:v>0.16</x:v>
      </x:c>
      <x:c r="W816" t="n">
        <x:f>ROUND((U816*55+V816*45)*IF(S816&lt;=5,1,IF(S816&lt;=10,0.95,IF(S816&lt;=20,0.85,0.70))),0)</x:f>
        <x:v>10</x:v>
      </x:c>
      <x:c r="X816" t="n">
        <x:v>25</x:v>
      </x:c>
      <x:c r="Y816" t="str">
        <x:v>WATCH</x:v>
      </x:c>
      <x:c r="Z816" s="12" t="str">
        <x:v>Family + verified grassroots + straight-line geo only; transport not yet routed</x:v>
      </x:c>
      <x:c r="AA816" s="12"/>
      <x:c r="AB816" s="12"/>
      <x:c r="AC816" s="12"/>
      <x:c r="AD816" s="12"/>
      <x:c r="AE816" t="str">
        <x:v>Charlton Athletic Women</x:v>
      </x:c>
      <x:c r="AF816" s="45" t="n">
        <x:v>6.361858825528076</x:v>
      </x:c>
      <x:c r="AG816" t="str">
        <x:v>Millwall Lionesses</x:v>
      </x:c>
      <x:c r="AH816" s="45" t="n">
        <x:v>1.9115467094574685</x:v>
      </x:c>
      <x:c r="AI816" t="n">
        <x:v>78</x:v>
      </x:c>
      <x:c r="AJ816" t="str">
        <x:v>HIGH</x:v>
      </x:c>
    </x:row>
    <x:row r="817">
      <x:c r="A817" s="12" t="str">
        <x:v>E01003960</x:v>
      </x:c>
      <x:c r="B817" s="12" t="str">
        <x:v>Southwark 012A</x:v>
      </x:c>
      <x:c r="C817" s="12" t="str">
        <x:v>Southwark</x:v>
      </x:c>
      <x:c r="D817" s="44" t="n">
        <x:v>51.49293902909932</x:v>
      </x:c>
      <x:c r="E817" s="44" t="n">
        <x:v>-0.08792143413903515</x:v>
      </x:c>
      <x:c r="F817" s="33" t="n">
        <x:v>766</x:v>
      </x:c>
      <x:c r="G817" s="33" t="n">
        <x:v>143</x:v>
      </x:c>
      <x:c r="H817" s="26" t="n">
        <x:v>0.1866840731070496</x:v>
      </x:c>
      <x:c r="I817" s="12" t="n">
        <x:v>1</x:v>
      </x:c>
      <x:c r="J817" s="12" t="n">
        <x:v>36</x:v>
      </x:c>
      <x:c r="K817" s="12"/>
      <x:c r="L817" s="12"/>
      <x:c r="M817" s="12" t="str">
        <x:f>IF(K817="", "", MAX(0,IF(K817&lt;=20,100,IF(K817&lt;=30,85,IF(K817&lt;=40,70,IF(K817&lt;=50,55,IF(K817&lt;=60,40,20)))))-MIN(L817*5,20)))</x:f>
      </x:c>
      <x:c r="N817" s="12"/>
      <x:c r="O817" s="12"/>
      <x:c r="P817" s="12" t="str">
        <x:f>IF(OR(H817="",J817="",M817=""),"",ROUND(PERCENTRANK.INC($H$2:$H$941,H817)*35+J817*0.35+M817*0.30,0))</x:f>
      </x:c>
      <x:c r="Q817" s="12" t="str">
        <x:f>IF(P817="","",IF(P817&gt;=80,"ATTACK",IF(P817&gt;=65,"GROW",IF(P817&gt;=50,"PARTNER","WATCH"))))</x:f>
      </x:c>
      <x:c r="R817" s="12" t="str">
        <x:f>IF(Q817="","",IF(Q817="ATTACK","Grassroots + family acquisition",IF(Q817="GROW","Test local campaign",IF(Q817="PARTNER","Organisation-first partnership","Low priority / validate"))))</x:f>
      </x:c>
      <x:c r="S817" s="45" t="n">
        <x:v>13.49536085711997</x:v>
      </x:c>
      <x:c r="T817" t="str">
        <x:v>EXTENDED</x:v>
      </x:c>
      <x:c r="U817" s="32" t="n">
        <x:f>PERCENTRANK.INC($G$2:$G$941,G817)</x:f>
        <x:v>0.073</x:v>
      </x:c>
      <x:c r="V817" s="32" t="n">
        <x:f>PERCENTRANK.INC($H$2:$H$941,H817)</x:f>
        <x:v>0.045</x:v>
      </x:c>
      <x:c r="W817" t="n">
        <x:f>ROUND((U817*55+V817*45)*IF(S817&lt;=5,1,IF(S817&lt;=10,0.95,IF(S817&lt;=20,0.85,0.70))),0)</x:f>
        <x:v>5</x:v>
      </x:c>
      <x:c r="X817" t="n">
        <x:v>19</x:v>
      </x:c>
      <x:c r="Y817" t="str">
        <x:v>WATCH</x:v>
      </x:c>
      <x:c r="Z817" s="12" t="str">
        <x:v>Family + verified grassroots + straight-line geo only; transport not yet routed</x:v>
      </x:c>
      <x:c r="AA817" s="12"/>
      <x:c r="AB817" s="12"/>
      <x:c r="AC817" s="12"/>
      <x:c r="AD817" s="12"/>
      <x:c r="AE817" t="str">
        <x:v>Arsenal Women</x:v>
      </x:c>
      <x:c r="AF817" s="45" t="n">
        <x:v>7.050257650094858</x:v>
      </x:c>
      <x:c r="AG817" t="str">
        <x:v>Dulwich Hamlet Women</x:v>
      </x:c>
      <x:c r="AH817" s="45" t="n">
        <x:v>3.5264607633010225</x:v>
      </x:c>
      <x:c r="AI817" t="n">
        <x:v>74</x:v>
      </x:c>
      <x:c r="AJ817" t="str">
        <x:v>MEDIUM</x:v>
      </x:c>
    </x:row>
    <x:row r="818">
      <x:c r="A818" s="12" t="str">
        <x:v>E01003961</x:v>
      </x:c>
      <x:c r="B818" s="12" t="str">
        <x:v>Southwark 012B</x:v>
      </x:c>
      <x:c r="C818" s="12" t="str">
        <x:v>Southwark</x:v>
      </x:c>
      <x:c r="D818" s="44" t="n">
        <x:v>51.491247328173685</x:v>
      </x:c>
      <x:c r="E818" s="44" t="n">
        <x:v>-0.0856011809205406</x:v>
      </x:c>
      <x:c r="F818" s="33" t="n">
        <x:v>885</x:v>
      </x:c>
      <x:c r="G818" s="33" t="n">
        <x:v>245</x:v>
      </x:c>
      <x:c r="H818" s="26" t="n">
        <x:v>0.2768361581920904</x:v>
      </x:c>
      <x:c r="I818" s="12" t="n">
        <x:v>1</x:v>
      </x:c>
      <x:c r="J818" s="12" t="n">
        <x:v>36</x:v>
      </x:c>
      <x:c r="K818" s="12"/>
      <x:c r="L818" s="12"/>
      <x:c r="M818" s="12" t="str">
        <x:f>IF(K818="", "", MAX(0,IF(K818&lt;=20,100,IF(K818&lt;=30,85,IF(K818&lt;=40,70,IF(K818&lt;=50,55,IF(K818&lt;=60,40,20)))))-MIN(L818*5,20)))</x:f>
      </x:c>
      <x:c r="N818" s="12"/>
      <x:c r="O818" s="12"/>
      <x:c r="P818" s="12" t="str">
        <x:f>IF(OR(H818="",J818="",M818=""),"",ROUND(PERCENTRANK.INC($H$2:$H$941,H818)*35+J818*0.35+M818*0.30,0))</x:f>
      </x:c>
      <x:c r="Q818" s="12" t="str">
        <x:f>IF(P818="","",IF(P818&gt;=80,"ATTACK",IF(P818&gt;=65,"GROW",IF(P818&gt;=50,"PARTNER","WATCH"))))</x:f>
      </x:c>
      <x:c r="R818" s="12" t="str">
        <x:f>IF(Q818="","",IF(Q818="ATTACK","Grassroots + family acquisition",IF(Q818="GROW","Test local campaign",IF(Q818="PARTNER","Organisation-first partnership","Low priority / validate"))))</x:f>
      </x:c>
      <x:c r="S818" s="45" t="n">
        <x:v>13.250210768756881</x:v>
      </x:c>
      <x:c r="T818" t="str">
        <x:v>EXTENDED</x:v>
      </x:c>
      <x:c r="U818" s="32" t="n">
        <x:f>PERCENTRANK.INC($G$2:$G$941,G818)</x:f>
        <x:v>0.742</x:v>
      </x:c>
      <x:c r="V818" s="32" t="n">
        <x:f>PERCENTRANK.INC($H$2:$H$941,H818)</x:f>
        <x:v>0.28</x:v>
      </x:c>
      <x:c r="W818" t="n">
        <x:f>ROUND((U818*55+V818*45)*IF(S818&lt;=5,1,IF(S818&lt;=10,0.95,IF(S818&lt;=20,0.85,0.70))),0)</x:f>
        <x:v>45</x:v>
      </x:c>
      <x:c r="X818" t="n">
        <x:v>41</x:v>
      </x:c>
      <x:c r="Y818" t="str">
        <x:v>WATCH</x:v>
      </x:c>
      <x:c r="Z818" s="12" t="str">
        <x:v>Family + verified grassroots + straight-line geo only; transport not yet routed</x:v>
      </x:c>
      <x:c r="AA818" s="12"/>
      <x:c r="AB818" s="12"/>
      <x:c r="AC818" s="12"/>
      <x:c r="AD818" s="12"/>
      <x:c r="AE818" t="str">
        <x:v>Arsenal Women</x:v>
      </x:c>
      <x:c r="AF818" s="45" t="n">
        <x:v>7.2677754855806835</x:v>
      </x:c>
      <x:c r="AG818" t="str">
        <x:v>Dulwich Hamlet Women</x:v>
      </x:c>
      <x:c r="AH818" s="45" t="n">
        <x:v>3.3296652125048842</x:v>
      </x:c>
      <x:c r="AI818" t="n">
        <x:v>74</x:v>
      </x:c>
      <x:c r="AJ818" t="str">
        <x:v>MEDIUM</x:v>
      </x:c>
    </x:row>
    <x:row r="819">
      <x:c r="A819" s="12" t="str">
        <x:v>E01003994</x:v>
      </x:c>
      <x:c r="B819" s="12" t="str">
        <x:v>Southwark 012E</x:v>
      </x:c>
      <x:c r="C819" s="12" t="str">
        <x:v>Southwark</x:v>
      </x:c>
      <x:c r="D819" s="44" t="n">
        <x:v>51.48758001350349</x:v>
      </x:c>
      <x:c r="E819" s="44" t="n">
        <x:v>-0.09848618988510048</x:v>
      </x:c>
      <x:c r="F819" s="33" t="n">
        <x:v>861</x:v>
      </x:c>
      <x:c r="G819" s="33" t="n">
        <x:v>148</x:v>
      </x:c>
      <x:c r="H819" s="26" t="n">
        <x:v>0.1718931475029036</x:v>
      </x:c>
      <x:c r="I819" s="12" t="n">
        <x:v>1</x:v>
      </x:c>
      <x:c r="J819" s="12" t="n">
        <x:v>36</x:v>
      </x:c>
      <x:c r="K819" s="12"/>
      <x:c r="L819" s="12"/>
      <x:c r="M819" s="12" t="str">
        <x:f>IF(K819="", "", MAX(0,IF(K819&lt;=20,100,IF(K819&lt;=30,85,IF(K819&lt;=40,70,IF(K819&lt;=50,55,IF(K819&lt;=60,40,20)))))-MIN(L819*5,20)))</x:f>
      </x:c>
      <x:c r="N819" s="12"/>
      <x:c r="O819" s="12"/>
      <x:c r="P819" s="12" t="str">
        <x:f>IF(OR(H819="",J819="",M819=""),"",ROUND(PERCENTRANK.INC($H$2:$H$941,H819)*35+J819*0.35+M819*0.30,0))</x:f>
      </x:c>
      <x:c r="Q819" s="12" t="str">
        <x:f>IF(P819="","",IF(P819&gt;=80,"ATTACK",IF(P819&gt;=65,"GROW",IF(P819&gt;=50,"PARTNER","WATCH"))))</x:f>
      </x:c>
      <x:c r="R819" s="12" t="str">
        <x:f>IF(Q819="","",IF(Q819="ATTACK","Grassroots + family acquisition",IF(Q819="GROW","Test local campaign",IF(Q819="PARTNER","Organisation-first partnership","Low priority / validate"))))</x:f>
      </x:c>
      <x:c r="S819" s="45" t="n">
        <x:v>13.42512367856669</x:v>
      </x:c>
      <x:c r="T819" t="str">
        <x:v>EXTENDED</x:v>
      </x:c>
      <x:c r="U819" s="32" t="n">
        <x:f>PERCENTRANK.INC($G$2:$G$941,G819)</x:f>
        <x:v>0.086</x:v>
      </x:c>
      <x:c r="V819" s="32" t="n">
        <x:f>PERCENTRANK.INC($H$2:$H$941,H819)</x:f>
        <x:v>0.035</x:v>
      </x:c>
      <x:c r="W819" t="n">
        <x:f>ROUND((U819*55+V819*45)*IF(S819&lt;=5,1,IF(S819&lt;=10,0.95,IF(S819&lt;=20,0.85,0.70))),0)</x:f>
        <x:v>5</x:v>
      </x:c>
      <x:c r="X819" t="n">
        <x:v>19</x:v>
      </x:c>
      <x:c r="Y819" t="str">
        <x:v>WATCH</x:v>
      </x:c>
      <x:c r="Z819" s="12" t="str">
        <x:v>Family + verified grassroots + straight-line geo only; transport not yet routed</x:v>
      </x:c>
      <x:c r="AA819" s="12"/>
      <x:c r="AB819" s="12"/>
      <x:c r="AC819" s="12"/>
      <x:c r="AD819" s="12"/>
      <x:c r="AE819" t="str">
        <x:v>Chelsea Women</x:v>
      </x:c>
      <x:c r="AF819" s="45" t="n">
        <x:v>6.4413623675344684</x:v>
      </x:c>
      <x:c r="AG819" t="str">
        <x:v>Dulwich Hamlet Women</x:v>
      </x:c>
      <x:c r="AH819" s="45" t="n">
        <x:v>3.0879943684725806</x:v>
      </x:c>
      <x:c r="AI819" t="n">
        <x:v>74</x:v>
      </x:c>
      <x:c r="AJ819" t="str">
        <x:v>MEDIUM</x:v>
      </x:c>
    </x:row>
    <x:row r="820">
      <x:c r="A820" s="12" t="str">
        <x:v>E01033875</x:v>
      </x:c>
      <x:c r="B820" s="12" t="str">
        <x:v>Southwark 012G</x:v>
      </x:c>
      <x:c r="C820" s="12" t="str">
        <x:v>Southwark</x:v>
      </x:c>
      <x:c r="D820" s="44" t="n">
        <x:v>51.492370020167975</x:v>
      </x:c>
      <x:c r="E820" s="44" t="n">
        <x:v>-0.09244479519280317</x:v>
      </x:c>
      <x:c r="F820" s="33" t="n">
        <x:v>640</x:v>
      </x:c>
      <x:c r="G820" s="33" t="n">
        <x:v>133</x:v>
      </x:c>
      <x:c r="H820" s="26" t="n">
        <x:v>0.2078125</x:v>
      </x:c>
      <x:c r="I820" s="12" t="n">
        <x:v>1</x:v>
      </x:c>
      <x:c r="J820" s="12" t="n">
        <x:v>36</x:v>
      </x:c>
      <x:c r="K820" s="12"/>
      <x:c r="L820" s="12"/>
      <x:c r="M820" s="12" t="str">
        <x:f>IF(K820="", "", MAX(0,IF(K820&lt;=20,100,IF(K820&lt;=30,85,IF(K820&lt;=40,70,IF(K820&lt;=50,55,IF(K820&lt;=60,40,20)))))-MIN(L820*5,20)))</x:f>
      </x:c>
      <x:c r="N820" s="12"/>
      <x:c r="O820" s="12"/>
      <x:c r="P820" s="12" t="str">
        <x:f>IF(OR(H820="",J820="",M820=""),"",ROUND(PERCENTRANK.INC($H$2:$H$941,H820)*35+J820*0.35+M820*0.30,0))</x:f>
      </x:c>
      <x:c r="Q820" s="12" t="str">
        <x:f>IF(P820="","",IF(P820&gt;=80,"ATTACK",IF(P820&gt;=65,"GROW",IF(P820&gt;=50,"PARTNER","WATCH"))))</x:f>
      </x:c>
      <x:c r="R820" s="12" t="str">
        <x:f>IF(Q820="","",IF(Q820="ATTACK","Grassroots + family acquisition",IF(Q820="GROW","Test local campaign",IF(Q820="PARTNER","Organisation-first partnership","Low priority / validate"))))</x:f>
      </x:c>
      <x:c r="S820" s="45" t="n">
        <x:v>13.615567443538893</x:v>
      </x:c>
      <x:c r="T820" t="str">
        <x:v>EXTENDED</x:v>
      </x:c>
      <x:c r="U820" s="32" t="n">
        <x:f>PERCENTRANK.INC($G$2:$G$941,G820)</x:f>
        <x:v>0.055</x:v>
      </x:c>
      <x:c r="V820" s="32" t="n">
        <x:f>PERCENTRANK.INC($H$2:$H$941,H820)</x:f>
        <x:v>0.079</x:v>
      </x:c>
      <x:c r="W820" t="n">
        <x:f>ROUND((U820*55+V820*45)*IF(S820&lt;=5,1,IF(S820&lt;=10,0.95,IF(S820&lt;=20,0.85,0.70))),0)</x:f>
        <x:v>6</x:v>
      </x:c>
      <x:c r="X820" t="n">
        <x:v>19</x:v>
      </x:c>
      <x:c r="Y820" t="str">
        <x:v>WATCH</x:v>
      </x:c>
      <x:c r="Z820" s="12" t="str">
        <x:v>Family + verified grassroots + straight-line geo only; transport not yet routed</x:v>
      </x:c>
      <x:c r="AA820" s="12"/>
      <x:c r="AB820" s="12"/>
      <x:c r="AC820" s="12"/>
      <x:c r="AD820" s="12"/>
      <x:c r="AE820" t="str">
        <x:v>Chelsea Women</x:v>
      </x:c>
      <x:c r="AF820" s="45" t="n">
        <x:v>6.928407023374454</x:v>
      </x:c>
      <x:c r="AG820" t="str">
        <x:v>Dulwich Hamlet Women</x:v>
      </x:c>
      <x:c r="AH820" s="45" t="n">
        <x:v>3.5020257451870043</x:v>
      </x:c>
      <x:c r="AI820" t="n">
        <x:v>74</x:v>
      </x:c>
      <x:c r="AJ820" t="str">
        <x:v>MEDIUM</x:v>
      </x:c>
    </x:row>
    <x:row r="821">
      <x:c r="A821" s="12" t="str">
        <x:v>E01033876</x:v>
      </x:c>
      <x:c r="B821" s="12" t="str">
        <x:v>Southwark 012H</x:v>
      </x:c>
      <x:c r="C821" s="12" t="str">
        <x:v>Southwark</x:v>
      </x:c>
      <x:c r="D821" s="44" t="n">
        <x:v>51.49173568597356</x:v>
      </x:c>
      <x:c r="E821" s="44" t="n">
        <x:v>-0.09608425284363024</x:v>
      </x:c>
      <x:c r="F821" s="33" t="n">
        <x:v>651</x:v>
      </x:c>
      <x:c r="G821" s="33" t="n">
        <x:v>72</x:v>
      </x:c>
      <x:c r="H821" s="26" t="n">
        <x:v>0.11059907834101383</x:v>
      </x:c>
      <x:c r="I821" s="12" t="n">
        <x:v>1</x:v>
      </x:c>
      <x:c r="J821" s="12" t="n">
        <x:v>36</x:v>
      </x:c>
      <x:c r="K821" s="12"/>
      <x:c r="L821" s="12"/>
      <x:c r="M821" s="12" t="str">
        <x:f>IF(K821="", "", MAX(0,IF(K821&lt;=20,100,IF(K821&lt;=30,85,IF(K821&lt;=40,70,IF(K821&lt;=50,55,IF(K821&lt;=60,40,20)))))-MIN(L821*5,20)))</x:f>
      </x:c>
      <x:c r="N821" s="12"/>
      <x:c r="O821" s="12"/>
      <x:c r="P821" s="12" t="str">
        <x:f>IF(OR(H821="",J821="",M821=""),"",ROUND(PERCENTRANK.INC($H$2:$H$941,H821)*35+J821*0.35+M821*0.30,0))</x:f>
      </x:c>
      <x:c r="Q821" s="12" t="str">
        <x:f>IF(P821="","",IF(P821&gt;=80,"ATTACK",IF(P821&gt;=65,"GROW",IF(P821&gt;=50,"PARTNER","WATCH"))))</x:f>
      </x:c>
      <x:c r="R821" s="12" t="str">
        <x:f>IF(Q821="","",IF(Q821="ATTACK","Grassroots + family acquisition",IF(Q821="GROW","Test local campaign",IF(Q821="PARTNER","Organisation-first partnership","Low priority / validate"))))</x:f>
      </x:c>
      <x:c r="S821" s="45" t="n">
        <x:v>13.700892540412067</x:v>
      </x:c>
      <x:c r="T821" t="str">
        <x:v>EXTENDED</x:v>
      </x:c>
      <x:c r="U821" s="32" t="n">
        <x:f>PERCENTRANK.INC($G$2:$G$941,G821)</x:f>
        <x:v>0.008</x:v>
      </x:c>
      <x:c r="V821" s="32" t="n">
        <x:f>PERCENTRANK.INC($H$2:$H$941,H821)</x:f>
        <x:v>0.008</x:v>
      </x:c>
      <x:c r="W821" t="n">
        <x:f>ROUND((U821*55+V821*45)*IF(S821&lt;=5,1,IF(S821&lt;=10,0.95,IF(S821&lt;=20,0.85,0.70))),0)</x:f>
        <x:v>1</x:v>
      </x:c>
      <x:c r="X821" t="n">
        <x:v>17</x:v>
      </x:c>
      <x:c r="Y821" t="str">
        <x:v>WATCH</x:v>
      </x:c>
      <x:c r="Z821" s="12" t="str">
        <x:v>Family + verified grassroots + straight-line geo only; transport not yet routed</x:v>
      </x:c>
      <x:c r="AA821" s="12"/>
      <x:c r="AB821" s="12"/>
      <x:c r="AC821" s="12"/>
      <x:c r="AD821" s="12"/>
      <x:c r="AE821" t="str">
        <x:v>Chelsea Women</x:v>
      </x:c>
      <x:c r="AF821" s="45" t="n">
        <x:v>6.668150863340734</x:v>
      </x:c>
      <x:c r="AG821" t="str">
        <x:v>Dulwich Hamlet Women</x:v>
      </x:c>
      <x:c r="AH821" s="45" t="n">
        <x:v>3.4844177043691977</x:v>
      </x:c>
      <x:c r="AI821" t="n">
        <x:v>74</x:v>
      </x:c>
      <x:c r="AJ821" t="str">
        <x:v>MEDIUM</x:v>
      </x:c>
    </x:row>
    <x:row r="822">
      <x:c r="A822" s="12" t="str">
        <x:v>E01033877</x:v>
      </x:c>
      <x:c r="B822" s="12" t="str">
        <x:v>Southwark 012I</x:v>
      </x:c>
      <x:c r="C822" s="12" t="str">
        <x:v>Southwark</x:v>
      </x:c>
      <x:c r="D822" s="44" t="n">
        <x:v>51.49022094055301</x:v>
      </x:c>
      <x:c r="E822" s="44" t="n">
        <x:v>-0.09416417422030908</x:v>
      </x:c>
      <x:c r="F822" s="33" t="n">
        <x:v>680</x:v>
      </x:c>
      <x:c r="G822" s="33" t="n">
        <x:v>134</x:v>
      </x:c>
      <x:c r="H822" s="26" t="n">
        <x:v>0.19705882352941176</x:v>
      </x:c>
      <x:c r="I822" s="12" t="n">
        <x:v>1</x:v>
      </x:c>
      <x:c r="J822" s="12" t="n">
        <x:v>36</x:v>
      </x:c>
      <x:c r="K822" s="12"/>
      <x:c r="L822" s="12"/>
      <x:c r="M822" s="12" t="str">
        <x:f>IF(K822="", "", MAX(0,IF(K822&lt;=20,100,IF(K822&lt;=30,85,IF(K822&lt;=40,70,IF(K822&lt;=50,55,IF(K822&lt;=60,40,20)))))-MIN(L822*5,20)))</x:f>
      </x:c>
      <x:c r="N822" s="12"/>
      <x:c r="O822" s="12"/>
      <x:c r="P822" s="12" t="str">
        <x:f>IF(OR(H822="",J822="",M822=""),"",ROUND(PERCENTRANK.INC($H$2:$H$941,H822)*35+J822*0.35+M822*0.30,0))</x:f>
      </x:c>
      <x:c r="Q822" s="12" t="str">
        <x:f>IF(P822="","",IF(P822&gt;=80,"ATTACK",IF(P822&gt;=65,"GROW",IF(P822&gt;=50,"PARTNER","WATCH"))))</x:f>
      </x:c>
      <x:c r="R822" s="12" t="str">
        <x:f>IF(Q822="","",IF(Q822="ATTACK","Grassroots + family acquisition",IF(Q822="GROW","Test local campaign",IF(Q822="PARTNER","Organisation-first partnership","Low priority / validate"))))</x:f>
      </x:c>
      <x:c r="S822" s="45" t="n">
        <x:v>13.48663791879688</x:v>
      </x:c>
      <x:c r="T822" t="str">
        <x:v>EXTENDED</x:v>
      </x:c>
      <x:c r="U822" s="32" t="n">
        <x:f>PERCENTRANK.INC($G$2:$G$941,G822)</x:f>
        <x:v>0.056</x:v>
      </x:c>
      <x:c r="V822" s="32" t="n">
        <x:f>PERCENTRANK.INC($H$2:$H$941,H822)</x:f>
        <x:v>0.064</x:v>
      </x:c>
      <x:c r="W822" t="n">
        <x:f>ROUND((U822*55+V822*45)*IF(S822&lt;=5,1,IF(S822&lt;=10,0.95,IF(S822&lt;=20,0.85,0.70))),0)</x:f>
        <x:v>5</x:v>
      </x:c>
      <x:c r="X822" t="n">
        <x:v>19</x:v>
      </x:c>
      <x:c r="Y822" t="str">
        <x:v>WATCH</x:v>
      </x:c>
      <x:c r="Z822" s="12" t="str">
        <x:v>Family + verified grassroots + straight-line geo only; transport not yet routed</x:v>
      </x:c>
      <x:c r="AA822" s="12"/>
      <x:c r="AB822" s="12"/>
      <x:c r="AC822" s="12"/>
      <x:c r="AD822" s="12"/>
      <x:c r="AE822" t="str">
        <x:v>Chelsea Women</x:v>
      </x:c>
      <x:c r="AF822" s="45" t="n">
        <x:v>6.773764613021942</x:v>
      </x:c>
      <x:c r="AG822" t="str">
        <x:v>Dulwich Hamlet Women</x:v>
      </x:c>
      <x:c r="AH822" s="45" t="n">
        <x:v>3.2901347163557575</x:v>
      </x:c>
      <x:c r="AI822" t="n">
        <x:v>74</x:v>
      </x:c>
      <x:c r="AJ822" t="str">
        <x:v>MEDIUM</x:v>
      </x:c>
    </x:row>
    <x:row r="823">
      <x:c r="A823" s="12" t="str">
        <x:v>E01003980</x:v>
      </x:c>
      <x:c r="B823" s="12" t="str">
        <x:v>Southwark 013A</x:v>
      </x:c>
      <x:c r="C823" s="12" t="str">
        <x:v>Southwark</x:v>
      </x:c>
      <x:c r="D823" s="44" t="n">
        <x:v>51.49166232469536</x:v>
      </x:c>
      <x:c r="E823" s="44" t="n">
        <x:v>-0.07931628202184009</x:v>
      </x:c>
      <x:c r="F823" s="33" t="n">
        <x:v>887</x:v>
      </x:c>
      <x:c r="G823" s="33" t="n">
        <x:v>177</x:v>
      </x:c>
      <x:c r="H823" s="26" t="n">
        <x:v>0.1995490417136415</x:v>
      </x:c>
      <x:c r="I823" s="12" t="n">
        <x:v>1</x:v>
      </x:c>
      <x:c r="J823" s="12" t="n">
        <x:v>36</x:v>
      </x:c>
      <x:c r="K823" s="12"/>
      <x:c r="L823" s="12"/>
      <x:c r="M823" s="12" t="str">
        <x:f>IF(K823="", "", MAX(0,IF(K823&lt;=20,100,IF(K823&lt;=30,85,IF(K823&lt;=40,70,IF(K823&lt;=50,55,IF(K823&lt;=60,40,20)))))-MIN(L823*5,20)))</x:f>
      </x:c>
      <x:c r="N823" s="12"/>
      <x:c r="O823" s="12"/>
      <x:c r="P823" s="12" t="str">
        <x:f>IF(OR(H823="",J823="",M823=""),"",ROUND(PERCENTRANK.INC($H$2:$H$941,H823)*35+J823*0.35+M823*0.30,0))</x:f>
      </x:c>
      <x:c r="Q823" s="12" t="str">
        <x:f>IF(P823="","",IF(P823&gt;=80,"ATTACK",IF(P823&gt;=65,"GROW",IF(P823&gt;=50,"PARTNER","WATCH"))))</x:f>
      </x:c>
      <x:c r="R823" s="12" t="str">
        <x:f>IF(Q823="","",IF(Q823="ATTACK","Grassroots + family acquisition",IF(Q823="GROW","Test local campaign",IF(Q823="PARTNER","Organisation-first partnership","Low priority / validate"))))</x:f>
      </x:c>
      <x:c r="S823" s="45" t="n">
        <x:v>13.0594866351427</x:v>
      </x:c>
      <x:c r="T823" t="str">
        <x:v>EXTENDED</x:v>
      </x:c>
      <x:c r="U823" s="32" t="n">
        <x:f>PERCENTRANK.INC($G$2:$G$941,G823)</x:f>
        <x:v>0.202</x:v>
      </x:c>
      <x:c r="V823" s="32" t="n">
        <x:f>PERCENTRANK.INC($H$2:$H$941,H823)</x:f>
        <x:v>0.067</x:v>
      </x:c>
      <x:c r="W823" t="n">
        <x:f>ROUND((U823*55+V823*45)*IF(S823&lt;=5,1,IF(S823&lt;=10,0.95,IF(S823&lt;=20,0.85,0.70))),0)</x:f>
        <x:v>12</x:v>
      </x:c>
      <x:c r="X823" t="n">
        <x:v>23</x:v>
      </x:c>
      <x:c r="Y823" t="str">
        <x:v>WATCH</x:v>
      </x:c>
      <x:c r="Z823" s="12" t="str">
        <x:v>Family + verified grassroots + straight-line geo only; transport not yet routed</x:v>
      </x:c>
      <x:c r="AA823" s="12"/>
      <x:c r="AB823" s="12"/>
      <x:c r="AC823" s="12"/>
      <x:c r="AD823" s="12"/>
      <x:c r="AE823" t="str">
        <x:v>Arsenal Women</x:v>
      </x:c>
      <x:c r="AF823" s="45" t="n">
        <x:v>7.329985864668508</x:v>
      </x:c>
      <x:c r="AG823" t="str">
        <x:v>Millwall Lionesses</x:v>
      </x:c>
      <x:c r="AH823" s="45" t="n">
        <x:v>3.1500792679725103</x:v>
      </x:c>
      <x:c r="AI823" t="n">
        <x:v>74</x:v>
      </x:c>
      <x:c r="AJ823" t="str">
        <x:v>MEDIUM</x:v>
      </x:c>
    </x:row>
    <x:row r="824">
      <x:c r="A824" s="12" t="str">
        <x:v>E01004039</x:v>
      </x:c>
      <x:c r="B824" s="12" t="str">
        <x:v>Southwark 013B</x:v>
      </x:c>
      <x:c r="C824" s="12" t="str">
        <x:v>Southwark</x:v>
      </x:c>
      <x:c r="D824" s="44" t="n">
        <x:v>51.489222988731086</x:v>
      </x:c>
      <x:c r="E824" s="44" t="n">
        <x:v>-0.07285739823353836</x:v>
      </x:c>
      <x:c r="F824" s="33" t="n">
        <x:v>636</x:v>
      </x:c>
      <x:c r="G824" s="33" t="n">
        <x:v>158</x:v>
      </x:c>
      <x:c r="H824" s="26" t="n">
        <x:v>0.24842767295597484</x:v>
      </x:c>
      <x:c r="I824" s="12" t="n">
        <x:v>1</x:v>
      </x:c>
      <x:c r="J824" s="12" t="n">
        <x:v>36</x:v>
      </x:c>
      <x:c r="K824" s="12"/>
      <x:c r="L824" s="12"/>
      <x:c r="M824" s="12" t="str">
        <x:f>IF(K824="", "", MAX(0,IF(K824&lt;=20,100,IF(K824&lt;=30,85,IF(K824&lt;=40,70,IF(K824&lt;=50,55,IF(K824&lt;=60,40,20)))))-MIN(L824*5,20)))</x:f>
      </x:c>
      <x:c r="N824" s="12"/>
      <x:c r="O824" s="12"/>
      <x:c r="P824" s="12" t="str">
        <x:f>IF(OR(H824="",J824="",M824=""),"",ROUND(PERCENTRANK.INC($H$2:$H$941,H824)*35+J824*0.35+M824*0.30,0))</x:f>
      </x:c>
      <x:c r="Q824" s="12" t="str">
        <x:f>IF(P824="","",IF(P824&gt;=80,"ATTACK",IF(P824&gt;=65,"GROW",IF(P824&gt;=50,"PARTNER","WATCH"))))</x:f>
      </x:c>
      <x:c r="R824" s="12" t="str">
        <x:f>IF(Q824="","",IF(Q824="ATTACK","Grassroots + family acquisition",IF(Q824="GROW","Test local campaign",IF(Q824="PARTNER","Organisation-first partnership","Low priority / validate"))))</x:f>
      </x:c>
      <x:c r="S824" s="45" t="n">
        <x:v>12.598899456274086</x:v>
      </x:c>
      <x:c r="T824" t="str">
        <x:v>EXTENDED</x:v>
      </x:c>
      <x:c r="U824" s="32" t="n">
        <x:f>PERCENTRANK.INC($G$2:$G$941,G824)</x:f>
        <x:v>0.118</x:v>
      </x:c>
      <x:c r="V824" s="32" t="n">
        <x:f>PERCENTRANK.INC($H$2:$H$941,H824)</x:f>
        <x:v>0.176</x:v>
      </x:c>
      <x:c r="W824" t="n">
        <x:f>ROUND((U824*55+V824*45)*IF(S824&lt;=5,1,IF(S824&lt;=10,0.95,IF(S824&lt;=20,0.85,0.70))),0)</x:f>
        <x:v>12</x:v>
      </x:c>
      <x:c r="X824" t="n">
        <x:v>23</x:v>
      </x:c>
      <x:c r="Y824" t="str">
        <x:v>WATCH</x:v>
      </x:c>
      <x:c r="Z824" s="12" t="str">
        <x:v>Family + verified grassroots + straight-line geo only; transport not yet routed</x:v>
      </x:c>
      <x:c r="AA824" s="12"/>
      <x:c r="AB824" s="12"/>
      <x:c r="AC824" s="12"/>
      <x:c r="AD824" s="12"/>
      <x:c r="AE824" t="str">
        <x:v>Charlton Athletic Women</x:v>
      </x:c>
      <x:c r="AF824" s="45" t="n">
        <x:v>7.55409554515417</x:v>
      </x:c>
      <x:c r="AG824" t="str">
        <x:v>Millwall Lionesses</x:v>
      </x:c>
      <x:c r="AH824" s="45" t="n">
        <x:v>2.941304555520836</x:v>
      </x:c>
      <x:c r="AI824" t="n">
        <x:v>78</x:v>
      </x:c>
      <x:c r="AJ824" t="str">
        <x:v>HIGH</x:v>
      </x:c>
    </x:row>
    <x:row r="825">
      <x:c r="A825" s="12" t="str">
        <x:v>E01004040</x:v>
      </x:c>
      <x:c r="B825" s="12" t="str">
        <x:v>Southwark 013C</x:v>
      </x:c>
      <x:c r="C825" s="12" t="str">
        <x:v>Southwark</x:v>
      </x:c>
      <x:c r="D825" s="44" t="n">
        <x:v>51.487154692201344</x:v>
      </x:c>
      <x:c r="E825" s="44" t="n">
        <x:v>-0.07202099654009868</x:v>
      </x:c>
      <x:c r="F825" s="33" t="n">
        <x:v>779</x:v>
      </x:c>
      <x:c r="G825" s="33" t="n">
        <x:v>277</x:v>
      </x:c>
      <x:c r="H825" s="26" t="n">
        <x:v>0.355584082156611</x:v>
      </x:c>
      <x:c r="I825" s="12" t="n">
        <x:v>1</x:v>
      </x:c>
      <x:c r="J825" s="12" t="n">
        <x:v>36</x:v>
      </x:c>
      <x:c r="K825" s="12"/>
      <x:c r="L825" s="12"/>
      <x:c r="M825" s="12" t="str">
        <x:f>IF(K825="", "", MAX(0,IF(K825&lt;=20,100,IF(K825&lt;=30,85,IF(K825&lt;=40,70,IF(K825&lt;=50,55,IF(K825&lt;=60,40,20)))))-MIN(L825*5,20)))</x:f>
      </x:c>
      <x:c r="N825" s="12"/>
      <x:c r="O825" s="12"/>
      <x:c r="P825" s="12" t="str">
        <x:f>IF(OR(H825="",J825="",M825=""),"",ROUND(PERCENTRANK.INC($H$2:$H$941,H825)*35+J825*0.35+M825*0.30,0))</x:f>
      </x:c>
      <x:c r="Q825" s="12" t="str">
        <x:f>IF(P825="","",IF(P825&gt;=80,"ATTACK",IF(P825&gt;=65,"GROW",IF(P825&gt;=50,"PARTNER","WATCH"))))</x:f>
      </x:c>
      <x:c r="R825" s="12" t="str">
        <x:f>IF(Q825="","",IF(Q825="ATTACK","Grassroots + family acquisition",IF(Q825="GROW","Test local campaign",IF(Q825="PARTNER","Organisation-first partnership","Low priority / validate"))))</x:f>
      </x:c>
      <x:c r="S825" s="45" t="n">
        <x:v>12.370848514700896</x:v>
      </x:c>
      <x:c r="T825" t="str">
        <x:v>EXTENDED</x:v>
      </x:c>
      <x:c r="U825" s="32" t="n">
        <x:f>PERCENTRANK.INC($G$2:$G$941,G825)</x:f>
        <x:v>0.887</x:v>
      </x:c>
      <x:c r="V825" s="32" t="n">
        <x:f>PERCENTRANK.INC($H$2:$H$941,H825)</x:f>
        <x:v>0.716</x:v>
      </x:c>
      <x:c r="W825" t="n">
        <x:f>ROUND((U825*55+V825*45)*IF(S825&lt;=5,1,IF(S825&lt;=10,0.95,IF(S825&lt;=20,0.85,0.70))),0)</x:f>
        <x:v>69</x:v>
      </x:c>
      <x:c r="X825" t="n">
        <x:v>54</x:v>
      </x:c>
      <x:c r="Y825" t="str">
        <x:v>PARTNER</x:v>
      </x:c>
      <x:c r="Z825" s="12" t="str">
        <x:v>Family + verified grassroots + straight-line geo only; transport not yet routed</x:v>
      </x:c>
      <x:c r="AA825" s="12"/>
      <x:c r="AB825" s="12"/>
      <x:c r="AC825" s="12"/>
      <x:c r="AD825" s="12"/>
      <x:c r="AE825" t="str">
        <x:v>Charlton Athletic Women</x:v>
      </x:c>
      <x:c r="AF825" s="45" t="n">
        <x:v>7.490299103238593</x:v>
      </x:c>
      <x:c r="AG825" t="str">
        <x:v>Dulwich Hamlet Women</x:v>
      </x:c>
      <x:c r="AH825" s="45" t="n">
        <x:v>2.989714726412874</x:v>
      </x:c>
      <x:c r="AI825" t="n">
        <x:v>78</x:v>
      </x:c>
      <x:c r="AJ825" t="str">
        <x:v>HIGH</x:v>
      </x:c>
    </x:row>
    <x:row r="826">
      <x:c r="A826" s="12" t="str">
        <x:v>E01004041</x:v>
      </x:c>
      <x:c r="B826" s="12" t="str">
        <x:v>Southwark 013D</x:v>
      </x:c>
      <x:c r="C826" s="12" t="str">
        <x:v>Southwark</x:v>
      </x:c>
      <x:c r="D826" s="44" t="n">
        <x:v>51.48759421402014</x:v>
      </x:c>
      <x:c r="E826" s="44" t="n">
        <x:v>-0.06936310562111929</x:v>
      </x:c>
      <x:c r="F826" s="33" t="n">
        <x:v>694</x:v>
      </x:c>
      <x:c r="G826" s="33" t="n">
        <x:v>199</x:v>
      </x:c>
      <x:c r="H826" s="26" t="n">
        <x:v>0.28674351585014407</x:v>
      </x:c>
      <x:c r="I826" s="12" t="n">
        <x:v>2</x:v>
      </x:c>
      <x:c r="J826" s="12" t="n">
        <x:v>43</x:v>
      </x:c>
      <x:c r="K826" s="12"/>
      <x:c r="L826" s="12"/>
      <x:c r="M826" s="12" t="str">
        <x:f>IF(K826="", "", MAX(0,IF(K826&lt;=20,100,IF(K826&lt;=30,85,IF(K826&lt;=40,70,IF(K826&lt;=50,55,IF(K826&lt;=60,40,20)))))-MIN(L826*5,20)))</x:f>
      </x:c>
      <x:c r="N826" s="12"/>
      <x:c r="O826" s="12"/>
      <x:c r="P826" s="12" t="str">
        <x:f>IF(OR(H826="",J826="",M826=""),"",ROUND(PERCENTRANK.INC($H$2:$H$941,H826)*35+J826*0.35+M826*0.30,0))</x:f>
      </x:c>
      <x:c r="Q826" s="12" t="str">
        <x:f>IF(P826="","",IF(P826&gt;=80,"ATTACK",IF(P826&gt;=65,"GROW",IF(P826&gt;=50,"PARTNER","WATCH"))))</x:f>
      </x:c>
      <x:c r="R826" s="12" t="str">
        <x:f>IF(Q826="","",IF(Q826="ATTACK","Grassroots + family acquisition",IF(Q826="GROW","Test local campaign",IF(Q826="PARTNER","Organisation-first partnership","Low priority / validate"))))</x:f>
      </x:c>
      <x:c r="S826" s="45" t="n">
        <x:v>12.321831350893829</x:v>
      </x:c>
      <x:c r="T826" t="str">
        <x:v>EXTENDED</x:v>
      </x:c>
      <x:c r="U826" s="32" t="n">
        <x:f>PERCENTRANK.INC($G$2:$G$941,G826)</x:f>
        <x:v>0.376</x:v>
      </x:c>
      <x:c r="V826" s="32" t="n">
        <x:f>PERCENTRANK.INC($H$2:$H$941,H826)</x:f>
        <x:v>0.326</x:v>
      </x:c>
      <x:c r="W826" t="n">
        <x:f>ROUND((U826*55+V826*45)*IF(S826&lt;=5,1,IF(S826&lt;=10,0.95,IF(S826&lt;=20,0.85,0.70))),0)</x:f>
        <x:v>30</x:v>
      </x:c>
      <x:c r="X826" t="n">
        <x:v>36</x:v>
      </x:c>
      <x:c r="Y826" t="str">
        <x:v>WATCH</x:v>
      </x:c>
      <x:c r="Z826" s="12" t="str">
        <x:v>Family + verified grassroots + straight-line geo only; transport not yet routed</x:v>
      </x:c>
      <x:c r="AA826" s="12"/>
      <x:c r="AB826" s="12"/>
      <x:c r="AC826" s="12"/>
      <x:c r="AD826" s="12"/>
      <x:c r="AE826" t="str">
        <x:v>Charlton Athletic Women</x:v>
      </x:c>
      <x:c r="AF826" s="45" t="n">
        <x:v>7.306966464139243</x:v>
      </x:c>
      <x:c r="AG826" t="str">
        <x:v>Millwall Lionesses</x:v>
      </x:c>
      <x:c r="AH826" s="45" t="n">
        <x:v>2.886505234219757</x:v>
      </x:c>
      <x:c r="AI826" t="n">
        <x:v>78</x:v>
      </x:c>
      <x:c r="AJ826" t="str">
        <x:v>HIGH</x:v>
      </x:c>
    </x:row>
    <x:row r="827">
      <x:c r="A827" s="12" t="str">
        <x:v>E01004044</x:v>
      </x:c>
      <x:c r="B827" s="12" t="str">
        <x:v>Southwark 013E</x:v>
      </x:c>
      <x:c r="C827" s="12" t="str">
        <x:v>Southwark</x:v>
      </x:c>
      <x:c r="D827" s="44" t="n">
        <x:v>51.49143689751396</x:v>
      </x:c>
      <x:c r="E827" s="44" t="n">
        <x:v>-0.07306874887482942</x:v>
      </x:c>
      <x:c r="F827" s="33" t="n">
        <x:v>563</x:v>
      </x:c>
      <x:c r="G827" s="33" t="n">
        <x:v>173</x:v>
      </x:c>
      <x:c r="H827" s="26" t="n">
        <x:v>0.30728241563055064</x:v>
      </x:c>
      <x:c r="I827" s="12" t="n">
        <x:v>1</x:v>
      </x:c>
      <x:c r="J827" s="12" t="n">
        <x:v>36</x:v>
      </x:c>
      <x:c r="K827" s="12"/>
      <x:c r="L827" s="12"/>
      <x:c r="M827" s="12" t="str">
        <x:f>IF(K827="", "", MAX(0,IF(K827&lt;=20,100,IF(K827&lt;=30,85,IF(K827&lt;=40,70,IF(K827&lt;=50,55,IF(K827&lt;=60,40,20)))))-MIN(L827*5,20)))</x:f>
      </x:c>
      <x:c r="N827" s="12"/>
      <x:c r="O827" s="12"/>
      <x:c r="P827" s="12" t="str">
        <x:f>IF(OR(H827="",J827="",M827=""),"",ROUND(PERCENTRANK.INC($H$2:$H$941,H827)*35+J827*0.35+M827*0.30,0))</x:f>
      </x:c>
      <x:c r="Q827" s="12" t="str">
        <x:f>IF(P827="","",IF(P827&gt;=80,"ATTACK",IF(P827&gt;=65,"GROW",IF(P827&gt;=50,"PARTNER","WATCH"))))</x:f>
      </x:c>
      <x:c r="R827" s="12" t="str">
        <x:f>IF(Q827="","",IF(Q827="ATTACK","Grassroots + family acquisition",IF(Q827="GROW","Test local campaign",IF(Q827="PARTNER","Organisation-first partnership","Low priority / validate"))))</x:f>
      </x:c>
      <x:c r="S827" s="45" t="n">
        <x:v>12.820037982608035</x:v>
      </x:c>
      <x:c r="T827" t="str">
        <x:v>EXTENDED</x:v>
      </x:c>
      <x:c r="U827" s="32" t="n">
        <x:f>PERCENTRANK.INC($G$2:$G$941,G827)</x:f>
        <x:v>0.185</x:v>
      </x:c>
      <x:c r="V827" s="32" t="n">
        <x:f>PERCENTRANK.INC($H$2:$H$941,H827)</x:f>
        <x:v>0.431</x:v>
      </x:c>
      <x:c r="W827" t="n">
        <x:f>ROUND((U827*55+V827*45)*IF(S827&lt;=5,1,IF(S827&lt;=10,0.95,IF(S827&lt;=20,0.85,0.70))),0)</x:f>
        <x:v>25</x:v>
      </x:c>
      <x:c r="X827" t="n">
        <x:v>30</x:v>
      </x:c>
      <x:c r="Y827" t="str">
        <x:v>WATCH</x:v>
      </x:c>
      <x:c r="Z827" s="12" t="str">
        <x:v>Family + verified grassroots + straight-line geo only; transport not yet routed</x:v>
      </x:c>
      <x:c r="AA827" s="12"/>
      <x:c r="AB827" s="12"/>
      <x:c r="AC827" s="12"/>
      <x:c r="AD827" s="12"/>
      <x:c r="AE827" t="str">
        <x:v>Arsenal Women</x:v>
      </x:c>
      <x:c r="AF827" s="45" t="n">
        <x:v>7.483915375817148</x:v>
      </x:c>
      <x:c r="AG827" t="str">
        <x:v>Millwall Lionesses</x:v>
      </x:c>
      <x:c r="AH827" s="45" t="n">
        <x:v>2.8019092879315695</x:v>
      </x:c>
      <x:c r="AI827" t="n">
        <x:v>78</x:v>
      </x:c>
      <x:c r="AJ827" t="str">
        <x:v>HIGH</x:v>
      </x:c>
    </x:row>
    <x:row r="828">
      <x:c r="A828" s="12" t="str">
        <x:v>E01003992</x:v>
      </x:c>
      <x:c r="B828" s="12" t="str">
        <x:v>Southwark 014A</x:v>
      </x:c>
      <x:c r="C828" s="12" t="str">
        <x:v>Southwark</x:v>
      </x:c>
      <x:c r="D828" s="44" t="n">
        <x:v>51.483749483523916</x:v>
      </x:c>
      <x:c r="E828" s="44" t="n">
        <x:v>-0.10470086020174306</x:v>
      </x:c>
      <x:c r="F828" s="33" t="n">
        <x:v>648</x:v>
      </x:c>
      <x:c r="G828" s="33" t="n">
        <x:v>199</x:v>
      </x:c>
      <x:c r="H828" s="26" t="n">
        <x:v>0.30709876543209874</x:v>
      </x:c>
      <x:c r="I828" s="12" t="n">
        <x:v>1</x:v>
      </x:c>
      <x:c r="J828" s="12" t="n">
        <x:v>36</x:v>
      </x:c>
      <x:c r="K828" s="12"/>
      <x:c r="L828" s="12"/>
      <x:c r="M828" s="12" t="str">
        <x:f>IF(K828="", "", MAX(0,IF(K828&lt;=20,100,IF(K828&lt;=30,85,IF(K828&lt;=40,70,IF(K828&lt;=50,55,IF(K828&lt;=60,40,20)))))-MIN(L828*5,20)))</x:f>
      </x:c>
      <x:c r="N828" s="12"/>
      <x:c r="O828" s="12"/>
      <x:c r="P828" s="12" t="str">
        <x:f>IF(OR(H828="",J828="",M828=""),"",ROUND(PERCENTRANK.INC($H$2:$H$941,H828)*35+J828*0.35+M828*0.30,0))</x:f>
      </x:c>
      <x:c r="Q828" s="12" t="str">
        <x:f>IF(P828="","",IF(P828&gt;=80,"ATTACK",IF(P828&gt;=65,"GROW",IF(P828&gt;=50,"PARTNER","WATCH"))))</x:f>
      </x:c>
      <x:c r="R828" s="12" t="str">
        <x:f>IF(Q828="","",IF(Q828="ATTACK","Grassroots + family acquisition",IF(Q828="GROW","Test local campaign",IF(Q828="PARTNER","Organisation-first partnership","Low priority / validate"))))</x:f>
      </x:c>
      <x:c r="S828" s="45" t="n">
        <x:v>13.35647780734751</x:v>
      </x:c>
      <x:c r="T828" t="str">
        <x:v>EXTENDED</x:v>
      </x:c>
      <x:c r="U828" s="32" t="n">
        <x:f>PERCENTRANK.INC($G$2:$G$941,G828)</x:f>
        <x:v>0.376</x:v>
      </x:c>
      <x:c r="V828" s="32" t="n">
        <x:f>PERCENTRANK.INC($H$2:$H$941,H828)</x:f>
        <x:v>0.429</x:v>
      </x:c>
      <x:c r="W828" t="n">
        <x:f>ROUND((U828*55+V828*45)*IF(S828&lt;=5,1,IF(S828&lt;=10,0.95,IF(S828&lt;=20,0.85,0.70))),0)</x:f>
        <x:v>34</x:v>
      </x:c>
      <x:c r="X828" t="n">
        <x:v>35</x:v>
      </x:c>
      <x:c r="Y828" t="str">
        <x:v>WATCH</x:v>
      </x:c>
      <x:c r="Z828" s="12" t="str">
        <x:v>Family + verified grassroots + straight-line geo only; transport not yet routed</x:v>
      </x:c>
      <x:c r="AA828" s="12"/>
      <x:c r="AB828" s="12"/>
      <x:c r="AC828" s="12"/>
      <x:c r="AD828" s="12"/>
      <x:c r="AE828" t="str">
        <x:v>Chelsea Women</x:v>
      </x:c>
      <x:c r="AF828" s="45" t="n">
        <x:v>5.982358574108725</x:v>
      </x:c>
      <x:c r="AG828" t="str">
        <x:v>Dulwich Hamlet Women</x:v>
      </x:c>
      <x:c r="AH828" s="45" t="n">
        <x:v>2.8774989744764103</x:v>
      </x:c>
      <x:c r="AI828" t="n">
        <x:v>89</x:v>
      </x:c>
      <x:c r="AJ828" t="str">
        <x:v>HIGH</x:v>
      </x:c>
    </x:row>
    <x:row r="829">
      <x:c r="A829" s="12" t="str">
        <x:v>E01003995</x:v>
      </x:c>
      <x:c r="B829" s="12" t="str">
        <x:v>Southwark 014B</x:v>
      </x:c>
      <x:c r="C829" s="12" t="str">
        <x:v>Southwark</x:v>
      </x:c>
      <x:c r="D829" s="44" t="n">
        <x:v>51.489320370627176</x:v>
      </x:c>
      <x:c r="E829" s="44" t="n">
        <x:v>-0.10219568503207853</x:v>
      </x:c>
      <x:c r="F829" s="33" t="n">
        <x:v>738</x:v>
      </x:c>
      <x:c r="G829" s="33" t="n">
        <x:v>140</x:v>
      </x:c>
      <x:c r="H829" s="26" t="n">
        <x:v>0.1897018970189702</x:v>
      </x:c>
      <x:c r="I829" s="12" t="n">
        <x:v>1</x:v>
      </x:c>
      <x:c r="J829" s="12" t="n">
        <x:v>36</x:v>
      </x:c>
      <x:c r="K829" s="12"/>
      <x:c r="L829" s="12"/>
      <x:c r="M829" s="12" t="str">
        <x:f>IF(K829="", "", MAX(0,IF(K829&lt;=20,100,IF(K829&lt;=30,85,IF(K829&lt;=40,70,IF(K829&lt;=50,55,IF(K829&lt;=60,40,20)))))-MIN(L829*5,20)))</x:f>
      </x:c>
      <x:c r="N829" s="12"/>
      <x:c r="O829" s="12"/>
      <x:c r="P829" s="12" t="str">
        <x:f>IF(OR(H829="",J829="",M829=""),"",ROUND(PERCENTRANK.INC($H$2:$H$941,H829)*35+J829*0.35+M829*0.30,0))</x:f>
      </x:c>
      <x:c r="Q829" s="12" t="str">
        <x:f>IF(P829="","",IF(P829&gt;=80,"ATTACK",IF(P829&gt;=65,"GROW",IF(P829&gt;=50,"PARTNER","WATCH"))))</x:f>
      </x:c>
      <x:c r="R829" s="12" t="str">
        <x:f>IF(Q829="","",IF(Q829="ATTACK","Grassroots + family acquisition",IF(Q829="GROW","Test local campaign",IF(Q829="PARTNER","Organisation-first partnership","Low priority / validate"))))</x:f>
      </x:c>
      <x:c r="S829" s="45" t="n">
        <x:v>13.734394408069466</x:v>
      </x:c>
      <x:c r="T829" t="str">
        <x:v>EXTENDED</x:v>
      </x:c>
      <x:c r="U829" s="32" t="n">
        <x:f>PERCENTRANK.INC($G$2:$G$941,G829)</x:f>
        <x:v>0.066</x:v>
      </x:c>
      <x:c r="V829" s="32" t="n">
        <x:f>PERCENTRANK.INC($H$2:$H$941,H829)</x:f>
        <x:v>0.052</x:v>
      </x:c>
      <x:c r="W829" t="n">
        <x:f>ROUND((U829*55+V829*45)*IF(S829&lt;=5,1,IF(S829&lt;=10,0.95,IF(S829&lt;=20,0.85,0.70))),0)</x:f>
        <x:v>5</x:v>
      </x:c>
      <x:c r="X829" t="n">
        <x:v>19</x:v>
      </x:c>
      <x:c r="Y829" t="str">
        <x:v>WATCH</x:v>
      </x:c>
      <x:c r="Z829" s="12" t="str">
        <x:v>Family + verified grassroots + straight-line geo only; transport not yet routed</x:v>
      </x:c>
      <x:c r="AA829" s="12"/>
      <x:c r="AB829" s="12"/>
      <x:c r="AC829" s="12"/>
      <x:c r="AD829" s="12"/>
      <x:c r="AE829" t="str">
        <x:v>Chelsea Women</x:v>
      </x:c>
      <x:c r="AF829" s="45" t="n">
        <x:v>6.2092048483050535</x:v>
      </x:c>
      <x:c r="AG829" t="str">
        <x:v>Dulwich Hamlet Women</x:v>
      </x:c>
      <x:c r="AH829" s="45" t="n">
        <x:v>3.359389005463261</x:v>
      </x:c>
      <x:c r="AI829" t="n">
        <x:v>74</x:v>
      </x:c>
      <x:c r="AJ829" t="str">
        <x:v>MEDIUM</x:v>
      </x:c>
    </x:row>
    <x:row r="830">
      <x:c r="A830" s="12" t="str">
        <x:v>E01003998</x:v>
      </x:c>
      <x:c r="B830" s="12" t="str">
        <x:v>Southwark 014D</x:v>
      </x:c>
      <x:c r="C830" s="12" t="str">
        <x:v>Southwark</x:v>
      </x:c>
      <x:c r="D830" s="44" t="n">
        <x:v>51.48731079790851</x:v>
      </x:c>
      <x:c r="E830" s="44" t="n">
        <x:v>-0.10554875152329336</x:v>
      </x:c>
      <x:c r="F830" s="33" t="n">
        <x:v>657</x:v>
      </x:c>
      <x:c r="G830" s="33" t="n">
        <x:v>125</x:v>
      </x:c>
      <x:c r="H830" s="26" t="n">
        <x:v>0.1902587519025875</x:v>
      </x:c>
      <x:c r="I830" s="12" t="n">
        <x:v>1</x:v>
      </x:c>
      <x:c r="J830" s="12" t="n">
        <x:v>29</x:v>
      </x:c>
      <x:c r="K830" s="12"/>
      <x:c r="L830" s="12"/>
      <x:c r="M830" s="12" t="str">
        <x:f>IF(K830="", "", MAX(0,IF(K830&lt;=20,100,IF(K830&lt;=30,85,IF(K830&lt;=40,70,IF(K830&lt;=50,55,IF(K830&lt;=60,40,20)))))-MIN(L830*5,20)))</x:f>
      </x:c>
      <x:c r="N830" s="12"/>
      <x:c r="O830" s="12"/>
      <x:c r="P830" s="12" t="str">
        <x:f>IF(OR(H830="",J830="",M830=""),"",ROUND(PERCENTRANK.INC($H$2:$H$941,H830)*35+J830*0.35+M830*0.30,0))</x:f>
      </x:c>
      <x:c r="Q830" s="12" t="str">
        <x:f>IF(P830="","",IF(P830&gt;=80,"ATTACK",IF(P830&gt;=65,"GROW",IF(P830&gt;=50,"PARTNER","WATCH"))))</x:f>
      </x:c>
      <x:c r="R830" s="12" t="str">
        <x:f>IF(Q830="","",IF(Q830="ATTACK","Grassroots + family acquisition",IF(Q830="GROW","Test local campaign",IF(Q830="PARTNER","Organisation-first partnership","Low priority / validate"))))</x:f>
      </x:c>
      <x:c r="S830" s="45" t="n">
        <x:v>13.700984522298253</x:v>
      </x:c>
      <x:c r="T830" t="str">
        <x:v>EXTENDED</x:v>
      </x:c>
      <x:c r="U830" s="32" t="n">
        <x:f>PERCENTRANK.INC($G$2:$G$941,G830)</x:f>
        <x:v>0.04</x:v>
      </x:c>
      <x:c r="V830" s="32" t="n">
        <x:f>PERCENTRANK.INC($H$2:$H$941,H830)</x:f>
        <x:v>0.054</x:v>
      </x:c>
      <x:c r="W830" t="n">
        <x:f>ROUND((U830*55+V830*45)*IF(S830&lt;=5,1,IF(S830&lt;=10,0.95,IF(S830&lt;=20,0.85,0.70))),0)</x:f>
        <x:v>4</x:v>
      </x:c>
      <x:c r="X830" t="n">
        <x:v>15</x:v>
      </x:c>
      <x:c r="Y830" t="str">
        <x:v>WATCH</x:v>
      </x:c>
      <x:c r="Z830" s="12" t="str">
        <x:v>Family + verified grassroots + straight-line geo only; transport not yet routed</x:v>
      </x:c>
      <x:c r="AA830" s="12"/>
      <x:c r="AB830" s="12"/>
      <x:c r="AC830" s="12"/>
      <x:c r="AD830" s="12"/>
      <x:c r="AE830" t="str">
        <x:v>Chelsea Women</x:v>
      </x:c>
      <x:c r="AF830" s="45" t="n">
        <x:v>5.9518609843478245</x:v>
      </x:c>
      <x:c r="AG830" t="str">
        <x:v>Dulwich Hamlet Women</x:v>
      </x:c>
      <x:c r="AH830" s="45" t="n">
        <x:v>3.2532979190042095</x:v>
      </x:c>
      <x:c r="AI830" t="n">
        <x:v>85</x:v>
      </x:c>
      <x:c r="AJ830" t="str">
        <x:v>HIGH</x:v>
      </x:c>
    </x:row>
    <x:row r="831">
      <x:c r="A831" s="12" t="str">
        <x:v>E01003999</x:v>
      </x:c>
      <x:c r="B831" s="12" t="str">
        <x:v>Southwark 014E</x:v>
      </x:c>
      <x:c r="C831" s="12" t="str">
        <x:v>Southwark</x:v>
      </x:c>
      <x:c r="D831" s="44" t="n">
        <x:v>51.485513760966356</x:v>
      </x:c>
      <x:c r="E831" s="44" t="n">
        <x:v>-0.10327817676963676</x:v>
      </x:c>
      <x:c r="F831" s="33" t="n">
        <x:v>598</x:v>
      </x:c>
      <x:c r="G831" s="33" t="n">
        <x:v>176</x:v>
      </x:c>
      <x:c r="H831" s="26" t="n">
        <x:v>0.29431438127090304</x:v>
      </x:c>
      <x:c r="I831" s="12" t="n">
        <x:v>1</x:v>
      </x:c>
      <x:c r="J831" s="12" t="n">
        <x:v>36</x:v>
      </x:c>
      <x:c r="K831" s="12"/>
      <x:c r="L831" s="12"/>
      <x:c r="M831" s="12" t="str">
        <x:f>IF(K831="", "", MAX(0,IF(K831&lt;=20,100,IF(K831&lt;=30,85,IF(K831&lt;=40,70,IF(K831&lt;=50,55,IF(K831&lt;=60,40,20)))))-MIN(L831*5,20)))</x:f>
      </x:c>
      <x:c r="N831" s="12"/>
      <x:c r="O831" s="12"/>
      <x:c r="P831" s="12" t="str">
        <x:f>IF(OR(H831="",J831="",M831=""),"",ROUND(PERCENTRANK.INC($H$2:$H$941,H831)*35+J831*0.35+M831*0.30,0))</x:f>
      </x:c>
      <x:c r="Q831" s="12" t="str">
        <x:f>IF(P831="","",IF(P831&gt;=80,"ATTACK",IF(P831&gt;=65,"GROW",IF(P831&gt;=50,"PARTNER","WATCH"))))</x:f>
      </x:c>
      <x:c r="R831" s="12" t="str">
        <x:f>IF(Q831="","",IF(Q831="ATTACK","Grassroots + family acquisition",IF(Q831="GROW","Test local campaign",IF(Q831="PARTNER","Organisation-first partnership","Low priority / validate"))))</x:f>
      </x:c>
      <x:c r="S831" s="45" t="n">
        <x:v>13.446736032261759</x:v>
      </x:c>
      <x:c r="T831" t="str">
        <x:v>EXTENDED</x:v>
      </x:c>
      <x:c r="U831" s="32" t="n">
        <x:f>PERCENTRANK.INC($G$2:$G$941,G831)</x:f>
        <x:v>0.197</x:v>
      </x:c>
      <x:c r="V831" s="32" t="n">
        <x:f>PERCENTRANK.INC($H$2:$H$941,H831)</x:f>
        <x:v>0.365</x:v>
      </x:c>
      <x:c r="W831" t="n">
        <x:f>ROUND((U831*55+V831*45)*IF(S831&lt;=5,1,IF(S831&lt;=10,0.95,IF(S831&lt;=20,0.85,0.70))),0)</x:f>
        <x:v>23</x:v>
      </x:c>
      <x:c r="X831" t="n">
        <x:v>29</x:v>
      </x:c>
      <x:c r="Y831" t="str">
        <x:v>WATCH</x:v>
      </x:c>
      <x:c r="Z831" s="12" t="str">
        <x:v>Family + verified grassroots + straight-line geo only; transport not yet routed</x:v>
      </x:c>
      <x:c r="AA831" s="12"/>
      <x:c r="AB831" s="12"/>
      <x:c r="AC831" s="12"/>
      <x:c r="AD831" s="12"/>
      <x:c r="AE831" t="str">
        <x:v>Chelsea Women</x:v>
      </x:c>
      <x:c r="AF831" s="45" t="n">
        <x:v>6.091194974048943</x:v>
      </x:c>
      <x:c r="AG831" t="str">
        <x:v>Dulwich Hamlet Women</x:v>
      </x:c>
      <x:c r="AH831" s="45" t="n">
        <x:v>3.003971991409886</x:v>
      </x:c>
      <x:c r="AI831" t="n">
        <x:v>74</x:v>
      </x:c>
      <x:c r="AJ831" t="str">
        <x:v>MEDIUM</x:v>
      </x:c>
    </x:row>
    <x:row r="832">
      <x:c r="A832" s="12" t="str">
        <x:v>E01032639</x:v>
      </x:c>
      <x:c r="B832" s="12" t="str">
        <x:v>Southwark 014F</x:v>
      </x:c>
      <x:c r="C832" s="12" t="str">
        <x:v>Southwark</x:v>
      </x:c>
      <x:c r="D832" s="44" t="n">
        <x:v>51.49064850617348</x:v>
      </x:c>
      <x:c r="E832" s="44" t="n">
        <x:v>-0.0991503584936411</x:v>
      </x:c>
      <x:c r="F832" s="33" t="n">
        <x:v>783</x:v>
      </x:c>
      <x:c r="G832" s="33" t="n">
        <x:v>119</x:v>
      </x:c>
      <x:c r="H832" s="26" t="n">
        <x:v>0.15197956577266922</x:v>
      </x:c>
      <x:c r="I832" s="12" t="n">
        <x:v>1</x:v>
      </x:c>
      <x:c r="J832" s="12" t="n">
        <x:v>36</x:v>
      </x:c>
      <x:c r="K832" s="12"/>
      <x:c r="L832" s="12"/>
      <x:c r="M832" s="12" t="str">
        <x:f>IF(K832="", "", MAX(0,IF(K832&lt;=20,100,IF(K832&lt;=30,85,IF(K832&lt;=40,70,IF(K832&lt;=50,55,IF(K832&lt;=60,40,20)))))-MIN(L832*5,20)))</x:f>
      </x:c>
      <x:c r="N832" s="12"/>
      <x:c r="O832" s="12"/>
      <x:c r="P832" s="12" t="str">
        <x:f>IF(OR(H832="",J832="",M832=""),"",ROUND(PERCENTRANK.INC($H$2:$H$941,H832)*35+J832*0.35+M832*0.30,0))</x:f>
      </x:c>
      <x:c r="Q832" s="12" t="str">
        <x:f>IF(P832="","",IF(P832&gt;=80,"ATTACK",IF(P832&gt;=65,"GROW",IF(P832&gt;=50,"PARTNER","WATCH"))))</x:f>
      </x:c>
      <x:c r="R832" s="12" t="str">
        <x:f>IF(Q832="","",IF(Q832="ATTACK","Grassroots + family acquisition",IF(Q832="GROW","Test local campaign",IF(Q832="PARTNER","Organisation-first partnership","Low priority / validate"))))</x:f>
      </x:c>
      <x:c r="S832" s="45" t="n">
        <x:v>13.726590319149103</x:v>
      </x:c>
      <x:c r="T832" t="str">
        <x:v>EXTENDED</x:v>
      </x:c>
      <x:c r="U832" s="32" t="n">
        <x:f>PERCENTRANK.INC($G$2:$G$941,G832)</x:f>
        <x:v>0.028</x:v>
      </x:c>
      <x:c r="V832" s="32" t="n">
        <x:f>PERCENTRANK.INC($H$2:$H$941,H832)</x:f>
        <x:v>0.025</x:v>
      </x:c>
      <x:c r="W832" t="n">
        <x:f>ROUND((U832*55+V832*45)*IF(S832&lt;=5,1,IF(S832&lt;=10,0.95,IF(S832&lt;=20,0.85,0.70))),0)</x:f>
        <x:v>2</x:v>
      </x:c>
      <x:c r="X832" t="n">
        <x:v>18</x:v>
      </x:c>
      <x:c r="Y832" t="str">
        <x:v>WATCH</x:v>
      </x:c>
      <x:c r="Z832" s="12" t="str">
        <x:v>Family + verified grassroots + straight-line geo only; transport not yet routed</x:v>
      </x:c>
      <x:c r="AA832" s="12"/>
      <x:c r="AB832" s="12"/>
      <x:c r="AC832" s="12"/>
      <x:c r="AD832" s="12"/>
      <x:c r="AE832" t="str">
        <x:v>Chelsea Women</x:v>
      </x:c>
      <x:c r="AF832" s="45" t="n">
        <x:v>6.439232986725339</x:v>
      </x:c>
      <x:c r="AG832" t="str">
        <x:v>Dulwich Hamlet Women</x:v>
      </x:c>
      <x:c r="AH832" s="45" t="n">
        <x:v>3.4262523657376556</x:v>
      </x:c>
      <x:c r="AI832" t="n">
        <x:v>74</x:v>
      </x:c>
      <x:c r="AJ832" t="str">
        <x:v>MEDIUM</x:v>
      </x:c>
    </x:row>
    <x:row r="833">
      <x:c r="A833" s="12" t="str">
        <x:v>E01032719</x:v>
      </x:c>
      <x:c r="B833" s="12" t="str">
        <x:v>Southwark 014G</x:v>
      </x:c>
      <x:c r="C833" s="12" t="str">
        <x:v>Southwark</x:v>
      </x:c>
      <x:c r="D833" s="44" t="n">
        <x:v>51.49278093475001</x:v>
      </x:c>
      <x:c r="E833" s="44" t="n">
        <x:v>-0.10000067641477617</x:v>
      </x:c>
      <x:c r="F833" s="33" t="n">
        <x:v>801</x:v>
      </x:c>
      <x:c r="G833" s="33" t="n">
        <x:v>124</x:v>
      </x:c>
      <x:c r="H833" s="26" t="n">
        <x:v>0.15480649188514356</x:v>
      </x:c>
      <x:c r="I833" s="12" t="n">
        <x:v>1</x:v>
      </x:c>
      <x:c r="J833" s="12" t="n">
        <x:v>36</x:v>
      </x:c>
      <x:c r="K833" s="12"/>
      <x:c r="L833" s="12"/>
      <x:c r="M833" s="12" t="str">
        <x:f>IF(K833="", "", MAX(0,IF(K833&lt;=20,100,IF(K833&lt;=30,85,IF(K833&lt;=40,70,IF(K833&lt;=50,55,IF(K833&lt;=60,40,20)))))-MIN(L833*5,20)))</x:f>
      </x:c>
      <x:c r="N833" s="12"/>
      <x:c r="O833" s="12"/>
      <x:c r="P833" s="12" t="str">
        <x:f>IF(OR(H833="",J833="",M833=""),"",ROUND(PERCENTRANK.INC($H$2:$H$941,H833)*35+J833*0.35+M833*0.30,0))</x:f>
      </x:c>
      <x:c r="Q833" s="12" t="str">
        <x:f>IF(P833="","",IF(P833&gt;=80,"ATTACK",IF(P833&gt;=65,"GROW",IF(P833&gt;=50,"PARTNER","WATCH"))))</x:f>
      </x:c>
      <x:c r="R833" s="12" t="str">
        <x:f>IF(Q833="","",IF(Q833="ATTACK","Grassroots + family acquisition",IF(Q833="GROW","Test local campaign",IF(Q833="PARTNER","Organisation-first partnership","Low priority / validate"))))</x:f>
      </x:c>
      <x:c r="S833" s="45" t="n">
        <x:v>13.95299644769899</x:v>
      </x:c>
      <x:c r="T833" t="str">
        <x:v>EXTENDED</x:v>
      </x:c>
      <x:c r="U833" s="32" t="n">
        <x:f>PERCENTRANK.INC($G$2:$G$941,G833)</x:f>
        <x:v>0.037</x:v>
      </x:c>
      <x:c r="V833" s="32" t="n">
        <x:f>PERCENTRANK.INC($H$2:$H$941,H833)</x:f>
        <x:v>0.027</x:v>
      </x:c>
      <x:c r="W833" t="n">
        <x:f>ROUND((U833*55+V833*45)*IF(S833&lt;=5,1,IF(S833&lt;=10,0.95,IF(S833&lt;=20,0.85,0.70))),0)</x:f>
        <x:v>3</x:v>
      </x:c>
      <x:c r="X833" t="n">
        <x:v>18</x:v>
      </x:c>
      <x:c r="Y833" t="str">
        <x:v>WATCH</x:v>
      </x:c>
      <x:c r="Z833" s="12" t="str">
        <x:v>Family + verified grassroots + straight-line geo only; transport not yet routed</x:v>
      </x:c>
      <x:c r="AA833" s="12"/>
      <x:c r="AB833" s="12"/>
      <x:c r="AC833" s="12"/>
      <x:c r="AD833" s="12"/>
      <x:c r="AE833" t="str">
        <x:v>Chelsea Women</x:v>
      </x:c>
      <x:c r="AF833" s="45" t="n">
        <x:v>6.422171412465253</x:v>
      </x:c>
      <x:c r="AG833" t="str">
        <x:v>Dulwich Hamlet Women</x:v>
      </x:c>
      <x:c r="AH833" s="45" t="n">
        <x:v>3.670033022300576</x:v>
      </x:c>
      <x:c r="AI833" t="n">
        <x:v>74</x:v>
      </x:c>
      <x:c r="AJ833" t="str">
        <x:v>MEDIUM</x:v>
      </x:c>
    </x:row>
    <x:row r="834">
      <x:c r="A834" s="12" t="str">
        <x:v>E01003966</x:v>
      </x:c>
      <x:c r="B834" s="12" t="str">
        <x:v>Southwark 015B</x:v>
      </x:c>
      <x:c r="C834" s="12" t="str">
        <x:v>Southwark</x:v>
      </x:c>
      <x:c r="D834" s="44" t="n">
        <x:v>51.48906183720466</x:v>
      </x:c>
      <x:c r="E834" s="44" t="n">
        <x:v>-0.08036534308499171</x:v>
      </x:c>
      <x:c r="F834" s="33" t="n">
        <x:v>825</x:v>
      </x:c>
      <x:c r="G834" s="33" t="n">
        <x:v>212</x:v>
      </x:c>
      <x:c r="H834" s="26" t="n">
        <x:v>0.25696969696969696</x:v>
      </x:c>
      <x:c r="I834" s="12" t="n">
        <x:v>1</x:v>
      </x:c>
      <x:c r="J834" s="12" t="n">
        <x:v>36</x:v>
      </x:c>
      <x:c r="K834" s="12"/>
      <x:c r="L834" s="12"/>
      <x:c r="M834" s="12" t="str">
        <x:f>IF(K834="", "", MAX(0,IF(K834&lt;=20,100,IF(K834&lt;=30,85,IF(K834&lt;=40,70,IF(K834&lt;=50,55,IF(K834&lt;=60,40,20)))))-MIN(L834*5,20)))</x:f>
      </x:c>
      <x:c r="N834" s="12"/>
      <x:c r="O834" s="12"/>
      <x:c r="P834" s="12" t="str">
        <x:f>IF(OR(H834="",J834="",M834=""),"",ROUND(PERCENTRANK.INC($H$2:$H$941,H834)*35+J834*0.35+M834*0.30,0))</x:f>
      </x:c>
      <x:c r="Q834" s="12" t="str">
        <x:f>IF(P834="","",IF(P834&gt;=80,"ATTACK",IF(P834&gt;=65,"GROW",IF(P834&gt;=50,"PARTNER","WATCH"))))</x:f>
      </x:c>
      <x:c r="R834" s="12" t="str">
        <x:f>IF(Q834="","",IF(Q834="ATTACK","Grassroots + family acquisition",IF(Q834="GROW","Test local campaign",IF(Q834="PARTNER","Organisation-first partnership","Low priority / validate"))))</x:f>
      </x:c>
      <x:c r="S834" s="45" t="n">
        <x:v>12.850889788259233</x:v>
      </x:c>
      <x:c r="T834" t="str">
        <x:v>EXTENDED</x:v>
      </x:c>
      <x:c r="U834" s="32" t="n">
        <x:f>PERCENTRANK.INC($G$2:$G$941,G834)</x:f>
        <x:v>0.492</x:v>
      </x:c>
      <x:c r="V834" s="32" t="n">
        <x:f>PERCENTRANK.INC($H$2:$H$941,H834)</x:f>
        <x:v>0.207</x:v>
      </x:c>
      <x:c r="W834" t="n">
        <x:f>ROUND((U834*55+V834*45)*IF(S834&lt;=5,1,IF(S834&lt;=10,0.95,IF(S834&lt;=20,0.85,0.70))),0)</x:f>
        <x:v>31</x:v>
      </x:c>
      <x:c r="X834" t="n">
        <x:v>33</x:v>
      </x:c>
      <x:c r="Y834" t="str">
        <x:v>WATCH</x:v>
      </x:c>
      <x:c r="Z834" s="12" t="str">
        <x:v>Family + verified grassroots + straight-line geo only; transport not yet routed</x:v>
      </x:c>
      <x:c r="AA834" s="12"/>
      <x:c r="AB834" s="12"/>
      <x:c r="AC834" s="12"/>
      <x:c r="AD834" s="12"/>
      <x:c r="AE834" t="str">
        <x:v>Arsenal Women</x:v>
      </x:c>
      <x:c r="AF834" s="45" t="n">
        <x:v>7.589595271894807</x:v>
      </x:c>
      <x:c r="AG834" t="str">
        <x:v>Dulwich Hamlet Women</x:v>
      </x:c>
      <x:c r="AH834" s="45" t="n">
        <x:v>3.0948975635752474</x:v>
      </x:c>
      <x:c r="AI834" t="n">
        <x:v>74</x:v>
      </x:c>
      <x:c r="AJ834" t="str">
        <x:v>MEDIUM</x:v>
      </x:c>
    </x:row>
    <x:row r="835">
      <x:c r="A835" s="12" t="str">
        <x:v>E01003971</x:v>
      </x:c>
      <x:c r="B835" s="12" t="str">
        <x:v>Southwark 015D</x:v>
      </x:c>
      <x:c r="C835" s="12" t="str">
        <x:v>Southwark</x:v>
      </x:c>
      <x:c r="D835" s="44" t="n">
        <x:v>51.48817797158282</x:v>
      </x:c>
      <x:c r="E835" s="44" t="n">
        <x:v>-0.08450186484558274</x:v>
      </x:c>
      <x:c r="F835" s="33" t="n">
        <x:v>512</x:v>
      </x:c>
      <x:c r="G835" s="33" t="n">
        <x:v>216</x:v>
      </x:c>
      <x:c r="H835" s="26" t="n">
        <x:v>0.421875</x:v>
      </x:c>
      <x:c r="I835" s="12" t="n">
        <x:v>1</x:v>
      </x:c>
      <x:c r="J835" s="12" t="n">
        <x:v>36</x:v>
      </x:c>
      <x:c r="K835" s="12"/>
      <x:c r="L835" s="12"/>
      <x:c r="M835" s="12" t="str">
        <x:f>IF(K835="", "", MAX(0,IF(K835&lt;=20,100,IF(K835&lt;=30,85,IF(K835&lt;=40,70,IF(K835&lt;=50,55,IF(K835&lt;=60,40,20)))))-MIN(L835*5,20)))</x:f>
      </x:c>
      <x:c r="N835" s="12"/>
      <x:c r="O835" s="12"/>
      <x:c r="P835" s="12" t="str">
        <x:f>IF(OR(H835="",J835="",M835=""),"",ROUND(PERCENTRANK.INC($H$2:$H$941,H835)*35+J835*0.35+M835*0.30,0))</x:f>
      </x:c>
      <x:c r="Q835" s="12" t="str">
        <x:f>IF(P835="","",IF(P835&gt;=80,"ATTACK",IF(P835&gt;=65,"GROW",IF(P835&gt;=50,"PARTNER","WATCH"))))</x:f>
      </x:c>
      <x:c r="R835" s="12" t="str">
        <x:f>IF(Q835="","",IF(Q835="ATTACK","Grassroots + family acquisition",IF(Q835="GROW","Test local campaign",IF(Q835="PARTNER","Organisation-first partnership","Low priority / validate"))))</x:f>
      </x:c>
      <x:c r="S835" s="45" t="n">
        <x:v>12.92255712855661</x:v>
      </x:c>
      <x:c r="T835" t="str">
        <x:v>EXTENDED</x:v>
      </x:c>
      <x:c r="U835" s="32" t="n">
        <x:f>PERCENTRANK.INC($G$2:$G$941,G835)</x:f>
        <x:v>0.523</x:v>
      </x:c>
      <x:c r="V835" s="32" t="n">
        <x:f>PERCENTRANK.INC($H$2:$H$941,H835)</x:f>
        <x:v>0.947</x:v>
      </x:c>
      <x:c r="W835" t="n">
        <x:f>ROUND((U835*55+V835*45)*IF(S835&lt;=5,1,IF(S835&lt;=10,0.95,IF(S835&lt;=20,0.85,0.70))),0)</x:f>
        <x:v>61</x:v>
      </x:c>
      <x:c r="X835" t="n">
        <x:v>50</x:v>
      </x:c>
      <x:c r="Y835" t="str">
        <x:v>PARTNER</x:v>
      </x:c>
      <x:c r="Z835" s="12" t="str">
        <x:v>Family + verified grassroots + straight-line geo only; transport not yet routed</x:v>
      </x:c>
      <x:c r="AA835" s="12"/>
      <x:c r="AB835" s="12"/>
      <x:c r="AC835" s="12"/>
      <x:c r="AD835" s="12"/>
      <x:c r="AE835" t="str">
        <x:v>Chelsea Women</x:v>
      </x:c>
      <x:c r="AF835" s="45" t="n">
        <x:v>7.411460478044189</x:v>
      </x:c>
      <x:c r="AG835" t="str">
        <x:v>Dulwich Hamlet Women</x:v>
      </x:c>
      <x:c r="AH835" s="45" t="n">
        <x:v>2.9866930120523274</x:v>
      </x:c>
      <x:c r="AI835" t="n">
        <x:v>78</x:v>
      </x:c>
      <x:c r="AJ835" t="str">
        <x:v>HIGH</x:v>
      </x:c>
    </x:row>
    <x:row r="836">
      <x:c r="A836" s="12" t="str">
        <x:v>E01033878</x:v>
      </x:c>
      <x:c r="B836" s="12" t="str">
        <x:v>Southwark 015F</x:v>
      </x:c>
      <x:c r="C836" s="12" t="str">
        <x:v>Southwark</x:v>
      </x:c>
      <x:c r="D836" s="44" t="n">
        <x:v>51.487586358323014</x:v>
      </x:c>
      <x:c r="E836" s="44" t="n">
        <x:v>-0.08148725228343287</x:v>
      </x:c>
      <x:c r="F836" s="33" t="n">
        <x:v>421</x:v>
      </x:c>
      <x:c r="G836" s="33" t="n">
        <x:v>149</x:v>
      </x:c>
      <x:c r="H836" s="26" t="n">
        <x:v>0.35391923990498814</x:v>
      </x:c>
      <x:c r="I836" s="12" t="n">
        <x:v>1</x:v>
      </x:c>
      <x:c r="J836" s="12" t="n">
        <x:v>36</x:v>
      </x:c>
      <x:c r="K836" s="12"/>
      <x:c r="L836" s="12"/>
      <x:c r="M836" s="12" t="str">
        <x:f>IF(K836="", "", MAX(0,IF(K836&lt;=20,100,IF(K836&lt;=30,85,IF(K836&lt;=40,70,IF(K836&lt;=50,55,IF(K836&lt;=60,40,20)))))-MIN(L836*5,20)))</x:f>
      </x:c>
      <x:c r="N836" s="12"/>
      <x:c r="O836" s="12"/>
      <x:c r="P836" s="12" t="str">
        <x:f>IF(OR(H836="",J836="",M836=""),"",ROUND(PERCENTRANK.INC($H$2:$H$941,H836)*35+J836*0.35+M836*0.30,0))</x:f>
      </x:c>
      <x:c r="Q836" s="12" t="str">
        <x:f>IF(P836="","",IF(P836&gt;=80,"ATTACK",IF(P836&gt;=65,"GROW",IF(P836&gt;=50,"PARTNER","WATCH"))))</x:f>
      </x:c>
      <x:c r="R836" s="12" t="str">
        <x:f>IF(Q836="","",IF(Q836="ATTACK","Grassroots + family acquisition",IF(Q836="GROW","Test local campaign",IF(Q836="PARTNER","Organisation-first partnership","Low priority / validate"))))</x:f>
      </x:c>
      <x:c r="S836" s="45" t="n">
        <x:v>12.753765456369603</x:v>
      </x:c>
      <x:c r="T836" t="str">
        <x:v>EXTENDED</x:v>
      </x:c>
      <x:c r="U836" s="32" t="n">
        <x:f>PERCENTRANK.INC($G$2:$G$941,G836)</x:f>
        <x:v>0.09</x:v>
      </x:c>
      <x:c r="V836" s="32" t="n">
        <x:f>PERCENTRANK.INC($H$2:$H$941,H836)</x:f>
        <x:v>0.708</x:v>
      </x:c>
      <x:c r="W836" t="n">
        <x:f>ROUND((U836*55+V836*45)*IF(S836&lt;=5,1,IF(S836&lt;=10,0.95,IF(S836&lt;=20,0.85,0.70))),0)</x:f>
        <x:v>31</x:v>
      </x:c>
      <x:c r="X836" t="n">
        <x:v>34</x:v>
      </x:c>
      <x:c r="Y836" t="str">
        <x:v>WATCH</x:v>
      </x:c>
      <x:c r="Z836" s="12" t="str">
        <x:v>Family + verified grassroots + straight-line geo only; transport not yet routed</x:v>
      </x:c>
      <x:c r="AA836" s="12"/>
      <x:c r="AB836" s="12"/>
      <x:c r="AC836" s="12"/>
      <x:c r="AD836" s="12"/>
      <x:c r="AE836" t="str">
        <x:v>Chelsea Women</x:v>
      </x:c>
      <x:c r="AF836" s="45" t="n">
        <x:v>7.613352831837062</x:v>
      </x:c>
      <x:c r="AG836" t="str">
        <x:v>Dulwich Hamlet Women</x:v>
      </x:c>
      <x:c r="AH836" s="45" t="n">
        <x:v>2.9257880489902264</x:v>
      </x:c>
      <x:c r="AI836" t="n">
        <x:v>78</x:v>
      </x:c>
      <x:c r="AJ836" t="str">
        <x:v>HIGH</x:v>
      </x:c>
    </x:row>
    <x:row r="837">
      <x:c r="A837" s="12" t="str">
        <x:v>E01033879</x:v>
      </x:c>
      <x:c r="B837" s="12" t="str">
        <x:v>Southwark 015G</x:v>
      </x:c>
      <x:c r="C837" s="12" t="str">
        <x:v>Southwark</x:v>
      </x:c>
      <x:c r="D837" s="44" t="n">
        <x:v>51.485919297936654</x:v>
      </x:c>
      <x:c r="E837" s="44" t="n">
        <x:v>-0.08581108414876348</x:v>
      </x:c>
      <x:c r="F837" s="33" t="n">
        <x:v>845</x:v>
      </x:c>
      <x:c r="G837" s="33" t="n">
        <x:v>354</x:v>
      </x:c>
      <x:c r="H837" s="26" t="n">
        <x:v>0.41893491124260357</x:v>
      </x:c>
      <x:c r="I837" s="12" t="n">
        <x:v>1</x:v>
      </x:c>
      <x:c r="J837" s="12" t="n">
        <x:v>36</x:v>
      </x:c>
      <x:c r="K837" s="12"/>
      <x:c r="L837" s="12"/>
      <x:c r="M837" s="12" t="str">
        <x:f>IF(K837="", "", MAX(0,IF(K837&lt;=20,100,IF(K837&lt;=30,85,IF(K837&lt;=40,70,IF(K837&lt;=50,55,IF(K837&lt;=60,40,20)))))-MIN(L837*5,20)))</x:f>
      </x:c>
      <x:c r="N837" s="12"/>
      <x:c r="O837" s="12"/>
      <x:c r="P837" s="12" t="str">
        <x:f>IF(OR(H837="",J837="",M837=""),"",ROUND(PERCENTRANK.INC($H$2:$H$941,H837)*35+J837*0.35+M837*0.30,0))</x:f>
      </x:c>
      <x:c r="Q837" s="12" t="str">
        <x:f>IF(P837="","",IF(P837&gt;=80,"ATTACK",IF(P837&gt;=65,"GROW",IF(P837&gt;=50,"PARTNER","WATCH"))))</x:f>
      </x:c>
      <x:c r="R837" s="12" t="str">
        <x:f>IF(Q837="","",IF(Q837="ATTACK","Grassroots + family acquisition",IF(Q837="GROW","Test local campaign",IF(Q837="PARTNER","Organisation-first partnership","Low priority / validate"))))</x:f>
      </x:c>
      <x:c r="S837" s="45" t="n">
        <x:v>12.764146618864084</x:v>
      </x:c>
      <x:c r="T837" t="str">
        <x:v>EXTENDED</x:v>
      </x:c>
      <x:c r="U837" s="32" t="n">
        <x:f>PERCENTRANK.INC($G$2:$G$941,G837)</x:f>
        <x:v>0.986</x:v>
      </x:c>
      <x:c r="V837" s="32" t="n">
        <x:f>PERCENTRANK.INC($H$2:$H$941,H837)</x:f>
        <x:v>0.943</x:v>
      </x:c>
      <x:c r="W837" t="n">
        <x:f>ROUND((U837*55+V837*45)*IF(S837&lt;=5,1,IF(S837&lt;=10,0.95,IF(S837&lt;=20,0.85,0.70))),0)</x:f>
        <x:v>82</x:v>
      </x:c>
      <x:c r="X837" t="n">
        <x:v>61</x:v>
      </x:c>
      <x:c r="Y837" t="str">
        <x:v>PARTNER</x:v>
      </x:c>
      <x:c r="Z837" s="12" t="str">
        <x:v>Family + verified grassroots + straight-line geo only; transport not yet routed</x:v>
      </x:c>
      <x:c r="AA837" s="12"/>
      <x:c r="AB837" s="12"/>
      <x:c r="AC837" s="12"/>
      <x:c r="AD837" s="12"/>
      <x:c r="AE837" t="str">
        <x:v>Chelsea Women</x:v>
      </x:c>
      <x:c r="AF837" s="45" t="n">
        <x:v>7.300989223797742</x:v>
      </x:c>
      <x:c r="AG837" t="str">
        <x:v>Dulwich Hamlet Women</x:v>
      </x:c>
      <x:c r="AH837" s="45" t="n">
        <x:v>2.7382593549190086</x:v>
      </x:c>
      <x:c r="AI837" t="n">
        <x:v>78</x:v>
      </x:c>
      <x:c r="AJ837" t="str">
        <x:v>HIGH</x:v>
      </x:c>
    </x:row>
    <x:row r="838">
      <x:c r="A838" s="12" t="str">
        <x:v>E01033880</x:v>
      </x:c>
      <x:c r="B838" s="12" t="str">
        <x:v>Southwark 015H</x:v>
      </x:c>
      <x:c r="C838" s="12" t="str">
        <x:v>Southwark</x:v>
      </x:c>
      <x:c r="D838" s="44" t="n">
        <x:v>51.48557073887102</x:v>
      </x:c>
      <x:c r="E838" s="44" t="n">
        <x:v>-0.07522432642022202</x:v>
      </x:c>
      <x:c r="F838" s="33" t="n">
        <x:v>533</x:v>
      </x:c>
      <x:c r="G838" s="33" t="n">
        <x:v>187</x:v>
      </x:c>
      <x:c r="H838" s="26" t="n">
        <x:v>0.350844277673546</x:v>
      </x:c>
      <x:c r="I838" s="12" t="n">
        <x:v>1</x:v>
      </x:c>
      <x:c r="J838" s="12" t="n">
        <x:v>36</x:v>
      </x:c>
      <x:c r="K838" s="12"/>
      <x:c r="L838" s="12"/>
      <x:c r="M838" s="12" t="str">
        <x:f>IF(K838="", "", MAX(0,IF(K838&lt;=20,100,IF(K838&lt;=30,85,IF(K838&lt;=40,70,IF(K838&lt;=50,55,IF(K838&lt;=60,40,20)))))-MIN(L838*5,20)))</x:f>
      </x:c>
      <x:c r="N838" s="12"/>
      <x:c r="O838" s="12"/>
      <x:c r="P838" s="12" t="str">
        <x:f>IF(OR(H838="",J838="",M838=""),"",ROUND(PERCENTRANK.INC($H$2:$H$941,H838)*35+J838*0.35+M838*0.30,0))</x:f>
      </x:c>
      <x:c r="Q838" s="12" t="str">
        <x:f>IF(P838="","",IF(P838&gt;=80,"ATTACK",IF(P838&gt;=65,"GROW",IF(P838&gt;=50,"PARTNER","WATCH"))))</x:f>
      </x:c>
      <x:c r="R838" s="12" t="str">
        <x:f>IF(Q838="","",IF(Q838="ATTACK","Grassroots + family acquisition",IF(Q838="GROW","Test local campaign",IF(Q838="PARTNER","Organisation-first partnership","Low priority / validate"))))</x:f>
      </x:c>
      <x:c r="S838" s="45" t="n">
        <x:v>12.333475072412773</x:v>
      </x:c>
      <x:c r="T838" t="str">
        <x:v>EXTENDED</x:v>
      </x:c>
      <x:c r="U838" s="32" t="n">
        <x:f>PERCENTRANK.INC($G$2:$G$941,G838)</x:f>
        <x:v>0.29</x:v>
      </x:c>
      <x:c r="V838" s="32" t="n">
        <x:f>PERCENTRANK.INC($H$2:$H$941,H838)</x:f>
        <x:v>0.693</x:v>
      </x:c>
      <x:c r="W838" t="n">
        <x:f>ROUND((U838*55+V838*45)*IF(S838&lt;=5,1,IF(S838&lt;=10,0.95,IF(S838&lt;=20,0.85,0.70))),0)</x:f>
        <x:v>40</x:v>
      </x:c>
      <x:c r="X838" t="n">
        <x:v>39</x:v>
      </x:c>
      <x:c r="Y838" t="str">
        <x:v>WATCH</x:v>
      </x:c>
      <x:c r="Z838" s="12" t="str">
        <x:v>Family + verified grassroots + straight-line geo only; transport not yet routed</x:v>
      </x:c>
      <x:c r="AA838" s="12"/>
      <x:c r="AB838" s="12"/>
      <x:c r="AC838" s="12"/>
      <x:c r="AD838" s="12"/>
      <x:c r="AE838" t="str">
        <x:v>Charlton Athletic Women</x:v>
      </x:c>
      <x:c r="AF838" s="45" t="n">
        <x:v>7.712314766949871</x:v>
      </x:c>
      <x:c r="AG838" t="str">
        <x:v>Dulwich Hamlet Women</x:v>
      </x:c>
      <x:c r="AH838" s="45" t="n">
        <x:v>2.76391088368816</x:v>
      </x:c>
      <x:c r="AI838" t="n">
        <x:v>78</x:v>
      </x:c>
      <x:c r="AJ838" t="str">
        <x:v>HIGH</x:v>
      </x:c>
    </x:row>
    <x:row r="839">
      <x:c r="A839" s="12" t="str">
        <x:v>E01003963</x:v>
      </x:c>
      <x:c r="B839" s="12" t="str">
        <x:v>Southwark 016A</x:v>
      </x:c>
      <x:c r="C839" s="12" t="str">
        <x:v>Southwark</x:v>
      </x:c>
      <x:c r="D839" s="44" t="n">
        <x:v>51.48943668776097</x:v>
      </x:c>
      <x:c r="E839" s="44" t="n">
        <x:v>-0.09198802602825243</x:v>
      </x:c>
      <x:c r="F839" s="33" t="n">
        <x:v>687</x:v>
      </x:c>
      <x:c r="G839" s="33" t="n">
        <x:v>212</x:v>
      </x:c>
      <x:c r="H839" s="26" t="n">
        <x:v>0.30858806404657935</x:v>
      </x:c>
      <x:c r="I839" s="12" t="n">
        <x:v>1</x:v>
      </x:c>
      <x:c r="J839" s="12" t="n">
        <x:v>36</x:v>
      </x:c>
      <x:c r="K839" s="12"/>
      <x:c r="L839" s="12"/>
      <x:c r="M839" s="12" t="str">
        <x:f>IF(K839="", "", MAX(0,IF(K839&lt;=20,100,IF(K839&lt;=30,85,IF(K839&lt;=40,70,IF(K839&lt;=50,55,IF(K839&lt;=60,40,20)))))-MIN(L839*5,20)))</x:f>
      </x:c>
      <x:c r="N839" s="12"/>
      <x:c r="O839" s="12"/>
      <x:c r="P839" s="12" t="str">
        <x:f>IF(OR(H839="",J839="",M839=""),"",ROUND(PERCENTRANK.INC($H$2:$H$941,H839)*35+J839*0.35+M839*0.30,0))</x:f>
      </x:c>
      <x:c r="Q839" s="12" t="str">
        <x:f>IF(P839="","",IF(P839&gt;=80,"ATTACK",IF(P839&gt;=65,"GROW",IF(P839&gt;=50,"PARTNER","WATCH"))))</x:f>
      </x:c>
      <x:c r="R839" s="12" t="str">
        <x:f>IF(Q839="","",IF(Q839="ATTACK","Grassroots + family acquisition",IF(Q839="GROW","Test local campaign",IF(Q839="PARTNER","Organisation-first partnership","Low priority / validate"))))</x:f>
      </x:c>
      <x:c r="S839" s="45" t="n">
        <x:v>13.328806984491317</x:v>
      </x:c>
      <x:c r="T839" t="str">
        <x:v>EXTENDED</x:v>
      </x:c>
      <x:c r="U839" s="32" t="n">
        <x:f>PERCENTRANK.INC($G$2:$G$941,G839)</x:f>
        <x:v>0.492</x:v>
      </x:c>
      <x:c r="V839" s="32" t="n">
        <x:f>PERCENTRANK.INC($H$2:$H$941,H839)</x:f>
        <x:v>0.438</x:v>
      </x:c>
      <x:c r="W839" t="n">
        <x:f>ROUND((U839*55+V839*45)*IF(S839&lt;=5,1,IF(S839&lt;=10,0.95,IF(S839&lt;=20,0.85,0.70))),0)</x:f>
        <x:v>40</x:v>
      </x:c>
      <x:c r="X839" t="n">
        <x:v>38</x:v>
      </x:c>
      <x:c r="Y839" t="str">
        <x:v>WATCH</x:v>
      </x:c>
      <x:c r="Z839" s="12" t="str">
        <x:v>Family + verified grassroots + straight-line geo only; transport not yet routed</x:v>
      </x:c>
      <x:c r="AA839" s="12"/>
      <x:c r="AB839" s="12"/>
      <x:c r="AC839" s="12"/>
      <x:c r="AD839" s="12"/>
      <x:c r="AE839" t="str">
        <x:v>Chelsea Women</x:v>
      </x:c>
      <x:c r="AF839" s="45" t="n">
        <x:v>6.911659361428924</x:v>
      </x:c>
      <x:c r="AG839" t="str">
        <x:v>Dulwich Hamlet Women</x:v>
      </x:c>
      <x:c r="AH839" s="45" t="n">
        <x:v>3.175250111345677</x:v>
      </x:c>
      <x:c r="AI839" t="n">
        <x:v>74</x:v>
      </x:c>
      <x:c r="AJ839" t="str">
        <x:v>MEDIUM</x:v>
      </x:c>
    </x:row>
    <x:row r="840">
      <x:c r="A840" s="12" t="str">
        <x:v>E01003972</x:v>
      </x:c>
      <x:c r="B840" s="12" t="str">
        <x:v>Southwark 016D</x:v>
      </x:c>
      <x:c r="C840" s="12" t="str">
        <x:v>Southwark</x:v>
      </x:c>
      <x:c r="D840" s="44" t="n">
        <x:v>51.4881661985665</x:v>
      </x:c>
      <x:c r="E840" s="44" t="n">
        <x:v>-0.08816230106947259</x:v>
      </x:c>
      <x:c r="F840" s="33" t="n">
        <x:v>615</x:v>
      </x:c>
      <x:c r="G840" s="33" t="n">
        <x:v>199</x:v>
      </x:c>
      <x:c r="H840" s="26" t="n">
        <x:v>0.3235772357723577</x:v>
      </x:c>
      <x:c r="I840" s="12" t="n">
        <x:v>1</x:v>
      </x:c>
      <x:c r="J840" s="12" t="n">
        <x:v>36</x:v>
      </x:c>
      <x:c r="K840" s="12"/>
      <x:c r="L840" s="12"/>
      <x:c r="M840" s="12" t="str">
        <x:f>IF(K840="", "", MAX(0,IF(K840&lt;=20,100,IF(K840&lt;=30,85,IF(K840&lt;=40,70,IF(K840&lt;=50,55,IF(K840&lt;=60,40,20)))))-MIN(L840*5,20)))</x:f>
      </x:c>
      <x:c r="N840" s="12"/>
      <x:c r="O840" s="12"/>
      <x:c r="P840" s="12" t="str">
        <x:f>IF(OR(H840="",J840="",M840=""),"",ROUND(PERCENTRANK.INC($H$2:$H$941,H840)*35+J840*0.35+M840*0.30,0))</x:f>
      </x:c>
      <x:c r="Q840" s="12" t="str">
        <x:f>IF(P840="","",IF(P840&gt;=80,"ATTACK",IF(P840&gt;=65,"GROW",IF(P840&gt;=50,"PARTNER","WATCH"))))</x:f>
      </x:c>
      <x:c r="R840" s="12" t="str">
        <x:f>IF(Q840="","",IF(Q840="ATTACK","Grassroots + family acquisition",IF(Q840="GROW","Test local campaign",IF(Q840="PARTNER","Organisation-first partnership","Low priority / validate"))))</x:f>
      </x:c>
      <x:c r="S840" s="45" t="n">
        <x:v>13.062291093098679</x:v>
      </x:c>
      <x:c r="T840" t="str">
        <x:v>EXTENDED</x:v>
      </x:c>
      <x:c r="U840" s="32" t="n">
        <x:f>PERCENTRANK.INC($G$2:$G$941,G840)</x:f>
        <x:v>0.376</x:v>
      </x:c>
      <x:c r="V840" s="32" t="n">
        <x:f>PERCENTRANK.INC($H$2:$H$941,H840)</x:f>
        <x:v>0.533</x:v>
      </x:c>
      <x:c r="W840" t="n">
        <x:f>ROUND((U840*55+V840*45)*IF(S840&lt;=5,1,IF(S840&lt;=10,0.95,IF(S840&lt;=20,0.85,0.70))),0)</x:f>
        <x:v>38</x:v>
      </x:c>
      <x:c r="X840" t="n">
        <x:v>37</x:v>
      </x:c>
      <x:c r="Y840" t="str">
        <x:v>WATCH</x:v>
      </x:c>
      <x:c r="Z840" s="12" t="str">
        <x:v>Family + verified grassroots + straight-line geo only; transport not yet routed</x:v>
      </x:c>
      <x:c r="AA840" s="12"/>
      <x:c r="AB840" s="12"/>
      <x:c r="AC840" s="12"/>
      <x:c r="AD840" s="12"/>
      <x:c r="AE840" t="str">
        <x:v>Chelsea Women</x:v>
      </x:c>
      <x:c r="AF840" s="45" t="n">
        <x:v>7.159110976580987</x:v>
      </x:c>
      <x:c r="AG840" t="str">
        <x:v>Dulwich Hamlet Women</x:v>
      </x:c>
      <x:c r="AH840" s="45" t="n">
        <x:v>2.999185748810425</x:v>
      </x:c>
      <x:c r="AI840" t="n">
        <x:v>78</x:v>
      </x:c>
      <x:c r="AJ840" t="str">
        <x:v>HIGH</x:v>
      </x:c>
    </x:row>
    <x:row r="841">
      <x:c r="A841" s="12" t="str">
        <x:v>E01003973</x:v>
      </x:c>
      <x:c r="B841" s="12" t="str">
        <x:v>Southwark 016E</x:v>
      </x:c>
      <x:c r="C841" s="12" t="str">
        <x:v>Southwark</x:v>
      </x:c>
      <x:c r="D841" s="44" t="n">
        <x:v>51.487712010102705</x:v>
      </x:c>
      <x:c r="E841" s="44" t="n">
        <x:v>-0.09168667658179595</x:v>
      </x:c>
      <x:c r="F841" s="33" t="n">
        <x:v>753</x:v>
      </x:c>
      <x:c r="G841" s="33" t="n">
        <x:v>186</x:v>
      </x:c>
      <x:c r="H841" s="26" t="n">
        <x:v>0.24701195219123506</x:v>
      </x:c>
      <x:c r="I841" s="12" t="n">
        <x:v>1</x:v>
      </x:c>
      <x:c r="J841" s="12" t="n">
        <x:v>36</x:v>
      </x:c>
      <x:c r="K841" s="12"/>
      <x:c r="L841" s="12"/>
      <x:c r="M841" s="12" t="str">
        <x:f>IF(K841="", "", MAX(0,IF(K841&lt;=20,100,IF(K841&lt;=30,85,IF(K841&lt;=40,70,IF(K841&lt;=50,55,IF(K841&lt;=60,40,20)))))-MIN(L841*5,20)))</x:f>
      </x:c>
      <x:c r="N841" s="12"/>
      <x:c r="O841" s="12"/>
      <x:c r="P841" s="12" t="str">
        <x:f>IF(OR(H841="",J841="",M841=""),"",ROUND(PERCENTRANK.INC($H$2:$H$941,H841)*35+J841*0.35+M841*0.30,0))</x:f>
      </x:c>
      <x:c r="Q841" s="12" t="str">
        <x:f>IF(P841="","",IF(P841&gt;=80,"ATTACK",IF(P841&gt;=65,"GROW",IF(P841&gt;=50,"PARTNER","WATCH"))))</x:f>
      </x:c>
      <x:c r="R841" s="12" t="str">
        <x:f>IF(Q841="","",IF(Q841="ATTACK","Grassroots + family acquisition",IF(Q841="GROW","Test local campaign",IF(Q841="PARTNER","Organisation-first partnership","Low priority / validate"))))</x:f>
      </x:c>
      <x:c r="S841" s="45" t="n">
        <x:v>13.15978546244372</x:v>
      </x:c>
      <x:c r="T841" t="str">
        <x:v>EXTENDED</x:v>
      </x:c>
      <x:c r="U841" s="32" t="n">
        <x:f>PERCENTRANK.INC($G$2:$G$941,G841)</x:f>
        <x:v>0.277</x:v>
      </x:c>
      <x:c r="V841" s="32" t="n">
        <x:f>PERCENTRANK.INC($H$2:$H$941,H841)</x:f>
        <x:v>0.173</x:v>
      </x:c>
      <x:c r="W841" t="n">
        <x:f>ROUND((U841*55+V841*45)*IF(S841&lt;=5,1,IF(S841&lt;=10,0.95,IF(S841&lt;=20,0.85,0.70))),0)</x:f>
        <x:v>20</x:v>
      </x:c>
      <x:c r="X841" t="n">
        <x:v>27</x:v>
      </x:c>
      <x:c r="Y841" t="str">
        <x:v>WATCH</x:v>
      </x:c>
      <x:c r="Z841" s="12" t="str">
        <x:v>Family + verified grassroots + straight-line geo only; transport not yet routed</x:v>
      </x:c>
      <x:c r="AA841" s="12"/>
      <x:c r="AB841" s="12"/>
      <x:c r="AC841" s="12"/>
      <x:c r="AD841" s="12"/>
      <x:c r="AE841" t="str">
        <x:v>Chelsea Women</x:v>
      </x:c>
      <x:c r="AF841" s="45" t="n">
        <x:v>6.911314849046739</x:v>
      </x:c>
      <x:c r="AG841" t="str">
        <x:v>Dulwich Hamlet Women</x:v>
      </x:c>
      <x:c r="AH841" s="45" t="n">
        <x:v>2.982806992014057</x:v>
      </x:c>
      <x:c r="AI841" t="n">
        <x:v>78</x:v>
      </x:c>
      <x:c r="AJ841" t="str">
        <x:v>HIGH</x:v>
      </x:c>
    </x:row>
    <x:row r="842">
      <x:c r="A842" s="12" t="str">
        <x:v>E01033881</x:v>
      </x:c>
      <x:c r="B842" s="12" t="str">
        <x:v>Southwark 016F</x:v>
      </x:c>
      <x:c r="C842" s="12" t="str">
        <x:v>Southwark</x:v>
      </x:c>
      <x:c r="D842" s="44" t="n">
        <x:v>51.4849254804326</x:v>
      </x:c>
      <x:c r="E842" s="44" t="n">
        <x:v>-0.08952739285991178</x:v>
      </x:c>
      <x:c r="F842" s="33" t="n">
        <x:v>708</x:v>
      </x:c>
      <x:c r="G842" s="33" t="n">
        <x:v>221</x:v>
      </x:c>
      <x:c r="H842" s="26" t="n">
        <x:v>0.3121468926553672</x:v>
      </x:c>
      <x:c r="I842" s="12" t="n">
        <x:v>1</x:v>
      </x:c>
      <x:c r="J842" s="12" t="n">
        <x:v>36</x:v>
      </x:c>
      <x:c r="K842" s="12"/>
      <x:c r="L842" s="12"/>
      <x:c r="M842" s="12" t="str">
        <x:f>IF(K842="", "", MAX(0,IF(K842&lt;=20,100,IF(K842&lt;=30,85,IF(K842&lt;=40,70,IF(K842&lt;=50,55,IF(K842&lt;=60,40,20)))))-MIN(L842*5,20)))</x:f>
      </x:c>
      <x:c r="N842" s="12"/>
      <x:c r="O842" s="12"/>
      <x:c r="P842" s="12" t="str">
        <x:f>IF(OR(H842="",J842="",M842=""),"",ROUND(PERCENTRANK.INC($H$2:$H$941,H842)*35+J842*0.35+M842*0.30,0))</x:f>
      </x:c>
      <x:c r="Q842" s="12" t="str">
        <x:f>IF(P842="","",IF(P842&gt;=80,"ATTACK",IF(P842&gt;=65,"GROW",IF(P842&gt;=50,"PARTNER","WATCH"))))</x:f>
      </x:c>
      <x:c r="R842" s="12" t="str">
        <x:f>IF(Q842="","",IF(Q842="ATTACK","Grassroots + family acquisition",IF(Q842="GROW","Test local campaign",IF(Q842="PARTNER","Organisation-first partnership","Low priority / validate"))))</x:f>
      </x:c>
      <x:c r="S842" s="45" t="n">
        <x:v>12.820560703176666</x:v>
      </x:c>
      <x:c r="T842" t="str">
        <x:v>EXTENDED</x:v>
      </x:c>
      <x:c r="U842" s="32" t="n">
        <x:f>PERCENTRANK.INC($G$2:$G$941,G842)</x:f>
        <x:v>0.552</x:v>
      </x:c>
      <x:c r="V842" s="32" t="n">
        <x:f>PERCENTRANK.INC($H$2:$H$941,H842)</x:f>
        <x:v>0.464</x:v>
      </x:c>
      <x:c r="W842" t="n">
        <x:f>ROUND((U842*55+V842*45)*IF(S842&lt;=5,1,IF(S842&lt;=10,0.95,IF(S842&lt;=20,0.85,0.70))),0)</x:f>
        <x:v>44</x:v>
      </x:c>
      <x:c r="X842" t="n">
        <x:v>40</x:v>
      </x:c>
      <x:c r="Y842" t="str">
        <x:v>WATCH</x:v>
      </x:c>
      <x:c r="Z842" s="12" t="str">
        <x:v>Family + verified grassroots + straight-line geo only; transport not yet routed</x:v>
      </x:c>
      <x:c r="AA842" s="12"/>
      <x:c r="AB842" s="12"/>
      <x:c r="AC842" s="12"/>
      <x:c r="AD842" s="12"/>
      <x:c r="AE842" t="str">
        <x:v>Chelsea Women</x:v>
      </x:c>
      <x:c r="AF842" s="45" t="n">
        <x:v>7.037784372986293</x:v>
      </x:c>
      <x:c r="AG842" t="str">
        <x:v>Dulwich Hamlet Women</x:v>
      </x:c>
      <x:c r="AH842" s="45" t="n">
        <x:v>2.6527853039427303</x:v>
      </x:c>
      <x:c r="AI842" t="n">
        <x:v>78</x:v>
      </x:c>
      <x:c r="AJ842" t="str">
        <x:v>HIGH</x:v>
      </x:c>
    </x:row>
    <x:row r="843">
      <x:c r="A843" s="12" t="str">
        <x:v>E01003923</x:v>
      </x:c>
      <x:c r="B843" s="12" t="str">
        <x:v>Southwark 017A</x:v>
      </x:c>
      <x:c r="C843" s="12" t="str">
        <x:v>Southwark</x:v>
      </x:c>
      <x:c r="D843" s="44" t="n">
        <x:v>51.48174753540079</x:v>
      </x:c>
      <x:c r="E843" s="44" t="n">
        <x:v>-0.09759361571411461</x:v>
      </x:c>
      <x:c r="F843" s="33" t="n">
        <x:v>726</x:v>
      </x:c>
      <x:c r="G843" s="33" t="n">
        <x:v>145</x:v>
      </x:c>
      <x:c r="H843" s="26" t="n">
        <x:v>0.19972451790633608</x:v>
      </x:c>
      <x:c r="I843" s="12" t="n">
        <x:v>1</x:v>
      </x:c>
      <x:c r="J843" s="12" t="n">
        <x:v>36</x:v>
      </x:c>
      <x:c r="K843" s="12"/>
      <x:c r="L843" s="12"/>
      <x:c r="M843" s="12" t="str">
        <x:f>IF(K843="", "", MAX(0,IF(K843&lt;=20,100,IF(K843&lt;=30,85,IF(K843&lt;=40,70,IF(K843&lt;=50,55,IF(K843&lt;=60,40,20)))))-MIN(L843*5,20)))</x:f>
      </x:c>
      <x:c r="N843" s="12"/>
      <x:c r="O843" s="12"/>
      <x:c r="P843" s="12" t="str">
        <x:f>IF(OR(H843="",J843="",M843=""),"",ROUND(PERCENTRANK.INC($H$2:$H$941,H843)*35+J843*0.35+M843*0.30,0))</x:f>
      </x:c>
      <x:c r="Q843" s="12" t="str">
        <x:f>IF(P843="","",IF(P843&gt;=80,"ATTACK",IF(P843&gt;=65,"GROW",IF(P843&gt;=50,"PARTNER","WATCH"))))</x:f>
      </x:c>
      <x:c r="R843" s="12" t="str">
        <x:f>IF(Q843="","",IF(Q843="ATTACK","Grassroots + family acquisition",IF(Q843="GROW","Test local campaign",IF(Q843="PARTNER","Organisation-first partnership","Low priority / validate"))))</x:f>
      </x:c>
      <x:c r="S843" s="45" t="n">
        <x:v>12.873927718779102</x:v>
      </x:c>
      <x:c r="T843" t="str">
        <x:v>EXTENDED</x:v>
      </x:c>
      <x:c r="U843" s="32" t="n">
        <x:f>PERCENTRANK.INC($G$2:$G$941,G843)</x:f>
        <x:v>0.077</x:v>
      </x:c>
      <x:c r="V843" s="32" t="n">
        <x:f>PERCENTRANK.INC($H$2:$H$941,H843)</x:f>
        <x:v>0.069</x:v>
      </x:c>
      <x:c r="W843" t="n">
        <x:f>ROUND((U843*55+V843*45)*IF(S843&lt;=5,1,IF(S843&lt;=10,0.95,IF(S843&lt;=20,0.85,0.70))),0)</x:f>
        <x:v>6</x:v>
      </x:c>
      <x:c r="X843" t="n">
        <x:v>20</x:v>
      </x:c>
      <x:c r="Y843" t="str">
        <x:v>WATCH</x:v>
      </x:c>
      <x:c r="Z843" s="12" t="str">
        <x:v>Family + verified grassroots + straight-line geo only; transport not yet routed</x:v>
      </x:c>
      <x:c r="AA843" s="12"/>
      <x:c r="AB843" s="12"/>
      <x:c r="AC843" s="12"/>
      <x:c r="AD843" s="12"/>
      <x:c r="AE843" t="str">
        <x:v>Chelsea Women</x:v>
      </x:c>
      <x:c r="AF843" s="45" t="n">
        <x:v>6.4703143416275735</x:v>
      </x:c>
      <x:c r="AG843" t="str">
        <x:v>Dulwich Hamlet Women</x:v>
      </x:c>
      <x:c r="AH843" s="45" t="n">
        <x:v>2.4593829194295758</x:v>
      </x:c>
      <x:c r="AI843" t="n">
        <x:v>78</x:v>
      </x:c>
      <x:c r="AJ843" t="str">
        <x:v>HIGH</x:v>
      </x:c>
    </x:row>
    <x:row r="844">
      <x:c r="A844" s="12" t="str">
        <x:v>E01003969</x:v>
      </x:c>
      <x:c r="B844" s="12" t="str">
        <x:v>Southwark 017B</x:v>
      </x:c>
      <x:c r="C844" s="12" t="str">
        <x:v>Southwark</x:v>
      </x:c>
      <x:c r="D844" s="44" t="n">
        <x:v>51.483675780248994</x:v>
      </x:c>
      <x:c r="E844" s="44" t="n">
        <x:v>-0.09342250647099683</x:v>
      </x:c>
      <x:c r="F844" s="33" t="n">
        <x:v>1016</x:v>
      </x:c>
      <x:c r="G844" s="33" t="n">
        <x:v>199</x:v>
      </x:c>
      <x:c r="H844" s="26" t="n">
        <x:v>0.19586614173228348</x:v>
      </x:c>
      <x:c r="I844" s="12" t="n">
        <x:v>1</x:v>
      </x:c>
      <x:c r="J844" s="12" t="n">
        <x:v>36</x:v>
      </x:c>
      <x:c r="K844" s="12"/>
      <x:c r="L844" s="12"/>
      <x:c r="M844" s="12" t="str">
        <x:f>IF(K844="", "", MAX(0,IF(K844&lt;=20,100,IF(K844&lt;=30,85,IF(K844&lt;=40,70,IF(K844&lt;=50,55,IF(K844&lt;=60,40,20)))))-MIN(L844*5,20)))</x:f>
      </x:c>
      <x:c r="N844" s="12"/>
      <x:c r="O844" s="12"/>
      <x:c r="P844" s="12" t="str">
        <x:f>IF(OR(H844="",J844="",M844=""),"",ROUND(PERCENTRANK.INC($H$2:$H$941,H844)*35+J844*0.35+M844*0.30,0))</x:f>
      </x:c>
      <x:c r="Q844" s="12" t="str">
        <x:f>IF(P844="","",IF(P844&gt;=80,"ATTACK",IF(P844&gt;=65,"GROW",IF(P844&gt;=50,"PARTNER","WATCH"))))</x:f>
      </x:c>
      <x:c r="R844" s="12" t="str">
        <x:f>IF(Q844="","",IF(Q844="ATTACK","Grassroots + family acquisition",IF(Q844="GROW","Test local campaign",IF(Q844="PARTNER","Organisation-first partnership","Low priority / validate"))))</x:f>
      </x:c>
      <x:c r="S844" s="45" t="n">
        <x:v>12.867447708219943</x:v>
      </x:c>
      <x:c r="T844" t="str">
        <x:v>EXTENDED</x:v>
      </x:c>
      <x:c r="U844" s="32" t="n">
        <x:f>PERCENTRANK.INC($G$2:$G$941,G844)</x:f>
        <x:v>0.376</x:v>
      </x:c>
      <x:c r="V844" s="32" t="n">
        <x:f>PERCENTRANK.INC($H$2:$H$941,H844)</x:f>
        <x:v>0.061</x:v>
      </x:c>
      <x:c r="W844" t="n">
        <x:f>ROUND((U844*55+V844*45)*IF(S844&lt;=5,1,IF(S844&lt;=10,0.95,IF(S844&lt;=20,0.85,0.70))),0)</x:f>
        <x:v>20</x:v>
      </x:c>
      <x:c r="X844" t="n">
        <x:v>27</x:v>
      </x:c>
      <x:c r="Y844" t="str">
        <x:v>WATCH</x:v>
      </x:c>
      <x:c r="Z844" s="12" t="str">
        <x:v>Family + verified grassroots + straight-line geo only; transport not yet routed</x:v>
      </x:c>
      <x:c r="AA844" s="12"/>
      <x:c r="AB844" s="12"/>
      <x:c r="AC844" s="12"/>
      <x:c r="AD844" s="12"/>
      <x:c r="AE844" t="str">
        <x:v>Chelsea Women</x:v>
      </x:c>
      <x:c r="AF844" s="45" t="n">
        <x:v>6.762581140095668</x:v>
      </x:c>
      <x:c r="AG844" t="str">
        <x:v>Dulwich Hamlet Women</x:v>
      </x:c>
      <x:c r="AH844" s="45" t="n">
        <x:v>2.5704460813182424</x:v>
      </x:c>
      <x:c r="AI844" t="n">
        <x:v>78</x:v>
      </x:c>
      <x:c r="AJ844" t="str">
        <x:v>HIGH</x:v>
      </x:c>
    </x:row>
    <x:row r="845">
      <x:c r="A845" s="12" t="str">
        <x:v>E01003991</x:v>
      </x:c>
      <x:c r="B845" s="12" t="str">
        <x:v>Southwark 017C</x:v>
      </x:c>
      <x:c r="C845" s="12" t="str">
        <x:v>Southwark</x:v>
      </x:c>
      <x:c r="D845" s="44" t="n">
        <x:v>51.483342613375434</x:v>
      </x:c>
      <x:c r="E845" s="44" t="n">
        <x:v>-0.09879640985532169</x:v>
      </x:c>
      <x:c r="F845" s="33" t="n">
        <x:v>584</x:v>
      </x:c>
      <x:c r="G845" s="33" t="n">
        <x:v>119</x:v>
      </x:c>
      <x:c r="H845" s="26" t="n">
        <x:v>0.20376712328767124</x:v>
      </x:c>
      <x:c r="I845" s="12" t="n">
        <x:v>1</x:v>
      </x:c>
      <x:c r="J845" s="12" t="n">
        <x:v>36</x:v>
      </x:c>
      <x:c r="K845" s="12"/>
      <x:c r="L845" s="12"/>
      <x:c r="M845" s="12" t="str">
        <x:f>IF(K845="", "", MAX(0,IF(K845&lt;=20,100,IF(K845&lt;=30,85,IF(K845&lt;=40,70,IF(K845&lt;=50,55,IF(K845&lt;=60,40,20)))))-MIN(L845*5,20)))</x:f>
      </x:c>
      <x:c r="N845" s="12"/>
      <x:c r="O845" s="12"/>
      <x:c r="P845" s="12" t="str">
        <x:f>IF(OR(H845="",J845="",M845=""),"",ROUND(PERCENTRANK.INC($H$2:$H$941,H845)*35+J845*0.35+M845*0.30,0))</x:f>
      </x:c>
      <x:c r="Q845" s="12" t="str">
        <x:f>IF(P845="","",IF(P845&gt;=80,"ATTACK",IF(P845&gt;=65,"GROW",IF(P845&gt;=50,"PARTNER","WATCH"))))</x:f>
      </x:c>
      <x:c r="R845" s="12" t="str">
        <x:f>IF(Q845="","",IF(Q845="ATTACK","Grassroots + family acquisition",IF(Q845="GROW","Test local campaign",IF(Q845="PARTNER","Organisation-first partnership","Low priority / validate"))))</x:f>
      </x:c>
      <x:c r="S845" s="45" t="n">
        <x:v>13.064722644877653</x:v>
      </x:c>
      <x:c r="T845" t="str">
        <x:v>EXTENDED</x:v>
      </x:c>
      <x:c r="U845" s="32" t="n">
        <x:f>PERCENTRANK.INC($G$2:$G$941,G845)</x:f>
        <x:v>0.028</x:v>
      </x:c>
      <x:c r="V845" s="32" t="n">
        <x:f>PERCENTRANK.INC($H$2:$H$941,H845)</x:f>
        <x:v>0.072</x:v>
      </x:c>
      <x:c r="W845" t="n">
        <x:f>ROUND((U845*55+V845*45)*IF(S845&lt;=5,1,IF(S845&lt;=10,0.95,IF(S845&lt;=20,0.85,0.70))),0)</x:f>
        <x:v>4</x:v>
      </x:c>
      <x:c r="X845" t="n">
        <x:v>18</x:v>
      </x:c>
      <x:c r="Y845" t="str">
        <x:v>WATCH</x:v>
      </x:c>
      <x:c r="Z845" s="12" t="str">
        <x:v>Family + verified grassroots + straight-line geo only; transport not yet routed</x:v>
      </x:c>
      <x:c r="AA845" s="12"/>
      <x:c r="AB845" s="12"/>
      <x:c r="AC845" s="12"/>
      <x:c r="AD845" s="12"/>
      <x:c r="AE845" t="str">
        <x:v>Chelsea Women</x:v>
      </x:c>
      <x:c r="AF845" s="45" t="n">
        <x:v>6.389520181258312</x:v>
      </x:c>
      <x:c r="AG845" t="str">
        <x:v>Dulwich Hamlet Women</x:v>
      </x:c>
      <x:c r="AH845" s="45" t="n">
        <x:v>2.6551431655943083</x:v>
      </x:c>
      <x:c r="AI845" t="n">
        <x:v>78</x:v>
      </x:c>
      <x:c r="AJ845" t="str">
        <x:v>HIGH</x:v>
      </x:c>
    </x:row>
    <x:row r="846">
      <x:c r="A846" s="12" t="str">
        <x:v>E01003993</x:v>
      </x:c>
      <x:c r="B846" s="12" t="str">
        <x:v>Southwark 017D</x:v>
      </x:c>
      <x:c r="C846" s="12" t="str">
        <x:v>Southwark</x:v>
      </x:c>
      <x:c r="D846" s="44" t="n">
        <x:v>51.4815104554878</x:v>
      </x:c>
      <x:c r="E846" s="44" t="n">
        <x:v>-0.10403887843622636</x:v>
      </x:c>
      <x:c r="F846" s="33" t="n">
        <x:v>796</x:v>
      </x:c>
      <x:c r="G846" s="33" t="n">
        <x:v>264</x:v>
      </x:c>
      <x:c r="H846" s="26" t="n">
        <x:v>0.3316582914572864</x:v>
      </x:c>
      <x:c r="I846" s="12" t="n">
        <x:v>1</x:v>
      </x:c>
      <x:c r="J846" s="12" t="n">
        <x:v>36</x:v>
      </x:c>
      <x:c r="K846" s="12"/>
      <x:c r="L846" s="12"/>
      <x:c r="M846" s="12" t="str">
        <x:f>IF(K846="", "", MAX(0,IF(K846&lt;=20,100,IF(K846&lt;=30,85,IF(K846&lt;=40,70,IF(K846&lt;=50,55,IF(K846&lt;=60,40,20)))))-MIN(L846*5,20)))</x:f>
      </x:c>
      <x:c r="N846" s="12"/>
      <x:c r="O846" s="12"/>
      <x:c r="P846" s="12" t="str">
        <x:f>IF(OR(H846="",J846="",M846=""),"",ROUND(PERCENTRANK.INC($H$2:$H$941,H846)*35+J846*0.35+M846*0.30,0))</x:f>
      </x:c>
      <x:c r="Q846" s="12" t="str">
        <x:f>IF(P846="","",IF(P846&gt;=80,"ATTACK",IF(P846&gt;=65,"GROW",IF(P846&gt;=50,"PARTNER","WATCH"))))</x:f>
      </x:c>
      <x:c r="R846" s="12" t="str">
        <x:f>IF(Q846="","",IF(Q846="ATTACK","Grassroots + family acquisition",IF(Q846="GROW","Test local campaign",IF(Q846="PARTNER","Organisation-first partnership","Low priority / validate"))))</x:f>
      </x:c>
      <x:c r="S846" s="45" t="n">
        <x:v>13.135758324568124</x:v>
      </x:c>
      <x:c r="T846" t="str">
        <x:v>EXTENDED</x:v>
      </x:c>
      <x:c r="U846" s="32" t="n">
        <x:f>PERCENTRANK.INC($G$2:$G$941,G846)</x:f>
        <x:v>0.847</x:v>
      </x:c>
      <x:c r="V846" s="32" t="n">
        <x:f>PERCENTRANK.INC($H$2:$H$941,H846)</x:f>
        <x:v>0.582</x:v>
      </x:c>
      <x:c r="W846" t="n">
        <x:f>ROUND((U846*55+V846*45)*IF(S846&lt;=5,1,IF(S846&lt;=10,0.95,IF(S846&lt;=20,0.85,0.70))),0)</x:f>
        <x:v>62</x:v>
      </x:c>
      <x:c r="X846" t="n">
        <x:v>50</x:v>
      </x:c>
      <x:c r="Y846" t="str">
        <x:v>PARTNER</x:v>
      </x:c>
      <x:c r="Z846" s="12" t="str">
        <x:v>Family + verified grassroots + straight-line geo only; transport not yet routed</x:v>
      </x:c>
      <x:c r="AA846" s="12"/>
      <x:c r="AB846" s="12"/>
      <x:c r="AC846" s="12"/>
      <x:c r="AD846" s="12"/>
      <x:c r="AE846" t="str">
        <x:v>Chelsea Women</x:v>
      </x:c>
      <x:c r="AF846" s="45" t="n">
        <x:v>6.024041181378383</x:v>
      </x:c>
      <x:c r="AG846" t="str">
        <x:v>Dulwich Hamlet Women</x:v>
      </x:c>
      <x:c r="AH846" s="45" t="n">
        <x:v>2.6402074764129266</x:v>
      </x:c>
      <x:c r="AI846" t="n">
        <x:v>78</x:v>
      </x:c>
      <x:c r="AJ846" t="str">
        <x:v>HIGH</x:v>
      </x:c>
    </x:row>
    <x:row r="847">
      <x:c r="A847" s="12" t="str">
        <x:v>E01003997</x:v>
      </x:c>
      <x:c r="B847" s="12" t="str">
        <x:v>Southwark 017E</x:v>
      </x:c>
      <x:c r="C847" s="12" t="str">
        <x:v>Southwark</x:v>
      </x:c>
      <x:c r="D847" s="44" t="n">
        <x:v>51.485206806686264</x:v>
      </x:c>
      <x:c r="E847" s="44" t="n">
        <x:v>-0.09844018239142151</x:v>
      </x:c>
      <x:c r="F847" s="33" t="n">
        <x:v>505</x:v>
      </x:c>
      <x:c r="G847" s="33" t="n">
        <x:v>131</x:v>
      </x:c>
      <x:c r="H847" s="26" t="n">
        <x:v>0.2594059405940594</x:v>
      </x:c>
      <x:c r="I847" s="12" t="n">
        <x:v>1</x:v>
      </x:c>
      <x:c r="J847" s="12" t="n">
        <x:v>36</x:v>
      </x:c>
      <x:c r="K847" s="12"/>
      <x:c r="L847" s="12"/>
      <x:c r="M847" s="12" t="str">
        <x:f>IF(K847="", "", MAX(0,IF(K847&lt;=20,100,IF(K847&lt;=30,85,IF(K847&lt;=40,70,IF(K847&lt;=50,55,IF(K847&lt;=60,40,20)))))-MIN(L847*5,20)))</x:f>
      </x:c>
      <x:c r="N847" s="12"/>
      <x:c r="O847" s="12"/>
      <x:c r="P847" s="12" t="str">
        <x:f>IF(OR(H847="",J847="",M847=""),"",ROUND(PERCENTRANK.INC($H$2:$H$941,H847)*35+J847*0.35+M847*0.30,0))</x:f>
      </x:c>
      <x:c r="Q847" s="12" t="str">
        <x:f>IF(P847="","",IF(P847&gt;=80,"ATTACK",IF(P847&gt;=65,"GROW",IF(P847&gt;=50,"PARTNER","WATCH"))))</x:f>
      </x:c>
      <x:c r="R847" s="12" t="str">
        <x:f>IF(Q847="","",IF(Q847="ATTACK","Grassroots + family acquisition",IF(Q847="GROW","Test local campaign",IF(Q847="PARTNER","Organisation-first partnership","Low priority / validate"))))</x:f>
      </x:c>
      <x:c r="S847" s="45" t="n">
        <x:v>13.213127435948312</x:v>
      </x:c>
      <x:c r="T847" t="str">
        <x:v>EXTENDED</x:v>
      </x:c>
      <x:c r="U847" s="32" t="n">
        <x:f>PERCENTRANK.INC($G$2:$G$941,G847)</x:f>
        <x:v>0.052</x:v>
      </x:c>
      <x:c r="V847" s="32" t="n">
        <x:f>PERCENTRANK.INC($H$2:$H$941,H847)</x:f>
        <x:v>0.216</x:v>
      </x:c>
      <x:c r="W847" t="n">
        <x:f>ROUND((U847*55+V847*45)*IF(S847&lt;=5,1,IF(S847&lt;=10,0.95,IF(S847&lt;=20,0.85,0.70))),0)</x:f>
        <x:v>11</x:v>
      </x:c>
      <x:c r="X847" t="n">
        <x:v>22</x:v>
      </x:c>
      <x:c r="Y847" t="str">
        <x:v>WATCH</x:v>
      </x:c>
      <x:c r="Z847" s="12" t="str">
        <x:v>Family + verified grassroots + straight-line geo only; transport not yet routed</x:v>
      </x:c>
      <x:c r="AA847" s="12"/>
      <x:c r="AB847" s="12"/>
      <x:c r="AC847" s="12"/>
      <x:c r="AD847" s="12"/>
      <x:c r="AE847" t="str">
        <x:v>Chelsea Women</x:v>
      </x:c>
      <x:c r="AF847" s="45" t="n">
        <x:v>6.423292676328008</x:v>
      </x:c>
      <x:c r="AG847" t="str">
        <x:v>Dulwich Hamlet Women</x:v>
      </x:c>
      <x:c r="AH847" s="45" t="n">
        <x:v>2.8386445930360704</x:v>
      </x:c>
      <x:c r="AI847" t="n">
        <x:v>78</x:v>
      </x:c>
      <x:c r="AJ847" t="str">
        <x:v>HIGH</x:v>
      </x:c>
    </x:row>
    <x:row r="848">
      <x:c r="A848" s="12" t="str">
        <x:v>E01003983</x:v>
      </x:c>
      <x:c r="B848" s="12" t="str">
        <x:v>Southwark 018A</x:v>
      </x:c>
      <x:c r="C848" s="12" t="str">
        <x:v>Southwark</x:v>
      </x:c>
      <x:c r="D848" s="44" t="n">
        <x:v>51.47946976880124</x:v>
      </x:c>
      <x:c r="E848" s="44" t="n">
        <x:v>-0.06627029163917476</x:v>
      </x:c>
      <x:c r="F848" s="33" t="n">
        <x:v>673</x:v>
      </x:c>
      <x:c r="G848" s="33" t="n">
        <x:v>283</x:v>
      </x:c>
      <x:c r="H848" s="26" t="n">
        <x:v>0.42050520059435365</x:v>
      </x:c>
      <x:c r="I848" s="12" t="n">
        <x:v>2</x:v>
      </x:c>
      <x:c r="J848" s="12" t="n">
        <x:v>43</x:v>
      </x:c>
      <x:c r="K848" s="12"/>
      <x:c r="L848" s="12"/>
      <x:c r="M848" s="12" t="str">
        <x:f>IF(K848="", "", MAX(0,IF(K848&lt;=20,100,IF(K848&lt;=30,85,IF(K848&lt;=40,70,IF(K848&lt;=50,55,IF(K848&lt;=60,40,20)))))-MIN(L848*5,20)))</x:f>
      </x:c>
      <x:c r="N848" s="12"/>
      <x:c r="O848" s="12"/>
      <x:c r="P848" s="12" t="str">
        <x:f>IF(OR(H848="",J848="",M848=""),"",ROUND(PERCENTRANK.INC($H$2:$H$941,H848)*35+J848*0.35+M848*0.30,0))</x:f>
      </x:c>
      <x:c r="Q848" s="12" t="str">
        <x:f>IF(P848="","",IF(P848&gt;=80,"ATTACK",IF(P848&gt;=65,"GROW",IF(P848&gt;=50,"PARTNER","WATCH"))))</x:f>
      </x:c>
      <x:c r="R848" s="12" t="str">
        <x:f>IF(Q848="","",IF(Q848="ATTACK","Grassroots + family acquisition",IF(Q848="GROW","Test local campaign",IF(Q848="PARTNER","Organisation-first partnership","Low priority / validate"))))</x:f>
      </x:c>
      <x:c r="S848" s="45" t="n">
        <x:v>11.432340555758064</x:v>
      </x:c>
      <x:c r="T848" t="str">
        <x:v>EXTENDED</x:v>
      </x:c>
      <x:c r="U848" s="32" t="n">
        <x:f>PERCENTRANK.INC($G$2:$G$941,G848)</x:f>
        <x:v>0.911</x:v>
      </x:c>
      <x:c r="V848" s="32" t="n">
        <x:f>PERCENTRANK.INC($H$2:$H$941,H848)</x:f>
        <x:v>0.944</x:v>
      </x:c>
      <x:c r="W848" t="n">
        <x:f>ROUND((U848*55+V848*45)*IF(S848&lt;=5,1,IF(S848&lt;=10,0.95,IF(S848&lt;=20,0.85,0.70))),0)</x:f>
        <x:v>79</x:v>
      </x:c>
      <x:c r="X848" t="n">
        <x:v>63</x:v>
      </x:c>
      <x:c r="Y848" t="str">
        <x:v>PARTNER</x:v>
      </x:c>
      <x:c r="Z848" s="12" t="str">
        <x:v>Family + verified grassroots + straight-line geo only; transport not yet routed</x:v>
      </x:c>
      <x:c r="AA848" s="12"/>
      <x:c r="AB848" s="12"/>
      <x:c r="AC848" s="12"/>
      <x:c r="AD848" s="12"/>
      <x:c r="AE848" t="str">
        <x:v>Charlton Athletic Women</x:v>
      </x:c>
      <x:c r="AF848" s="45" t="n">
        <x:v>7.133986490871394</x:v>
      </x:c>
      <x:c r="AG848" t="str">
        <x:v>Dulwich Hamlet Women</x:v>
      </x:c>
      <x:c r="AH848" s="45" t="n">
        <x:v>2.361718546729996</x:v>
      </x:c>
      <x:c r="AI848" t="n">
        <x:v>78</x:v>
      </x:c>
      <x:c r="AJ848" t="str">
        <x:v>HIGH</x:v>
      </x:c>
    </x:row>
    <x:row r="849">
      <x:c r="A849" s="12" t="str">
        <x:v>E01003988</x:v>
      </x:c>
      <x:c r="B849" s="12" t="str">
        <x:v>Southwark 018B</x:v>
      </x:c>
      <x:c r="C849" s="12" t="str">
        <x:v>Southwark</x:v>
      </x:c>
      <x:c r="D849" s="44" t="n">
        <x:v>51.480670805095926</x:v>
      </x:c>
      <x:c r="E849" s="44" t="n">
        <x:v>-0.05723634798942165</x:v>
      </x:c>
      <x:c r="F849" s="33" t="n">
        <x:v>870</x:v>
      </x:c>
      <x:c r="G849" s="33" t="n">
        <x:v>217</x:v>
      </x:c>
      <x:c r="H849" s="26" t="n">
        <x:v>0.24942528735632183</x:v>
      </x:c>
      <x:c r="I849" s="12" t="n">
        <x:v>2</x:v>
      </x:c>
      <x:c r="J849" s="12" t="n">
        <x:v>43</x:v>
      </x:c>
      <x:c r="K849" s="12"/>
      <x:c r="L849" s="12"/>
      <x:c r="M849" s="12" t="str">
        <x:f>IF(K849="", "", MAX(0,IF(K849&lt;=20,100,IF(K849&lt;=30,85,IF(K849&lt;=40,70,IF(K849&lt;=50,55,IF(K849&lt;=60,40,20)))))-MIN(L849*5,20)))</x:f>
      </x:c>
      <x:c r="N849" s="12"/>
      <x:c r="O849" s="12"/>
      <x:c r="P849" s="12" t="str">
        <x:f>IF(OR(H849="",J849="",M849=""),"",ROUND(PERCENTRANK.INC($H$2:$H$941,H849)*35+J849*0.35+M849*0.30,0))</x:f>
      </x:c>
      <x:c r="Q849" s="12" t="str">
        <x:f>IF(P849="","",IF(P849&gt;=80,"ATTACK",IF(P849&gt;=65,"GROW",IF(P849&gt;=50,"PARTNER","WATCH"))))</x:f>
      </x:c>
      <x:c r="R849" s="12" t="str">
        <x:f>IF(Q849="","",IF(Q849="ATTACK","Grassroots + family acquisition",IF(Q849="GROW","Test local campaign",IF(Q849="PARTNER","Organisation-first partnership","Low priority / validate"))))</x:f>
      </x:c>
      <x:c r="S849" s="45" t="n">
        <x:v>11.2447639373546</x:v>
      </x:c>
      <x:c r="T849" t="str">
        <x:v>EXTENDED</x:v>
      </x:c>
      <x:c r="U849" s="32" t="n">
        <x:f>PERCENTRANK.INC($G$2:$G$941,G849)</x:f>
        <x:v>0.531</x:v>
      </x:c>
      <x:c r="V849" s="32" t="n">
        <x:f>PERCENTRANK.INC($H$2:$H$941,H849)</x:f>
        <x:v>0.177</x:v>
      </x:c>
      <x:c r="W849" t="n">
        <x:f>ROUND((U849*55+V849*45)*IF(S849&lt;=5,1,IF(S849&lt;=10,0.95,IF(S849&lt;=20,0.85,0.70))),0)</x:f>
        <x:v>32</x:v>
      </x:c>
      <x:c r="X849" t="n">
        <x:v>37</x:v>
      </x:c>
      <x:c r="Y849" t="str">
        <x:v>WATCH</x:v>
      </x:c>
      <x:c r="Z849" s="12" t="str">
        <x:v>Family + verified grassroots + straight-line geo only; transport not yet routed</x:v>
      </x:c>
      <x:c r="AA849" s="12"/>
      <x:c r="AB849" s="12"/>
      <x:c r="AC849" s="12"/>
      <x:c r="AD849" s="12"/>
      <x:c r="AE849" t="str">
        <x:v>Charlton Athletic Women</x:v>
      </x:c>
      <x:c r="AF849" s="45" t="n">
        <x:v>6.497894576207815</x:v>
      </x:c>
      <x:c r="AG849" t="str">
        <x:v>Dulwich Hamlet Women</x:v>
      </x:c>
      <x:c r="AH849" s="45" t="n">
        <x:v>2.8392283868811448</x:v>
      </x:c>
      <x:c r="AI849" t="n">
        <x:v>78</x:v>
      </x:c>
      <x:c r="AJ849" t="str">
        <x:v>HIGH</x:v>
      </x:c>
    </x:row>
    <x:row r="850">
      <x:c r="A850" s="12" t="str">
        <x:v>E01003989</x:v>
      </x:c>
      <x:c r="B850" s="12" t="str">
        <x:v>Southwark 018C</x:v>
      </x:c>
      <x:c r="C850" s="12" t="str">
        <x:v>Southwark</x:v>
      </x:c>
      <x:c r="D850" s="44" t="n">
        <x:v>51.48214246142686</x:v>
      </x:c>
      <x:c r="E850" s="44" t="n">
        <x:v>-0.06522100274916452</x:v>
      </x:c>
      <x:c r="F850" s="33" t="n">
        <x:v>878</x:v>
      </x:c>
      <x:c r="G850" s="33" t="n">
        <x:v>272</x:v>
      </x:c>
      <x:c r="H850" s="26" t="n">
        <x:v>0.3097949886104784</x:v>
      </x:c>
      <x:c r="I850" s="12" t="n">
        <x:v>2</x:v>
      </x:c>
      <x:c r="J850" s="12" t="n">
        <x:v>43</x:v>
      </x:c>
      <x:c r="K850" s="12"/>
      <x:c r="L850" s="12"/>
      <x:c r="M850" s="12" t="str">
        <x:f>IF(K850="", "", MAX(0,IF(K850&lt;=20,100,IF(K850&lt;=30,85,IF(K850&lt;=40,70,IF(K850&lt;=50,55,IF(K850&lt;=60,40,20)))))-MIN(L850*5,20)))</x:f>
      </x:c>
      <x:c r="N850" s="12"/>
      <x:c r="O850" s="12"/>
      <x:c r="P850" s="12" t="str">
        <x:f>IF(OR(H850="",J850="",M850=""),"",ROUND(PERCENTRANK.INC($H$2:$H$941,H850)*35+J850*0.35+M850*0.30,0))</x:f>
      </x:c>
      <x:c r="Q850" s="12" t="str">
        <x:f>IF(P850="","",IF(P850&gt;=80,"ATTACK",IF(P850&gt;=65,"GROW",IF(P850&gt;=50,"PARTNER","WATCH"))))</x:f>
      </x:c>
      <x:c r="R850" s="12" t="str">
        <x:f>IF(Q850="","",IF(Q850="ATTACK","Grassroots + family acquisition",IF(Q850="GROW","Test local campaign",IF(Q850="PARTNER","Organisation-first partnership","Low priority / validate"))))</x:f>
      </x:c>
      <x:c r="S850" s="45" t="n">
        <x:v>11.65295920569276</x:v>
      </x:c>
      <x:c r="T850" t="str">
        <x:v>EXTENDED</x:v>
      </x:c>
      <x:c r="U850" s="32" t="n">
        <x:f>PERCENTRANK.INC($G$2:$G$941,G850)</x:f>
        <x:v>0.874</x:v>
      </x:c>
      <x:c r="V850" s="32" t="n">
        <x:f>PERCENTRANK.INC($H$2:$H$941,H850)</x:f>
        <x:v>0.445</x:v>
      </x:c>
      <x:c r="W850" t="n">
        <x:f>ROUND((U850*55+V850*45)*IF(S850&lt;=5,1,IF(S850&lt;=10,0.95,IF(S850&lt;=20,0.85,0.70))),0)</x:f>
        <x:v>58</x:v>
      </x:c>
      <x:c r="X850" t="n">
        <x:v>51</x:v>
      </x:c>
      <x:c r="Y850" t="str">
        <x:v>PARTNER</x:v>
      </x:c>
      <x:c r="Z850" s="12" t="str">
        <x:v>Family + verified grassroots + straight-line geo only; transport not yet routed</x:v>
      </x:c>
      <x:c r="AA850" s="12"/>
      <x:c r="AB850" s="12"/>
      <x:c r="AC850" s="12"/>
      <x:c r="AD850" s="12"/>
      <x:c r="AE850" t="str">
        <x:v>Charlton Athletic Women</x:v>
      </x:c>
      <x:c r="AF850" s="45" t="n">
        <x:v>7.035325467422177</x:v>
      </x:c>
      <x:c r="AG850" t="str">
        <x:v>Dulwich Hamlet Women</x:v>
      </x:c>
      <x:c r="AH850" s="45" t="n">
        <x:v>2.6550114639253346</x:v>
      </x:c>
      <x:c r="AI850" t="n">
        <x:v>78</x:v>
      </x:c>
      <x:c r="AJ850" t="str">
        <x:v>HIGH</x:v>
      </x:c>
    </x:row>
    <x:row r="851">
      <x:c r="A851" s="12" t="str">
        <x:v>E01003990</x:v>
      </x:c>
      <x:c r="B851" s="12" t="str">
        <x:v>Southwark 018D</x:v>
      </x:c>
      <x:c r="C851" s="12" t="str">
        <x:v>Southwark</x:v>
      </x:c>
      <x:c r="D851" s="44" t="n">
        <x:v>51.48049097356743</x:v>
      </x:c>
      <x:c r="E851" s="44" t="n">
        <x:v>-0.07034641969866288</x:v>
      </x:c>
      <x:c r="F851" s="33" t="n">
        <x:v>823</x:v>
      </x:c>
      <x:c r="G851" s="33" t="n">
        <x:v>276</x:v>
      </x:c>
      <x:c r="H851" s="26" t="n">
        <x:v>0.3353584447144593</x:v>
      </x:c>
      <x:c r="I851" s="12" t="n">
        <x:v>2</x:v>
      </x:c>
      <x:c r="J851" s="12" t="n">
        <x:v>43</x:v>
      </x:c>
      <x:c r="K851" s="12"/>
      <x:c r="L851" s="12"/>
      <x:c r="M851" s="12" t="str">
        <x:f>IF(K851="", "", MAX(0,IF(K851&lt;=20,100,IF(K851&lt;=30,85,IF(K851&lt;=40,70,IF(K851&lt;=50,55,IF(K851&lt;=60,40,20)))))-MIN(L851*5,20)))</x:f>
      </x:c>
      <x:c r="N851" s="12"/>
      <x:c r="O851" s="12"/>
      <x:c r="P851" s="12" t="str">
        <x:f>IF(OR(H851="",J851="",M851=""),"",ROUND(PERCENTRANK.INC($H$2:$H$941,H851)*35+J851*0.35+M851*0.30,0))</x:f>
      </x:c>
      <x:c r="Q851" s="12" t="str">
        <x:f>IF(P851="","",IF(P851&gt;=80,"ATTACK",IF(P851&gt;=65,"GROW",IF(P851&gt;=50,"PARTNER","WATCH"))))</x:f>
      </x:c>
      <x:c r="R851" s="12" t="str">
        <x:f>IF(Q851="","",IF(Q851="ATTACK","Grassroots + family acquisition",IF(Q851="GROW","Test local campaign",IF(Q851="PARTNER","Organisation-first partnership","Low priority / validate"))))</x:f>
      </x:c>
      <x:c r="S851" s="45" t="n">
        <x:v>11.675382453478937</x:v>
      </x:c>
      <x:c r="T851" t="str">
        <x:v>EXTENDED</x:v>
      </x:c>
      <x:c r="U851" s="32" t="n">
        <x:f>PERCENTRANK.INC($G$2:$G$941,G851)</x:f>
        <x:v>0.883</x:v>
      </x:c>
      <x:c r="V851" s="32" t="n">
        <x:f>PERCENTRANK.INC($H$2:$H$941,H851)</x:f>
        <x:v>0.6</x:v>
      </x:c>
      <x:c r="W851" t="n">
        <x:f>ROUND((U851*55+V851*45)*IF(S851&lt;=5,1,IF(S851&lt;=10,0.95,IF(S851&lt;=20,0.85,0.70))),0)</x:f>
        <x:v>64</x:v>
      </x:c>
      <x:c r="X851" t="n">
        <x:v>55</x:v>
      </x:c>
      <x:c r="Y851" t="str">
        <x:v>PARTNER</x:v>
      </x:c>
      <x:c r="Z851" s="12" t="str">
        <x:v>Family + verified grassroots + straight-line geo only; transport not yet routed</x:v>
      </x:c>
      <x:c r="AA851" s="12"/>
      <x:c r="AB851" s="12"/>
      <x:c r="AC851" s="12"/>
      <x:c r="AD851" s="12"/>
      <x:c r="AE851" t="str">
        <x:v>Charlton Athletic Women</x:v>
      </x:c>
      <x:c r="AF851" s="45" t="n">
        <x:v>7.40363269295863</x:v>
      </x:c>
      <x:c r="AG851" t="str">
        <x:v>Dulwich Hamlet Women</x:v>
      </x:c>
      <x:c r="AH851" s="45" t="n">
        <x:v>2.3315174936794087</x:v>
      </x:c>
      <x:c r="AI851" t="n">
        <x:v>78</x:v>
      </x:c>
      <x:c r="AJ851" t="str">
        <x:v>HIGH</x:v>
      </x:c>
    </x:row>
    <x:row r="852">
      <x:c r="A852" s="12" t="str">
        <x:v>E01004007</x:v>
      </x:c>
      <x:c r="B852" s="12" t="str">
        <x:v>Southwark 018E</x:v>
      </x:c>
      <x:c r="C852" s="12" t="str">
        <x:v>Southwark</x:v>
      </x:c>
      <x:c r="D852" s="44" t="n">
        <x:v>51.47860751884134</x:v>
      </x:c>
      <x:c r="E852" s="44" t="n">
        <x:v>-0.07380472088866463</x:v>
      </x:c>
      <x:c r="F852" s="33" t="n">
        <x:v>543</x:v>
      </x:c>
      <x:c r="G852" s="33" t="n">
        <x:v>197</x:v>
      </x:c>
      <x:c r="H852" s="26" t="n">
        <x:v>0.36279926335174956</x:v>
      </x:c>
      <x:c r="I852" s="12" t="n">
        <x:v>2</x:v>
      </x:c>
      <x:c r="J852" s="12" t="n">
        <x:v>43</x:v>
      </x:c>
      <x:c r="K852" s="12"/>
      <x:c r="L852" s="12"/>
      <x:c r="M852" s="12" t="str">
        <x:f>IF(K852="", "", MAX(0,IF(K852&lt;=20,100,IF(K852&lt;=30,85,IF(K852&lt;=40,70,IF(K852&lt;=50,55,IF(K852&lt;=60,40,20)))))-MIN(L852*5,20)))</x:f>
      </x:c>
      <x:c r="N852" s="12"/>
      <x:c r="O852" s="12"/>
      <x:c r="P852" s="12" t="str">
        <x:f>IF(OR(H852="",J852="",M852=""),"",ROUND(PERCENTRANK.INC($H$2:$H$941,H852)*35+J852*0.35+M852*0.30,0))</x:f>
      </x:c>
      <x:c r="Q852" s="12" t="str">
        <x:f>IF(P852="","",IF(P852&gt;=80,"ATTACK",IF(P852&gt;=65,"GROW",IF(P852&gt;=50,"PARTNER","WATCH"))))</x:f>
      </x:c>
      <x:c r="R852" s="12" t="str">
        <x:f>IF(Q852="","",IF(Q852="ATTACK","Grassroots + family acquisition",IF(Q852="GROW","Test local campaign",IF(Q852="PARTNER","Organisation-first partnership","Low priority / validate"))))</x:f>
      </x:c>
      <x:c r="S852" s="45" t="n">
        <x:v>11.626487558785929</x:v>
      </x:c>
      <x:c r="T852" t="str">
        <x:v>EXTENDED</x:v>
      </x:c>
      <x:c r="U852" s="32" t="n">
        <x:f>PERCENTRANK.INC($G$2:$G$941,G852)</x:f>
        <x:v>0.356</x:v>
      </x:c>
      <x:c r="V852" s="32" t="n">
        <x:f>PERCENTRANK.INC($H$2:$H$941,H852)</x:f>
        <x:v>0.757</x:v>
      </x:c>
      <x:c r="W852" t="n">
        <x:f>ROUND((U852*55+V852*45)*IF(S852&lt;=5,1,IF(S852&lt;=10,0.95,IF(S852&lt;=20,0.85,0.70))),0)</x:f>
        <x:v>46</x:v>
      </x:c>
      <x:c r="X852" t="n">
        <x:v>45</x:v>
      </x:c>
      <x:c r="Y852" t="str">
        <x:v>WATCH</x:v>
      </x:c>
      <x:c r="Z852" s="12" t="str">
        <x:v>Family + verified grassroots + straight-line geo only; transport not yet routed</x:v>
      </x:c>
      <x:c r="AA852" s="12"/>
      <x:c r="AB852" s="12"/>
      <x:c r="AC852" s="12"/>
      <x:c r="AD852" s="12"/>
      <x:c r="AE852" t="str">
        <x:v>Charlton Athletic Women</x:v>
      </x:c>
      <x:c r="AF852" s="45" t="n">
        <x:v>7.663193515625714</x:v>
      </x:c>
      <x:c r="AG852" t="str">
        <x:v>Dulwich Hamlet Women</x:v>
      </x:c>
      <x:c r="AH852" s="45" t="n">
        <x:v>2.04742136771168</x:v>
      </x:c>
      <x:c r="AI852" t="n">
        <x:v>78</x:v>
      </x:c>
      <x:c r="AJ852" t="str">
        <x:v>HIGH</x:v>
      </x:c>
    </x:row>
    <x:row r="853">
      <x:c r="A853" s="12" t="str">
        <x:v>E01003912</x:v>
      </x:c>
      <x:c r="B853" s="12" t="str">
        <x:v>Southwark 019A</x:v>
      </x:c>
      <x:c r="C853" s="12" t="str">
        <x:v>Southwark</x:v>
      </x:c>
      <x:c r="D853" s="44" t="n">
        <x:v>51.475510627331936</x:v>
      </x:c>
      <x:c r="E853" s="44" t="n">
        <x:v>-0.08073836752178432</x:v>
      </x:c>
      <x:c r="F853" s="33" t="n">
        <x:v>668</x:v>
      </x:c>
      <x:c r="G853" s="33" t="n">
        <x:v>298</x:v>
      </x:c>
      <x:c r="H853" s="26" t="n">
        <x:v>0.44610778443113774</x:v>
      </x:c>
      <x:c r="I853" s="12" t="n">
        <x:v>2</x:v>
      </x:c>
      <x:c r="J853" s="12" t="n">
        <x:v>43</x:v>
      </x:c>
      <x:c r="K853" s="12"/>
      <x:c r="L853" s="12"/>
      <x:c r="M853" s="12" t="str">
        <x:f>IF(K853="", "", MAX(0,IF(K853&lt;=20,100,IF(K853&lt;=30,85,IF(K853&lt;=40,70,IF(K853&lt;=50,55,IF(K853&lt;=60,40,20)))))-MIN(L853*5,20)))</x:f>
      </x:c>
      <x:c r="N853" s="12"/>
      <x:c r="O853" s="12"/>
      <x:c r="P853" s="12" t="str">
        <x:f>IF(OR(H853="",J853="",M853=""),"",ROUND(PERCENTRANK.INC($H$2:$H$941,H853)*35+J853*0.35+M853*0.30,0))</x:f>
      </x:c>
      <x:c r="Q853" s="12" t="str">
        <x:f>IF(P853="","",IF(P853&gt;=80,"ATTACK",IF(P853&gt;=65,"GROW",IF(P853&gt;=50,"PARTNER","WATCH"))))</x:f>
      </x:c>
      <x:c r="R853" s="12" t="str">
        <x:f>IF(Q853="","",IF(Q853="ATTACK","Grassroots + family acquisition",IF(Q853="GROW","Test local campaign",IF(Q853="PARTNER","Organisation-first partnership","Low priority / validate"))))</x:f>
      </x:c>
      <x:c r="S853" s="45" t="n">
        <x:v>11.615320243985273</x:v>
      </x:c>
      <x:c r="T853" t="str">
        <x:v>EXTENDED</x:v>
      </x:c>
      <x:c r="U853" s="32" t="n">
        <x:f>PERCENTRANK.INC($G$2:$G$941,G853)</x:f>
        <x:v>0.94</x:v>
      </x:c>
      <x:c r="V853" s="32" t="n">
        <x:f>PERCENTRANK.INC($H$2:$H$941,H853)</x:f>
        <x:v>0.975</x:v>
      </x:c>
      <x:c r="W853" t="n">
        <x:f>ROUND((U853*55+V853*45)*IF(S853&lt;=5,1,IF(S853&lt;=10,0.95,IF(S853&lt;=20,0.85,0.70))),0)</x:f>
        <x:v>81</x:v>
      </x:c>
      <x:c r="X853" t="n">
        <x:v>64</x:v>
      </x:c>
      <x:c r="Y853" t="str">
        <x:v>PARTNER</x:v>
      </x:c>
      <x:c r="Z853" s="12" t="str">
        <x:v>Family + verified grassroots + straight-line geo only; transport not yet routed</x:v>
      </x:c>
      <x:c r="AA853" s="12"/>
      <x:c r="AB853" s="12"/>
      <x:c r="AC853" s="12"/>
      <x:c r="AD853" s="12"/>
      <x:c r="AE853" t="str">
        <x:v>Chelsea Women</x:v>
      </x:c>
      <x:c r="AF853" s="45" t="n">
        <x:v>7.668975569062196</x:v>
      </x:c>
      <x:c r="AG853" t="str">
        <x:v>Dulwich Hamlet Women</x:v>
      </x:c>
      <x:c r="AH853" s="45" t="n">
        <x:v>1.5938243951869546</x:v>
      </x:c>
      <x:c r="AI853" t="n">
        <x:v>78</x:v>
      </x:c>
      <x:c r="AJ853" t="str">
        <x:v>HIGH</x:v>
      </x:c>
    </x:row>
    <x:row r="854">
      <x:c r="A854" s="12" t="str">
        <x:v>E01004011</x:v>
      </x:c>
      <x:c r="B854" s="12" t="str">
        <x:v>Southwark 019B</x:v>
      </x:c>
      <x:c r="C854" s="12" t="str">
        <x:v>Southwark</x:v>
      </x:c>
      <x:c r="D854" s="44" t="n">
        <x:v>51.477898996589964</x:v>
      </x:c>
      <x:c r="E854" s="44" t="n">
        <x:v>-0.07846763358293388</x:v>
      </x:c>
      <x:c r="F854" s="33" t="n">
        <x:v>827</x:v>
      </x:c>
      <x:c r="G854" s="33" t="n">
        <x:v>243</x:v>
      </x:c>
      <x:c r="H854" s="26" t="n">
        <x:v>0.29383313180169285</x:v>
      </x:c>
      <x:c r="I854" s="12" t="n">
        <x:v>2</x:v>
      </x:c>
      <x:c r="J854" s="12" t="n">
        <x:v>43</x:v>
      </x:c>
      <x:c r="K854" s="12"/>
      <x:c r="L854" s="12"/>
      <x:c r="M854" s="12" t="str">
        <x:f>IF(K854="", "", MAX(0,IF(K854&lt;=20,100,IF(K854&lt;=30,85,IF(K854&lt;=40,70,IF(K854&lt;=50,55,IF(K854&lt;=60,40,20)))))-MIN(L854*5,20)))</x:f>
      </x:c>
      <x:c r="N854" s="12"/>
      <x:c r="O854" s="12"/>
      <x:c r="P854" s="12" t="str">
        <x:f>IF(OR(H854="",J854="",M854=""),"",ROUND(PERCENTRANK.INC($H$2:$H$941,H854)*35+J854*0.35+M854*0.30,0))</x:f>
      </x:c>
      <x:c r="Q854" s="12" t="str">
        <x:f>IF(P854="","",IF(P854&gt;=80,"ATTACK",IF(P854&gt;=65,"GROW",IF(P854&gt;=50,"PARTNER","WATCH"))))</x:f>
      </x:c>
      <x:c r="R854" s="12" t="str">
        <x:f>IF(Q854="","",IF(Q854="ATTACK","Grassroots + family acquisition",IF(Q854="GROW","Test local campaign",IF(Q854="PARTNER","Organisation-first partnership","Low priority / validate"))))</x:f>
      </x:c>
      <x:c r="S854" s="45" t="n">
        <x:v>11.74105386295213</x:v>
      </x:c>
      <x:c r="T854" t="str">
        <x:v>EXTENDED</x:v>
      </x:c>
      <x:c r="U854" s="32" t="n">
        <x:f>PERCENTRANK.INC($G$2:$G$941,G854)</x:f>
        <x:v>0.73</x:v>
      </x:c>
      <x:c r="V854" s="32" t="n">
        <x:f>PERCENTRANK.INC($H$2:$H$941,H854)</x:f>
        <x:v>0.363</x:v>
      </x:c>
      <x:c r="W854" t="n">
        <x:f>ROUND((U854*55+V854*45)*IF(S854&lt;=5,1,IF(S854&lt;=10,0.95,IF(S854&lt;=20,0.85,0.70))),0)</x:f>
        <x:v>48</x:v>
      </x:c>
      <x:c r="X854" t="n">
        <x:v>46</x:v>
      </x:c>
      <x:c r="Y854" t="str">
        <x:v>WATCH</x:v>
      </x:c>
      <x:c r="Z854" s="12" t="str">
        <x:v>Family + verified grassroots + straight-line geo only; transport not yet routed</x:v>
      </x:c>
      <x:c r="AA854" s="12"/>
      <x:c r="AB854" s="12"/>
      <x:c r="AC854" s="12"/>
      <x:c r="AD854" s="12"/>
      <x:c r="AE854" t="str">
        <x:v>Chelsea Women</x:v>
      </x:c>
      <x:c r="AF854" s="45" t="n">
        <x:v>7.806532668239231</x:v>
      </x:c>
      <x:c r="AG854" t="str">
        <x:v>Dulwich Hamlet Women</x:v>
      </x:c>
      <x:c r="AH854" s="45" t="n">
        <x:v>1.882629002615602</x:v>
      </x:c>
      <x:c r="AI854" t="n">
        <x:v>78</x:v>
      </x:c>
      <x:c r="AJ854" t="str">
        <x:v>HIGH</x:v>
      </x:c>
    </x:row>
    <x:row r="855">
      <x:c r="A855" s="12" t="str">
        <x:v>E01004012</x:v>
      </x:c>
      <x:c r="B855" s="12" t="str">
        <x:v>Southwark 019C</x:v>
      </x:c>
      <x:c r="C855" s="12" t="str">
        <x:v>Southwark</x:v>
      </x:c>
      <x:c r="D855" s="44" t="n">
        <x:v>51.48052787689043</x:v>
      </x:c>
      <x:c r="E855" s="44" t="n">
        <x:v>-0.08082495255120918</x:v>
      </x:c>
      <x:c r="F855" s="33" t="n">
        <x:v>919</x:v>
      </x:c>
      <x:c r="G855" s="33" t="n">
        <x:v>266</x:v>
      </x:c>
      <x:c r="H855" s="26" t="n">
        <x:v>0.28944504896626766</x:v>
      </x:c>
      <x:c r="I855" s="12" t="n">
        <x:v>2</x:v>
      </x:c>
      <x:c r="J855" s="12" t="n">
        <x:v>43</x:v>
      </x:c>
      <x:c r="K855" s="12"/>
      <x:c r="L855" s="12"/>
      <x:c r="M855" s="12" t="str">
        <x:f>IF(K855="", "", MAX(0,IF(K855&lt;=20,100,IF(K855&lt;=30,85,IF(K855&lt;=40,70,IF(K855&lt;=50,55,IF(K855&lt;=60,40,20)))))-MIN(L855*5,20)))</x:f>
      </x:c>
      <x:c r="N855" s="12"/>
      <x:c r="O855" s="12"/>
      <x:c r="P855" s="12" t="str">
        <x:f>IF(OR(H855="",J855="",M855=""),"",ROUND(PERCENTRANK.INC($H$2:$H$941,H855)*35+J855*0.35+M855*0.30,0))</x:f>
      </x:c>
      <x:c r="Q855" s="12" t="str">
        <x:f>IF(P855="","",IF(P855&gt;=80,"ATTACK",IF(P855&gt;=65,"GROW",IF(P855&gt;=50,"PARTNER","WATCH"))))</x:f>
      </x:c>
      <x:c r="R855" s="12" t="str">
        <x:f>IF(Q855="","",IF(Q855="ATTACK","Grassroots + family acquisition",IF(Q855="GROW","Test local campaign",IF(Q855="PARTNER","Organisation-first partnership","Low priority / validate"))))</x:f>
      </x:c>
      <x:c r="S855" s="45" t="n">
        <x:v>12.074392806647726</x:v>
      </x:c>
      <x:c r="T855" t="str">
        <x:v>EXTENDED</x:v>
      </x:c>
      <x:c r="U855" s="32" t="n">
        <x:f>PERCENTRANK.INC($G$2:$G$941,G855)</x:f>
        <x:v>0.854</x:v>
      </x:c>
      <x:c r="V855" s="32" t="n">
        <x:f>PERCENTRANK.INC($H$2:$H$941,H855)</x:f>
        <x:v>0.343</x:v>
      </x:c>
      <x:c r="W855" t="n">
        <x:f>ROUND((U855*55+V855*45)*IF(S855&lt;=5,1,IF(S855&lt;=10,0.95,IF(S855&lt;=20,0.85,0.70))),0)</x:f>
        <x:v>53</x:v>
      </x:c>
      <x:c r="X855" t="n">
        <x:v>49</x:v>
      </x:c>
      <x:c r="Y855" t="str">
        <x:v>WATCH</x:v>
      </x:c>
      <x:c r="Z855" s="12" t="str">
        <x:v>Family + verified grassroots + straight-line geo only; transport not yet routed</x:v>
      </x:c>
      <x:c r="AA855" s="12"/>
      <x:c r="AB855" s="12"/>
      <x:c r="AC855" s="12"/>
      <x:c r="AD855" s="12"/>
      <x:c r="AE855" t="str">
        <x:v>Chelsea Women</x:v>
      </x:c>
      <x:c r="AF855" s="45" t="n">
        <x:v>7.632728555573145</x:v>
      </x:c>
      <x:c r="AG855" t="str">
        <x:v>Dulwich Hamlet Women</x:v>
      </x:c>
      <x:c r="AH855" s="45" t="n">
        <x:v>2.146972281776572</x:v>
      </x:c>
      <x:c r="AI855" t="n">
        <x:v>78</x:v>
      </x:c>
      <x:c r="AJ855" t="str">
        <x:v>HIGH</x:v>
      </x:c>
    </x:row>
    <x:row r="856">
      <x:c r="A856" s="12" t="str">
        <x:v>E01004013</x:v>
      </x:c>
      <x:c r="B856" s="12" t="str">
        <x:v>Southwark 019D</x:v>
      </x:c>
      <x:c r="C856" s="12" t="str">
        <x:v>Southwark</x:v>
      </x:c>
      <x:c r="D856" s="44" t="n">
        <x:v>51.475545141791024</x:v>
      </x:c>
      <x:c r="E856" s="44" t="n">
        <x:v>-0.0752385702407017</x:v>
      </x:c>
      <x:c r="F856" s="33" t="n">
        <x:v>660</x:v>
      </x:c>
      <x:c r="G856" s="33" t="n">
        <x:v>167</x:v>
      </x:c>
      <x:c r="H856" s="26" t="n">
        <x:v>0.25303030303030305</x:v>
      </x:c>
      <x:c r="I856" s="12" t="n">
        <x:v>2</x:v>
      </x:c>
      <x:c r="J856" s="12" t="n">
        <x:v>43</x:v>
      </x:c>
      <x:c r="K856" s="12"/>
      <x:c r="L856" s="12"/>
      <x:c r="M856" s="12" t="str">
        <x:f>IF(K856="", "", MAX(0,IF(K856&lt;=20,100,IF(K856&lt;=30,85,IF(K856&lt;=40,70,IF(K856&lt;=50,55,IF(K856&lt;=60,40,20)))))-MIN(L856*5,20)))</x:f>
      </x:c>
      <x:c r="N856" s="12"/>
      <x:c r="O856" s="12"/>
      <x:c r="P856" s="12" t="str">
        <x:f>IF(OR(H856="",J856="",M856=""),"",ROUND(PERCENTRANK.INC($H$2:$H$941,H856)*35+J856*0.35+M856*0.30,0))</x:f>
      </x:c>
      <x:c r="Q856" s="12" t="str">
        <x:f>IF(P856="","",IF(P856&gt;=80,"ATTACK",IF(P856&gt;=65,"GROW",IF(P856&gt;=50,"PARTNER","WATCH"))))</x:f>
      </x:c>
      <x:c r="R856" s="12" t="str">
        <x:f>IF(Q856="","",IF(Q856="ATTACK","Grassroots + family acquisition",IF(Q856="GROW","Test local campaign",IF(Q856="PARTNER","Organisation-first partnership","Low priority / validate"))))</x:f>
      </x:c>
      <x:c r="S856" s="45" t="n">
        <x:v>11.39865288041596</x:v>
      </x:c>
      <x:c r="T856" t="str">
        <x:v>EXTENDED</x:v>
      </x:c>
      <x:c r="U856" s="32" t="n">
        <x:f>PERCENTRANK.INC($G$2:$G$941,G856)</x:f>
        <x:v>0.156</x:v>
      </x:c>
      <x:c r="V856" s="32" t="n">
        <x:f>PERCENTRANK.INC($H$2:$H$941,H856)</x:f>
        <x:v>0.194</x:v>
      </x:c>
      <x:c r="W856" t="n">
        <x:f>ROUND((U856*55+V856*45)*IF(S856&lt;=5,1,IF(S856&lt;=10,0.95,IF(S856&lt;=20,0.85,0.70))),0)</x:f>
        <x:v>15</x:v>
      </x:c>
      <x:c r="X856" t="n">
        <x:v>28</x:v>
      </x:c>
      <x:c r="Y856" t="str">
        <x:v>WATCH</x:v>
      </x:c>
      <x:c r="Z856" s="12" t="str">
        <x:v>Family + verified grassroots + straight-line geo only; transport not yet routed</x:v>
      </x:c>
      <x:c r="AA856" s="12"/>
      <x:c r="AB856" s="12"/>
      <x:c r="AC856" s="12"/>
      <x:c r="AD856" s="12"/>
      <x:c r="AE856" t="str">
        <x:v>Charlton Athletic Women</x:v>
      </x:c>
      <x:c r="AF856" s="45" t="n">
        <x:v>7.807461374819317</x:v>
      </x:c>
      <x:c r="AG856" t="str">
        <x:v>Dulwich Hamlet Women</x:v>
      </x:c>
      <x:c r="AH856" s="45" t="n">
        <x:v>1.693700139974801</x:v>
      </x:c>
      <x:c r="AI856" t="n">
        <x:v>78</x:v>
      </x:c>
      <x:c r="AJ856" t="str">
        <x:v>HIGH</x:v>
      </x:c>
    </x:row>
    <x:row r="857">
      <x:c r="A857" s="12" t="str">
        <x:v>E01004014</x:v>
      </x:c>
      <x:c r="B857" s="12" t="str">
        <x:v>Southwark 019E</x:v>
      </x:c>
      <x:c r="C857" s="12" t="str">
        <x:v>Southwark</x:v>
      </x:c>
      <x:c r="D857" s="44" t="n">
        <x:v>51.480538234499384</x:v>
      </x:c>
      <x:c r="E857" s="44" t="n">
        <x:v>-0.07536238378020604</x:v>
      </x:c>
      <x:c r="F857" s="33" t="n">
        <x:v>813</x:v>
      </x:c>
      <x:c r="G857" s="33" t="n">
        <x:v>291</x:v>
      </x:c>
      <x:c r="H857" s="26" t="n">
        <x:v>0.35793357933579334</x:v>
      </x:c>
      <x:c r="I857" s="12" t="n">
        <x:v>2</x:v>
      </x:c>
      <x:c r="J857" s="12" t="n">
        <x:v>43</x:v>
      </x:c>
      <x:c r="K857" s="12"/>
      <x:c r="L857" s="12"/>
      <x:c r="M857" s="12" t="str">
        <x:f>IF(K857="", "", MAX(0,IF(K857&lt;=20,100,IF(K857&lt;=30,85,IF(K857&lt;=40,70,IF(K857&lt;=50,55,IF(K857&lt;=60,40,20)))))-MIN(L857*5,20)))</x:f>
      </x:c>
      <x:c r="N857" s="12"/>
      <x:c r="O857" s="12"/>
      <x:c r="P857" s="12" t="str">
        <x:f>IF(OR(H857="",J857="",M857=""),"",ROUND(PERCENTRANK.INC($H$2:$H$941,H857)*35+J857*0.35+M857*0.30,0))</x:f>
      </x:c>
      <x:c r="Q857" s="12" t="str">
        <x:f>IF(P857="","",IF(P857&gt;=80,"ATTACK",IF(P857&gt;=65,"GROW",IF(P857&gt;=50,"PARTNER","WATCH"))))</x:f>
      </x:c>
      <x:c r="R857" s="12" t="str">
        <x:f>IF(Q857="","",IF(Q857="ATTACK","Grassroots + family acquisition",IF(Q857="GROW","Test local campaign",IF(Q857="PARTNER","Organisation-first partnership","Low priority / validate"))))</x:f>
      </x:c>
      <x:c r="S857" s="45" t="n">
        <x:v>11.865271015458779</x:v>
      </x:c>
      <x:c r="T857" t="str">
        <x:v>EXTENDED</x:v>
      </x:c>
      <x:c r="U857" s="32" t="n">
        <x:f>PERCENTRANK.INC($G$2:$G$941,G857)</x:f>
        <x:v>0.929</x:v>
      </x:c>
      <x:c r="V857" s="32" t="n">
        <x:f>PERCENTRANK.INC($H$2:$H$941,H857)</x:f>
        <x:v>0.728</x:v>
      </x:c>
      <x:c r="W857" t="n">
        <x:f>ROUND((U857*55+V857*45)*IF(S857&lt;=5,1,IF(S857&lt;=10,0.95,IF(S857&lt;=20,0.85,0.70))),0)</x:f>
        <x:v>71</x:v>
      </x:c>
      <x:c r="X857" t="n">
        <x:v>59</x:v>
      </x:c>
      <x:c r="Y857" t="str">
        <x:v>PARTNER</x:v>
      </x:c>
      <x:c r="Z857" s="12" t="str">
        <x:v>Family + verified grassroots + straight-line geo only; transport not yet routed</x:v>
      </x:c>
      <x:c r="AA857" s="12"/>
      <x:c r="AB857" s="12"/>
      <x:c r="AC857" s="12"/>
      <x:c r="AD857" s="12"/>
      <x:c r="AE857" t="str">
        <x:v>Charlton Athletic Women</x:v>
      </x:c>
      <x:c r="AF857" s="45" t="n">
        <x:v>7.749209565377511</x:v>
      </x:c>
      <x:c r="AG857" t="str">
        <x:v>Dulwich Hamlet Women</x:v>
      </x:c>
      <x:c r="AH857" s="45" t="n">
        <x:v>2.218769879646366</x:v>
      </x:c>
      <x:c r="AI857" t="n">
        <x:v>78</x:v>
      </x:c>
      <x:c r="AJ857" t="str">
        <x:v>HIGH</x:v>
      </x:c>
    </x:row>
    <x:row r="858">
      <x:c r="A858" s="12" t="str">
        <x:v>E01003911</x:v>
      </x:c>
      <x:c r="B858" s="12" t="str">
        <x:v>Southwark 020A</x:v>
      </x:c>
      <x:c r="C858" s="12" t="str">
        <x:v>Southwark</x:v>
      </x:c>
      <x:c r="D858" s="44" t="n">
        <x:v>51.473976899819185</x:v>
      </x:c>
      <x:c r="E858" s="44" t="n">
        <x:v>-0.08534481153548842</x:v>
      </x:c>
      <x:c r="F858" s="33" t="n">
        <x:v>752</x:v>
      </x:c>
      <x:c r="G858" s="33" t="n">
        <x:v>249</x:v>
      </x:c>
      <x:c r="H858" s="26" t="n">
        <x:v>0.33111702127659576</x:v>
      </x:c>
      <x:c r="I858" s="12" t="n">
        <x:v>2</x:v>
      </x:c>
      <x:c r="J858" s="12" t="n">
        <x:v>43</x:v>
      </x:c>
      <x:c r="K858" s="12"/>
      <x:c r="L858" s="12"/>
      <x:c r="M858" s="12" t="str">
        <x:f>IF(K858="", "", MAX(0,IF(K858&lt;=20,100,IF(K858&lt;=30,85,IF(K858&lt;=40,70,IF(K858&lt;=50,55,IF(K858&lt;=60,40,20)))))-MIN(L858*5,20)))</x:f>
      </x:c>
      <x:c r="N858" s="12"/>
      <x:c r="O858" s="12"/>
      <x:c r="P858" s="12" t="str">
        <x:f>IF(OR(H858="",J858="",M858=""),"",ROUND(PERCENTRANK.INC($H$2:$H$941,H858)*35+J858*0.35+M858*0.30,0))</x:f>
      </x:c>
      <x:c r="Q858" s="12" t="str">
        <x:f>IF(P858="","",IF(P858&gt;=80,"ATTACK",IF(P858&gt;=65,"GROW",IF(P858&gt;=50,"PARTNER","WATCH"))))</x:f>
      </x:c>
      <x:c r="R858" s="12" t="str">
        <x:f>IF(Q858="","",IF(Q858="ATTACK","Grassroots + family acquisition",IF(Q858="GROW","Test local campaign",IF(Q858="PARTNER","Organisation-first partnership","Low priority / validate"))))</x:f>
      </x:c>
      <x:c r="S858" s="45" t="n">
        <x:v>11.670525410565833</x:v>
      </x:c>
      <x:c r="T858" t="str">
        <x:v>EXTENDED</x:v>
      </x:c>
      <x:c r="U858" s="32" t="n">
        <x:f>PERCENTRANK.INC($G$2:$G$941,G858)</x:f>
        <x:v>0.766</x:v>
      </x:c>
      <x:c r="V858" s="32" t="n">
        <x:f>PERCENTRANK.INC($H$2:$H$941,H858)</x:f>
        <x:v>0.574</x:v>
      </x:c>
      <x:c r="W858" t="n">
        <x:f>ROUND((U858*55+V858*45)*IF(S858&lt;=5,1,IF(S858&lt;=10,0.95,IF(S858&lt;=20,0.85,0.70))),0)</x:f>
        <x:v>58</x:v>
      </x:c>
      <x:c r="X858" t="n">
        <x:v>52</x:v>
      </x:c>
      <x:c r="Y858" t="str">
        <x:v>PARTNER</x:v>
      </x:c>
      <x:c r="Z858" s="12" t="str">
        <x:v>Family + verified grassroots + straight-line geo only; transport not yet routed</x:v>
      </x:c>
      <x:c r="AA858" s="12"/>
      <x:c r="AB858" s="12"/>
      <x:c r="AC858" s="12"/>
      <x:c r="AD858" s="12"/>
      <x:c r="AE858" t="str">
        <x:v>Chelsea Women</x:v>
      </x:c>
      <x:c r="AF858" s="45" t="n">
        <x:v>7.369353032510186</x:v>
      </x:c>
      <x:c r="AG858" t="str">
        <x:v>Dulwich Hamlet Women</x:v>
      </x:c>
      <x:c r="AH858" s="45" t="n">
        <x:v>1.410556747413647</x:v>
      </x:c>
      <x:c r="AI858" t="n">
        <x:v>78</x:v>
      </x:c>
      <x:c r="AJ858" t="str">
        <x:v>HIGH</x:v>
      </x:c>
    </x:row>
    <x:row r="859">
      <x:c r="A859" s="12" t="str">
        <x:v>E01003916</x:v>
      </x:c>
      <x:c r="B859" s="12" t="str">
        <x:v>Southwark 020B</x:v>
      </x:c>
      <x:c r="C859" s="12" t="str">
        <x:v>Southwark</x:v>
      </x:c>
      <x:c r="D859" s="44" t="n">
        <x:v>51.47844620662157</x:v>
      </x:c>
      <x:c r="E859" s="44" t="n">
        <x:v>-0.08334113986185619</x:v>
      </x:c>
      <x:c r="F859" s="33" t="n">
        <x:v>912</x:v>
      </x:c>
      <x:c r="G859" s="33" t="n">
        <x:v>224</x:v>
      </x:c>
      <x:c r="H859" s="26" t="n">
        <x:v>0.24561403508771928</x:v>
      </x:c>
      <x:c r="I859" s="12" t="n">
        <x:v>2</x:v>
      </x:c>
      <x:c r="J859" s="12" t="n">
        <x:v>43</x:v>
      </x:c>
      <x:c r="K859" s="12"/>
      <x:c r="L859" s="12"/>
      <x:c r="M859" s="12" t="str">
        <x:f>IF(K859="", "", MAX(0,IF(K859&lt;=20,100,IF(K859&lt;=30,85,IF(K859&lt;=40,70,IF(K859&lt;=50,55,IF(K859&lt;=60,40,20)))))-MIN(L859*5,20)))</x:f>
      </x:c>
      <x:c r="N859" s="12"/>
      <x:c r="O859" s="12"/>
      <x:c r="P859" s="12" t="str">
        <x:f>IF(OR(H859="",J859="",M859=""),"",ROUND(PERCENTRANK.INC($H$2:$H$941,H859)*35+J859*0.35+M859*0.30,0))</x:f>
      </x:c>
      <x:c r="Q859" s="12" t="str">
        <x:f>IF(P859="","",IF(P859&gt;=80,"ATTACK",IF(P859&gt;=65,"GROW",IF(P859&gt;=50,"PARTNER","WATCH"))))</x:f>
      </x:c>
      <x:c r="R859" s="12" t="str">
        <x:f>IF(Q859="","",IF(Q859="ATTACK","Grassroots + family acquisition",IF(Q859="GROW","Test local campaign",IF(Q859="PARTNER","Organisation-first partnership","Low priority / validate"))))</x:f>
      </x:c>
      <x:c r="S859" s="45" t="n">
        <x:v>11.985423570640133</x:v>
      </x:c>
      <x:c r="T859" t="str">
        <x:v>EXTENDED</x:v>
      </x:c>
      <x:c r="U859" s="32" t="n">
        <x:f>PERCENTRANK.INC($G$2:$G$941,G859)</x:f>
        <x:v>0.576</x:v>
      </x:c>
      <x:c r="V859" s="32" t="n">
        <x:f>PERCENTRANK.INC($H$2:$H$941,H859)</x:f>
        <x:v>0.171</x:v>
      </x:c>
      <x:c r="W859" t="n">
        <x:f>ROUND((U859*55+V859*45)*IF(S859&lt;=5,1,IF(S859&lt;=10,0.95,IF(S859&lt;=20,0.85,0.70))),0)</x:f>
        <x:v>33</x:v>
      </x:c>
      <x:c r="X859" t="n">
        <x:v>38</x:v>
      </x:c>
      <x:c r="Y859" t="str">
        <x:v>WATCH</x:v>
      </x:c>
      <x:c r="Z859" s="12" t="str">
        <x:v>Family + verified grassroots + straight-line geo only; transport not yet routed</x:v>
      </x:c>
      <x:c r="AA859" s="12"/>
      <x:c r="AB859" s="12"/>
      <x:c r="AC859" s="12"/>
      <x:c r="AD859" s="12"/>
      <x:c r="AE859" t="str">
        <x:v>Chelsea Women</x:v>
      </x:c>
      <x:c r="AF859" s="45" t="n">
        <x:v>7.466313284665228</x:v>
      </x:c>
      <x:c r="AG859" t="str">
        <x:v>Dulwich Hamlet Women</x:v>
      </x:c>
      <x:c r="AH859" s="45" t="n">
        <x:v>1.9048639868861441</x:v>
      </x:c>
      <x:c r="AI859" t="n">
        <x:v>78</x:v>
      </x:c>
      <x:c r="AJ859" t="str">
        <x:v>HIGH</x:v>
      </x:c>
    </x:row>
    <x:row r="860">
      <x:c r="A860" s="12" t="str">
        <x:v>E01003917</x:v>
      </x:c>
      <x:c r="B860" s="12" t="str">
        <x:v>Southwark 020C</x:v>
      </x:c>
      <x:c r="C860" s="12" t="str">
        <x:v>Southwark</x:v>
      </x:c>
      <x:c r="D860" s="44" t="n">
        <x:v>51.47633252823327</x:v>
      </x:c>
      <x:c r="E860" s="44" t="n">
        <x:v>-0.08546497850729244</x:v>
      </x:c>
      <x:c r="F860" s="33" t="n">
        <x:v>872</x:v>
      </x:c>
      <x:c r="G860" s="33" t="n">
        <x:v>173</x:v>
      </x:c>
      <x:c r="H860" s="26" t="n">
        <x:v>0.19839449541284404</x:v>
      </x:c>
      <x:c r="I860" s="12" t="n">
        <x:v>2</x:v>
      </x:c>
      <x:c r="J860" s="12" t="n">
        <x:v>43</x:v>
      </x:c>
      <x:c r="K860" s="12"/>
      <x:c r="L860" s="12"/>
      <x:c r="M860" s="12" t="str">
        <x:f>IF(K860="", "", MAX(0,IF(K860&lt;=20,100,IF(K860&lt;=30,85,IF(K860&lt;=40,70,IF(K860&lt;=50,55,IF(K860&lt;=60,40,20)))))-MIN(L860*5,20)))</x:f>
      </x:c>
      <x:c r="N860" s="12"/>
      <x:c r="O860" s="12"/>
      <x:c r="P860" s="12" t="str">
        <x:f>IF(OR(H860="",J860="",M860=""),"",ROUND(PERCENTRANK.INC($H$2:$H$941,H860)*35+J860*0.35+M860*0.30,0))</x:f>
      </x:c>
      <x:c r="Q860" s="12" t="str">
        <x:f>IF(P860="","",IF(P860&gt;=80,"ATTACK",IF(P860&gt;=65,"GROW",IF(P860&gt;=50,"PARTNER","WATCH"))))</x:f>
      </x:c>
      <x:c r="R860" s="12" t="str">
        <x:f>IF(Q860="","",IF(Q860="ATTACK","Grassroots + family acquisition",IF(Q860="GROW","Test local campaign",IF(Q860="PARTNER","Organisation-first partnership","Low priority / validate"))))</x:f>
      </x:c>
      <x:c r="S860" s="45" t="n">
        <x:v>11.883631458047548</x:v>
      </x:c>
      <x:c r="T860" t="str">
        <x:v>EXTENDED</x:v>
      </x:c>
      <x:c r="U860" s="32" t="n">
        <x:f>PERCENTRANK.INC($G$2:$G$941,G860)</x:f>
        <x:v>0.185</x:v>
      </x:c>
      <x:c r="V860" s="32" t="n">
        <x:f>PERCENTRANK.INC($H$2:$H$941,H860)</x:f>
        <x:v>0.066</x:v>
      </x:c>
      <x:c r="W860" t="n">
        <x:f>ROUND((U860*55+V860*45)*IF(S860&lt;=5,1,IF(S860&lt;=10,0.95,IF(S860&lt;=20,0.85,0.70))),0)</x:f>
        <x:v>11</x:v>
      </x:c>
      <x:c r="X860" t="n">
        <x:v>26</x:v>
      </x:c>
      <x:c r="Y860" t="str">
        <x:v>WATCH</x:v>
      </x:c>
      <x:c r="Z860" s="12" t="str">
        <x:v>Family + verified grassroots + straight-line geo only; transport not yet routed</x:v>
      </x:c>
      <x:c r="AA860" s="12"/>
      <x:c r="AB860" s="12"/>
      <x:c r="AC860" s="12"/>
      <x:c r="AD860" s="12"/>
      <x:c r="AE860" t="str">
        <x:v>Chelsea Women</x:v>
      </x:c>
      <x:c r="AF860" s="45" t="n">
        <x:v>7.334955963804211</x:v>
      </x:c>
      <x:c r="AG860" t="str">
        <x:v>Dulwich Hamlet Women</x:v>
      </x:c>
      <x:c r="AH860" s="45" t="n">
        <x:v>1.6724853719565946</x:v>
      </x:c>
      <x:c r="AI860" t="n">
        <x:v>78</x:v>
      </x:c>
      <x:c r="AJ860" t="str">
        <x:v>HIGH</x:v>
      </x:c>
    </x:row>
    <x:row r="861">
      <x:c r="A861" s="12" t="str">
        <x:v>E01003918</x:v>
      </x:c>
      <x:c r="B861" s="12" t="str">
        <x:v>Southwark 020D</x:v>
      </x:c>
      <x:c r="C861" s="12" t="str">
        <x:v>Southwark</x:v>
      </x:c>
      <x:c r="D861" s="44" t="n">
        <x:v>51.47704671876733</x:v>
      </x:c>
      <x:c r="E861" s="44" t="n">
        <x:v>-0.0893584839596348</x:v>
      </x:c>
      <x:c r="F861" s="33" t="n">
        <x:v>647</x:v>
      </x:c>
      <x:c r="G861" s="33" t="n">
        <x:v>146</x:v>
      </x:c>
      <x:c r="H861" s="26" t="n">
        <x:v>0.22565687789799072</x:v>
      </x:c>
      <x:c r="I861" s="12" t="n">
        <x:v>1</x:v>
      </x:c>
      <x:c r="J861" s="12" t="n">
        <x:v>36</x:v>
      </x:c>
      <x:c r="K861" s="12"/>
      <x:c r="L861" s="12"/>
      <x:c r="M861" s="12" t="str">
        <x:f>IF(K861="", "", MAX(0,IF(K861&lt;=20,100,IF(K861&lt;=30,85,IF(K861&lt;=40,70,IF(K861&lt;=50,55,IF(K861&lt;=60,40,20)))))-MIN(L861*5,20)))</x:f>
      </x:c>
      <x:c r="N861" s="12"/>
      <x:c r="O861" s="12"/>
      <x:c r="P861" s="12" t="str">
        <x:f>IF(OR(H861="",J861="",M861=""),"",ROUND(PERCENTRANK.INC($H$2:$H$941,H861)*35+J861*0.35+M861*0.30,0))</x:f>
      </x:c>
      <x:c r="Q861" s="12" t="str">
        <x:f>IF(P861="","",IF(P861&gt;=80,"ATTACK",IF(P861&gt;=65,"GROW",IF(P861&gt;=50,"PARTNER","WATCH"))))</x:f>
      </x:c>
      <x:c r="R861" s="12" t="str">
        <x:f>IF(Q861="","",IF(Q861="ATTACK","Grassroots + family acquisition",IF(Q861="GROW","Test local campaign",IF(Q861="PARTNER","Organisation-first partnership","Low priority / validate"))))</x:f>
      </x:c>
      <x:c r="S861" s="45" t="n">
        <x:v>12.11062063794645</x:v>
      </x:c>
      <x:c r="T861" t="str">
        <x:v>EXTENDED</x:v>
      </x:c>
      <x:c r="U861" s="32" t="n">
        <x:f>PERCENTRANK.INC($G$2:$G$941,G861)</x:f>
        <x:v>0.08</x:v>
      </x:c>
      <x:c r="V861" s="32" t="n">
        <x:f>PERCENTRANK.INC($H$2:$H$941,H861)</x:f>
        <x:v>0.12</x:v>
      </x:c>
      <x:c r="W861" t="n">
        <x:f>ROUND((U861*55+V861*45)*IF(S861&lt;=5,1,IF(S861&lt;=10,0.95,IF(S861&lt;=20,0.85,0.70))),0)</x:f>
        <x:v>8</x:v>
      </x:c>
      <x:c r="X861" t="n">
        <x:v>21</x:v>
      </x:c>
      <x:c r="Y861" t="str">
        <x:v>WATCH</x:v>
      </x:c>
      <x:c r="Z861" s="12" t="str">
        <x:v>Family + verified grassroots + straight-line geo only; transport not yet routed</x:v>
      </x:c>
      <x:c r="AA861" s="12"/>
      <x:c r="AB861" s="12"/>
      <x:c r="AC861" s="12"/>
      <x:c r="AD861" s="12"/>
      <x:c r="AE861" t="str">
        <x:v>Chelsea Women</x:v>
      </x:c>
      <x:c r="AF861" s="45" t="n">
        <x:v>7.0599303841910395</x:v>
      </x:c>
      <x:c r="AG861" t="str">
        <x:v>Dulwich Hamlet Women</x:v>
      </x:c>
      <x:c r="AH861" s="45" t="n">
        <x:v>1.787978122273468</x:v>
      </x:c>
      <x:c r="AI861" t="n">
        <x:v>78</x:v>
      </x:c>
      <x:c r="AJ861" t="str">
        <x:v>HIGH</x:v>
      </x:c>
    </x:row>
    <x:row r="862">
      <x:c r="A862" s="12" t="str">
        <x:v>E01003925</x:v>
      </x:c>
      <x:c r="B862" s="12" t="str">
        <x:v>Southwark 020E</x:v>
      </x:c>
      <x:c r="C862" s="12" t="str">
        <x:v>Southwark</x:v>
      </x:c>
      <x:c r="D862" s="44" t="n">
        <x:v>51.47918360529873</x:v>
      </x:c>
      <x:c r="E862" s="44" t="n">
        <x:v>-0.09027426779882972</x:v>
      </x:c>
      <x:c r="F862" s="33" t="n">
        <x:v>839</x:v>
      </x:c>
      <x:c r="G862" s="33" t="n">
        <x:v>225</x:v>
      </x:c>
      <x:c r="H862" s="26" t="n">
        <x:v>0.26817640047675806</x:v>
      </x:c>
      <x:c r="I862" s="12" t="n">
        <x:v>1</x:v>
      </x:c>
      <x:c r="J862" s="12" t="n">
        <x:v>36</x:v>
      </x:c>
      <x:c r="K862" s="12"/>
      <x:c r="L862" s="12"/>
      <x:c r="M862" s="12" t="str">
        <x:f>IF(K862="", "", MAX(0,IF(K862&lt;=20,100,IF(K862&lt;=30,85,IF(K862&lt;=40,70,IF(K862&lt;=50,55,IF(K862&lt;=60,40,20)))))-MIN(L862*5,20)))</x:f>
      </x:c>
      <x:c r="N862" s="12"/>
      <x:c r="O862" s="12"/>
      <x:c r="P862" s="12" t="str">
        <x:f>IF(OR(H862="",J862="",M862=""),"",ROUND(PERCENTRANK.INC($H$2:$H$941,H862)*35+J862*0.35+M862*0.30,0))</x:f>
      </x:c>
      <x:c r="Q862" s="12" t="str">
        <x:f>IF(P862="","",IF(P862&gt;=80,"ATTACK",IF(P862&gt;=65,"GROW",IF(P862&gt;=50,"PARTNER","WATCH"))))</x:f>
      </x:c>
      <x:c r="R862" s="12" t="str">
        <x:f>IF(Q862="","",IF(Q862="ATTACK","Grassroots + family acquisition",IF(Q862="GROW","Test local campaign",IF(Q862="PARTNER","Organisation-first partnership","Low priority / validate"))))</x:f>
      </x:c>
      <x:c r="S862" s="45" t="n">
        <x:v>12.337548565259734</x:v>
      </x:c>
      <x:c r="T862" t="str">
        <x:v>EXTENDED</x:v>
      </x:c>
      <x:c r="U862" s="32" t="n">
        <x:f>PERCENTRANK.INC($G$2:$G$941,G862)</x:f>
        <x:v>0.586</x:v>
      </x:c>
      <x:c r="V862" s="32" t="n">
        <x:f>PERCENTRANK.INC($H$2:$H$941,H862)</x:f>
        <x:v>0.254</x:v>
      </x:c>
      <x:c r="W862" t="n">
        <x:f>ROUND((U862*55+V862*45)*IF(S862&lt;=5,1,IF(S862&lt;=10,0.95,IF(S862&lt;=20,0.85,0.70))),0)</x:f>
        <x:v>37</x:v>
      </x:c>
      <x:c r="X862" t="n">
        <x:v>37</x:v>
      </x:c>
      <x:c r="Y862" t="str">
        <x:v>WATCH</x:v>
      </x:c>
      <x:c r="Z862" s="12" t="str">
        <x:v>Family + verified grassroots + straight-line geo only; transport not yet routed</x:v>
      </x:c>
      <x:c r="AA862" s="12"/>
      <x:c r="AB862" s="12"/>
      <x:c r="AC862" s="12"/>
      <x:c r="AD862" s="12"/>
      <x:c r="AE862" t="str">
        <x:v>Chelsea Women</x:v>
      </x:c>
      <x:c r="AF862" s="45" t="n">
        <x:v>6.982969063732351</x:v>
      </x:c>
      <x:c r="AG862" t="str">
        <x:v>Dulwich Hamlet Women</x:v>
      </x:c>
      <x:c r="AH862" s="45" t="n">
        <x:v>2.0336279360035197</x:v>
      </x:c>
      <x:c r="AI862" t="n">
        <x:v>78</x:v>
      </x:c>
      <x:c r="AJ862" t="str">
        <x:v>HIGH</x:v>
      </x:c>
    </x:row>
    <x:row r="863">
      <x:c r="A863" s="12" t="str">
        <x:v>E01003919</x:v>
      </x:c>
      <x:c r="B863" s="12" t="str">
        <x:v>Southwark 021A</x:v>
      </x:c>
      <x:c r="C863" s="12" t="str">
        <x:v>Southwark</x:v>
      </x:c>
      <x:c r="D863" s="44" t="n">
        <x:v>51.475835697790174</x:v>
      </x:c>
      <x:c r="E863" s="44" t="n">
        <x:v>-0.09854031489477473</x:v>
      </x:c>
      <x:c r="F863" s="33" t="n">
        <x:v>681</x:v>
      </x:c>
      <x:c r="G863" s="33" t="n">
        <x:v>134</x:v>
      </x:c>
      <x:c r="H863" s="26" t="n">
        <x:v>0.19676945668135096</x:v>
      </x:c>
      <x:c r="I863" s="12" t="n">
        <x:v>1</x:v>
      </x:c>
      <x:c r="J863" s="12" t="n">
        <x:v>36</x:v>
      </x:c>
      <x:c r="K863" s="12"/>
      <x:c r="L863" s="12"/>
      <x:c r="M863" s="12" t="str">
        <x:f>IF(K863="", "", MAX(0,IF(K863&lt;=20,100,IF(K863&lt;=30,85,IF(K863&lt;=40,70,IF(K863&lt;=50,55,IF(K863&lt;=60,40,20)))))-MIN(L863*5,20)))</x:f>
      </x:c>
      <x:c r="N863" s="12"/>
      <x:c r="O863" s="12"/>
      <x:c r="P863" s="12" t="str">
        <x:f>IF(OR(H863="",J863="",M863=""),"",ROUND(PERCENTRANK.INC($H$2:$H$941,H863)*35+J863*0.35+M863*0.30,0))</x:f>
      </x:c>
      <x:c r="Q863" s="12" t="str">
        <x:f>IF(P863="","",IF(P863&gt;=80,"ATTACK",IF(P863&gt;=65,"GROW",IF(P863&gt;=50,"PARTNER","WATCH"))))</x:f>
      </x:c>
      <x:c r="R863" s="12" t="str">
        <x:f>IF(Q863="","",IF(Q863="ATTACK","Grassroots + family acquisition",IF(Q863="GROW","Test local campaign",IF(Q863="PARTNER","Organisation-first partnership","Low priority / validate"))))</x:f>
      </x:c>
      <x:c r="S863" s="45" t="n">
        <x:v>12.408180356013972</x:v>
      </x:c>
      <x:c r="T863" t="str">
        <x:v>EXTENDED</x:v>
      </x:c>
      <x:c r="U863" s="32" t="n">
        <x:f>PERCENTRANK.INC($G$2:$G$941,G863)</x:f>
        <x:v>0.056</x:v>
      </x:c>
      <x:c r="V863" s="32" t="n">
        <x:f>PERCENTRANK.INC($H$2:$H$941,H863)</x:f>
        <x:v>0.062</x:v>
      </x:c>
      <x:c r="W863" t="n">
        <x:f>ROUND((U863*55+V863*45)*IF(S863&lt;=5,1,IF(S863&lt;=10,0.95,IF(S863&lt;=20,0.85,0.70))),0)</x:f>
        <x:v>5</x:v>
      </x:c>
      <x:c r="X863" t="n">
        <x:v>19</x:v>
      </x:c>
      <x:c r="Y863" t="str">
        <x:v>WATCH</x:v>
      </x:c>
      <x:c r="Z863" s="12" t="str">
        <x:v>Family + verified grassroots + straight-line geo only; transport not yet routed</x:v>
      </x:c>
      <x:c r="AA863" s="12"/>
      <x:c r="AB863" s="12"/>
      <x:c r="AC863" s="12"/>
      <x:c r="AD863" s="12"/>
      <x:c r="AE863" t="str">
        <x:v>Chelsea Women</x:v>
      </x:c>
      <x:c r="AF863" s="45" t="n">
        <x:v>6.438277155453934</x:v>
      </x:c>
      <x:c r="AG863" t="str">
        <x:v>Dulwich Hamlet Women</x:v>
      </x:c>
      <x:c r="AH863" s="45" t="n">
        <x:v>1.9032721170920415</x:v>
      </x:c>
      <x:c r="AI863" t="n">
        <x:v>78</x:v>
      </x:c>
      <x:c r="AJ863" t="str">
        <x:v>HIGH</x:v>
      </x:c>
    </x:row>
    <x:row r="864">
      <x:c r="A864" s="12" t="str">
        <x:v>E01003920</x:v>
      </x:c>
      <x:c r="B864" s="12" t="str">
        <x:v>Southwark 021B</x:v>
      </x:c>
      <x:c r="C864" s="12" t="str">
        <x:v>Southwark</x:v>
      </x:c>
      <x:c r="D864" s="44" t="n">
        <x:v>51.47783475898357</x:v>
      </x:c>
      <x:c r="E864" s="44" t="n">
        <x:v>-0.09495103838709734</x:v>
      </x:c>
      <x:c r="F864" s="33" t="n">
        <x:v>909</x:v>
      </x:c>
      <x:c r="G864" s="33" t="n">
        <x:v>263</x:v>
      </x:c>
      <x:c r="H864" s="26" t="n">
        <x:v>0.2893289328932893</x:v>
      </x:c>
      <x:c r="I864" s="12" t="n">
        <x:v>1</x:v>
      </x:c>
      <x:c r="J864" s="12" t="n">
        <x:v>36</x:v>
      </x:c>
      <x:c r="K864" s="12"/>
      <x:c r="L864" s="12"/>
      <x:c r="M864" s="12" t="str">
        <x:f>IF(K864="", "", MAX(0,IF(K864&lt;=20,100,IF(K864&lt;=30,85,IF(K864&lt;=40,70,IF(K864&lt;=50,55,IF(K864&lt;=60,40,20)))))-MIN(L864*5,20)))</x:f>
      </x:c>
      <x:c r="N864" s="12"/>
      <x:c r="O864" s="12"/>
      <x:c r="P864" s="12" t="str">
        <x:f>IF(OR(H864="",J864="",M864=""),"",ROUND(PERCENTRANK.INC($H$2:$H$941,H864)*35+J864*0.35+M864*0.30,0))</x:f>
      </x:c>
      <x:c r="Q864" s="12" t="str">
        <x:f>IF(P864="","",IF(P864&gt;=80,"ATTACK",IF(P864&gt;=65,"GROW",IF(P864&gt;=50,"PARTNER","WATCH"))))</x:f>
      </x:c>
      <x:c r="R864" s="12" t="str">
        <x:f>IF(Q864="","",IF(Q864="ATTACK","Grassroots + family acquisition",IF(Q864="GROW","Test local campaign",IF(Q864="PARTNER","Organisation-first partnership","Low priority / validate"))))</x:f>
      </x:c>
      <x:c r="S864" s="45" t="n">
        <x:v>12.419981463544186</x:v>
      </x:c>
      <x:c r="T864" t="str">
        <x:v>EXTENDED</x:v>
      </x:c>
      <x:c r="U864" s="32" t="n">
        <x:f>PERCENTRANK.INC($G$2:$G$941,G864)</x:f>
        <x:v>0.842</x:v>
      </x:c>
      <x:c r="V864" s="32" t="n">
        <x:f>PERCENTRANK.INC($H$2:$H$941,H864)</x:f>
        <x:v>0.342</x:v>
      </x:c>
      <x:c r="W864" t="n">
        <x:f>ROUND((U864*55+V864*45)*IF(S864&lt;=5,1,IF(S864&lt;=10,0.95,IF(S864&lt;=20,0.85,0.70))),0)</x:f>
        <x:v>52</x:v>
      </x:c>
      <x:c r="X864" t="n">
        <x:v>45</x:v>
      </x:c>
      <x:c r="Y864" t="str">
        <x:v>WATCH</x:v>
      </x:c>
      <x:c r="Z864" s="12" t="str">
        <x:v>Family + verified grassroots + straight-line geo only; transport not yet routed</x:v>
      </x:c>
      <x:c r="AA864" s="12"/>
      <x:c r="AB864" s="12"/>
      <x:c r="AC864" s="12"/>
      <x:c r="AD864" s="12"/>
      <x:c r="AE864" t="str">
        <x:v>Chelsea Women</x:v>
      </x:c>
      <x:c r="AF864" s="45" t="n">
        <x:v>6.667458696523496</x:v>
      </x:c>
      <x:c r="AG864" t="str">
        <x:v>Dulwich Hamlet Women</x:v>
      </x:c>
      <x:c r="AH864" s="45" t="n">
        <x:v>1.9873874478618336</x:v>
      </x:c>
      <x:c r="AI864" t="n">
        <x:v>78</x:v>
      </x:c>
      <x:c r="AJ864" t="str">
        <x:v>HIGH</x:v>
      </x:c>
    </x:row>
    <x:row r="865">
      <x:c r="A865" s="12" t="str">
        <x:v>E01003921</x:v>
      </x:c>
      <x:c r="B865" s="12" t="str">
        <x:v>Southwark 021C</x:v>
      </x:c>
      <x:c r="C865" s="12" t="str">
        <x:v>Southwark</x:v>
      </x:c>
      <x:c r="D865" s="44" t="n">
        <x:v>51.47491440537469</x:v>
      </x:c>
      <x:c r="E865" s="44" t="n">
        <x:v>-0.09362042693570759</x:v>
      </x:c>
      <x:c r="F865" s="33" t="n">
        <x:v>992</x:v>
      </x:c>
      <x:c r="G865" s="33" t="n">
        <x:v>179</x:v>
      </x:c>
      <x:c r="H865" s="26" t="n">
        <x:v>0.18044354838709678</x:v>
      </x:c>
      <x:c r="I865" s="12" t="n">
        <x:v>1</x:v>
      </x:c>
      <x:c r="J865" s="12" t="n">
        <x:v>36</x:v>
      </x:c>
      <x:c r="K865" s="12"/>
      <x:c r="L865" s="12"/>
      <x:c r="M865" s="12" t="str">
        <x:f>IF(K865="", "", MAX(0,IF(K865&lt;=20,100,IF(K865&lt;=30,85,IF(K865&lt;=40,70,IF(K865&lt;=50,55,IF(K865&lt;=60,40,20)))))-MIN(L865*5,20)))</x:f>
      </x:c>
      <x:c r="N865" s="12"/>
      <x:c r="O865" s="12"/>
      <x:c r="P865" s="12" t="str">
        <x:f>IF(OR(H865="",J865="",M865=""),"",ROUND(PERCENTRANK.INC($H$2:$H$941,H865)*35+J865*0.35+M865*0.30,0))</x:f>
      </x:c>
      <x:c r="Q865" s="12" t="str">
        <x:f>IF(P865="","",IF(P865&gt;=80,"ATTACK",IF(P865&gt;=65,"GROW",IF(P865&gt;=50,"PARTNER","WATCH"))))</x:f>
      </x:c>
      <x:c r="R865" s="12" t="str">
        <x:f>IF(Q865="","",IF(Q865="ATTACK","Grassroots + family acquisition",IF(Q865="GROW","Test local campaign",IF(Q865="PARTNER","Organisation-first partnership","Low priority / validate"))))</x:f>
      </x:c>
      <x:c r="S865" s="45" t="n">
        <x:v>12.110365365055522</x:v>
      </x:c>
      <x:c r="T865" t="str">
        <x:v>EXTENDED</x:v>
      </x:c>
      <x:c r="U865" s="32" t="n">
        <x:f>PERCENTRANK.INC($G$2:$G$941,G865)</x:f>
        <x:v>0.22</x:v>
      </x:c>
      <x:c r="V865" s="32" t="n">
        <x:f>PERCENTRANK.INC($H$2:$H$941,H865)</x:f>
        <x:v>0.038</x:v>
      </x:c>
      <x:c r="W865" t="n">
        <x:f>ROUND((U865*55+V865*45)*IF(S865&lt;=5,1,IF(S865&lt;=10,0.95,IF(S865&lt;=20,0.85,0.70))),0)</x:f>
        <x:v>12</x:v>
      </x:c>
      <x:c r="X865" t="n">
        <x:v>23</x:v>
      </x:c>
      <x:c r="Y865" t="str">
        <x:v>WATCH</x:v>
      </x:c>
      <x:c r="Z865" s="12" t="str">
        <x:v>Family + verified grassroots + straight-line geo only; transport not yet routed</x:v>
      </x:c>
      <x:c r="AA865" s="12"/>
      <x:c r="AB865" s="12"/>
      <x:c r="AC865" s="12"/>
      <x:c r="AD865" s="12"/>
      <x:c r="AE865" t="str">
        <x:v>Chelsea Women</x:v>
      </x:c>
      <x:c r="AF865" s="45" t="n">
        <x:v>6.788019156054402</x:v>
      </x:c>
      <x:c r="AG865" t="str">
        <x:v>Dulwich Hamlet Women</x:v>
      </x:c>
      <x:c r="AH865" s="45" t="n">
        <x:v>1.6525621803487252</x:v>
      </x:c>
      <x:c r="AI865" t="n">
        <x:v>78</x:v>
      </x:c>
      <x:c r="AJ865" t="str">
        <x:v>HIGH</x:v>
      </x:c>
    </x:row>
    <x:row r="866">
      <x:c r="A866" s="12" t="str">
        <x:v>E01003922</x:v>
      </x:c>
      <x:c r="B866" s="12" t="str">
        <x:v>Southwark 021D</x:v>
      </x:c>
      <x:c r="C866" s="12" t="str">
        <x:v>Southwark</x:v>
      </x:c>
      <x:c r="D866" s="44" t="n">
        <x:v>51.471933403440545</x:v>
      </x:c>
      <x:c r="E866" s="44" t="n">
        <x:v>-0.09610911882105308</x:v>
      </x:c>
      <x:c r="F866" s="33" t="n">
        <x:v>968</x:v>
      </x:c>
      <x:c r="G866" s="33" t="n">
        <x:v>277</x:v>
      </x:c>
      <x:c r="H866" s="26" t="n">
        <x:v>0.28615702479338845</x:v>
      </x:c>
      <x:c r="I866" s="12" t="n">
        <x:v>1</x:v>
      </x:c>
      <x:c r="J866" s="12" t="n">
        <x:v>36</x:v>
      </x:c>
      <x:c r="K866" s="12"/>
      <x:c r="L866" s="12"/>
      <x:c r="M866" s="12" t="str">
        <x:f>IF(K866="", "", MAX(0,IF(K866&lt;=20,100,IF(K866&lt;=30,85,IF(K866&lt;=40,70,IF(K866&lt;=50,55,IF(K866&lt;=60,40,20)))))-MIN(L866*5,20)))</x:f>
      </x:c>
      <x:c r="N866" s="12"/>
      <x:c r="O866" s="12"/>
      <x:c r="P866" s="12" t="str">
        <x:f>IF(OR(H866="",J866="",M866=""),"",ROUND(PERCENTRANK.INC($H$2:$H$941,H866)*35+J866*0.35+M866*0.30,0))</x:f>
      </x:c>
      <x:c r="Q866" s="12" t="str">
        <x:f>IF(P866="","",IF(P866&gt;=80,"ATTACK",IF(P866&gt;=65,"GROW",IF(P866&gt;=50,"PARTNER","WATCH"))))</x:f>
      </x:c>
      <x:c r="R866" s="12" t="str">
        <x:f>IF(Q866="","",IF(Q866="ATTACK","Grassroots + family acquisition",IF(Q866="GROW","Test local campaign",IF(Q866="PARTNER","Organisation-first partnership","Low priority / validate"))))</x:f>
      </x:c>
      <x:c r="S866" s="45" t="n">
        <x:v>11.969985574267438</x:v>
      </x:c>
      <x:c r="T866" t="str">
        <x:v>EXTENDED</x:v>
      </x:c>
      <x:c r="U866" s="32" t="n">
        <x:f>PERCENTRANK.INC($G$2:$G$941,G866)</x:f>
        <x:v>0.887</x:v>
      </x:c>
      <x:c r="V866" s="32" t="n">
        <x:f>PERCENTRANK.INC($H$2:$H$941,H866)</x:f>
        <x:v>0.322</x:v>
      </x:c>
      <x:c r="W866" t="n">
        <x:f>ROUND((U866*55+V866*45)*IF(S866&lt;=5,1,IF(S866&lt;=10,0.95,IF(S866&lt;=20,0.85,0.70))),0)</x:f>
        <x:v>54</x:v>
      </x:c>
      <x:c r="X866" t="n">
        <x:v>46</x:v>
      </x:c>
      <x:c r="Y866" t="str">
        <x:v>WATCH</x:v>
      </x:c>
      <x:c r="Z866" s="12" t="str">
        <x:v>Family + verified grassroots + straight-line geo only; transport not yet routed</x:v>
      </x:c>
      <x:c r="AA866" s="12"/>
      <x:c r="AB866" s="12"/>
      <x:c r="AC866" s="12"/>
      <x:c r="AD866" s="12"/>
      <x:c r="AE866" t="str">
        <x:v>Chelsea Women</x:v>
      </x:c>
      <x:c r="AF866" s="45" t="n">
        <x:v>6.662918068714795</x:v>
      </x:c>
      <x:c r="AG866" t="str">
        <x:v>Dulwich Hamlet Women</x:v>
      </x:c>
      <x:c r="AH866" s="45" t="n">
        <x:v>1.4486918347570563</x:v>
      </x:c>
      <x:c r="AI866" t="n">
        <x:v>78</x:v>
      </x:c>
      <x:c r="AJ866" t="str">
        <x:v>HIGH</x:v>
      </x:c>
    </x:row>
    <x:row r="867">
      <x:c r="A867" s="12" t="str">
        <x:v>E01003924</x:v>
      </x:c>
      <x:c r="B867" s="12" t="str">
        <x:v>Southwark 021E</x:v>
      </x:c>
      <x:c r="C867" s="12" t="str">
        <x:v>Southwark</x:v>
      </x:c>
      <x:c r="D867" s="44" t="n">
        <x:v>51.47923162872854</x:v>
      </x:c>
      <x:c r="E867" s="44" t="n">
        <x:v>-0.09725727912966212</x:v>
      </x:c>
      <x:c r="F867" s="33" t="n">
        <x:v>905</x:v>
      </x:c>
      <x:c r="G867" s="33" t="n">
        <x:v>288</x:v>
      </x:c>
      <x:c r="H867" s="26" t="n">
        <x:v>0.318232044198895</x:v>
      </x:c>
      <x:c r="I867" s="12" t="n">
        <x:v>1</x:v>
      </x:c>
      <x:c r="J867" s="12" t="n">
        <x:v>36</x:v>
      </x:c>
      <x:c r="K867" s="12"/>
      <x:c r="L867" s="12"/>
      <x:c r="M867" s="12" t="str">
        <x:f>IF(K867="", "", MAX(0,IF(K867&lt;=20,100,IF(K867&lt;=30,85,IF(K867&lt;=40,70,IF(K867&lt;=50,55,IF(K867&lt;=60,40,20)))))-MIN(L867*5,20)))</x:f>
      </x:c>
      <x:c r="N867" s="12"/>
      <x:c r="O867" s="12"/>
      <x:c r="P867" s="12" t="str">
        <x:f>IF(OR(H867="",J867="",M867=""),"",ROUND(PERCENTRANK.INC($H$2:$H$941,H867)*35+J867*0.35+M867*0.30,0))</x:f>
      </x:c>
      <x:c r="Q867" s="12" t="str">
        <x:f>IF(P867="","",IF(P867&gt;=80,"ATTACK",IF(P867&gt;=65,"GROW",IF(P867&gt;=50,"PARTNER","WATCH"))))</x:f>
      </x:c>
      <x:c r="R867" s="12" t="str">
        <x:f>IF(Q867="","",IF(Q867="ATTACK","Grassroots + family acquisition",IF(Q867="GROW","Test local campaign",IF(Q867="PARTNER","Organisation-first partnership","Low priority / validate"))))</x:f>
      </x:c>
      <x:c r="S867" s="45" t="n">
        <x:v>12.64123373959547</x:v>
      </x:c>
      <x:c r="T867" t="str">
        <x:v>EXTENDED</x:v>
      </x:c>
      <x:c r="U867" s="32" t="n">
        <x:f>PERCENTRANK.INC($G$2:$G$941,G867)</x:f>
        <x:v>0.925</x:v>
      </x:c>
      <x:c r="V867" s="32" t="n">
        <x:f>PERCENTRANK.INC($H$2:$H$941,H867)</x:f>
        <x:v>0.502</x:v>
      </x:c>
      <x:c r="W867" t="n">
        <x:f>ROUND((U867*55+V867*45)*IF(S867&lt;=5,1,IF(S867&lt;=10,0.95,IF(S867&lt;=20,0.85,0.70))),0)</x:f>
        <x:v>62</x:v>
      </x:c>
      <x:c r="X867" t="n">
        <x:v>51</x:v>
      </x:c>
      <x:c r="Y867" t="str">
        <x:v>PARTNER</x:v>
      </x:c>
      <x:c r="Z867" s="12" t="str">
        <x:v>Family + verified grassroots + straight-line geo only; transport not yet routed</x:v>
      </x:c>
      <x:c r="AA867" s="12"/>
      <x:c r="AB867" s="12"/>
      <x:c r="AC867" s="12"/>
      <x:c r="AD867" s="12"/>
      <x:c r="AE867" t="str">
        <x:v>Chelsea Women</x:v>
      </x:c>
      <x:c r="AF867" s="45" t="n">
        <x:v>6.499579932402203</x:v>
      </x:c>
      <x:c r="AG867" t="str">
        <x:v>Dulwich Hamlet Women</x:v>
      </x:c>
      <x:c r="AH867" s="45" t="n">
        <x:v>2.1937601699853837</x:v>
      </x:c>
      <x:c r="AI867" t="n">
        <x:v>78</x:v>
      </x:c>
      <x:c r="AJ867" t="str">
        <x:v>HIGH</x:v>
      </x:c>
    </x:row>
    <x:row r="868">
      <x:c r="A868" s="12" t="str">
        <x:v>E01003926</x:v>
      </x:c>
      <x:c r="B868" s="12" t="str">
        <x:v>Southwark 021F</x:v>
      </x:c>
      <x:c r="C868" s="12" t="str">
        <x:v>Southwark</x:v>
      </x:c>
      <x:c r="D868" s="44" t="n">
        <x:v>51.47948700747514</x:v>
      </x:c>
      <x:c r="E868" s="44" t="n">
        <x:v>-0.10236729121968978</x:v>
      </x:c>
      <x:c r="F868" s="33" t="n">
        <x:v>567</x:v>
      </x:c>
      <x:c r="G868" s="33" t="n">
        <x:v>158</x:v>
      </x:c>
      <x:c r="H868" s="26" t="n">
        <x:v>0.2786596119929453</x:v>
      </x:c>
      <x:c r="I868" s="12" t="n">
        <x:v>1</x:v>
      </x:c>
      <x:c r="J868" s="12" t="n">
        <x:v>36</x:v>
      </x:c>
      <x:c r="K868" s="12"/>
      <x:c r="L868" s="12"/>
      <x:c r="M868" s="12" t="str">
        <x:f>IF(K868="", "", MAX(0,IF(K868&lt;=20,100,IF(K868&lt;=30,85,IF(K868&lt;=40,70,IF(K868&lt;=50,55,IF(K868&lt;=60,40,20)))))-MIN(L868*5,20)))</x:f>
      </x:c>
      <x:c r="N868" s="12"/>
      <x:c r="O868" s="12"/>
      <x:c r="P868" s="12" t="str">
        <x:f>IF(OR(H868="",J868="",M868=""),"",ROUND(PERCENTRANK.INC($H$2:$H$941,H868)*35+J868*0.35+M868*0.30,0))</x:f>
      </x:c>
      <x:c r="Q868" s="12" t="str">
        <x:f>IF(P868="","",IF(P868&gt;=80,"ATTACK",IF(P868&gt;=65,"GROW",IF(P868&gt;=50,"PARTNER","WATCH"))))</x:f>
      </x:c>
      <x:c r="R868" s="12" t="str">
        <x:f>IF(Q868="","",IF(Q868="ATTACK","Grassroots + family acquisition",IF(Q868="GROW","Test local campaign",IF(Q868="PARTNER","Organisation-first partnership","Low priority / validate"))))</x:f>
      </x:c>
      <x:c r="S868" s="45" t="n">
        <x:v>12.889137062343874</x:v>
      </x:c>
      <x:c r="T868" t="str">
        <x:v>EXTENDED</x:v>
      </x:c>
      <x:c r="U868" s="32" t="n">
        <x:f>PERCENTRANK.INC($G$2:$G$941,G868)</x:f>
        <x:v>0.118</x:v>
      </x:c>
      <x:c r="V868" s="32" t="n">
        <x:f>PERCENTRANK.INC($H$2:$H$941,H868)</x:f>
        <x:v>0.286</x:v>
      </x:c>
      <x:c r="W868" t="n">
        <x:f>ROUND((U868*55+V868*45)*IF(S868&lt;=5,1,IF(S868&lt;=10,0.95,IF(S868&lt;=20,0.85,0.70))),0)</x:f>
        <x:v>16</x:v>
      </x:c>
      <x:c r="X868" t="n">
        <x:v>25</x:v>
      </x:c>
      <x:c r="Y868" t="str">
        <x:v>WATCH</x:v>
      </x:c>
      <x:c r="Z868" s="12" t="str">
        <x:v>Family + verified grassroots + straight-line geo only; transport not yet routed</x:v>
      </x:c>
      <x:c r="AA868" s="12"/>
      <x:c r="AB868" s="12"/>
      <x:c r="AC868" s="12"/>
      <x:c r="AD868" s="12"/>
      <x:c r="AE868" t="str">
        <x:v>Chelsea Women</x:v>
      </x:c>
      <x:c r="AF868" s="45" t="n">
        <x:v>6.144824480182492</x:v>
      </x:c>
      <x:c r="AG868" t="str">
        <x:v>Dulwich Hamlet Women</x:v>
      </x:c>
      <x:c r="AH868" s="45" t="n">
        <x:v>2.3880536964395915</x:v>
      </x:c>
      <x:c r="AI868" t="n">
        <x:v>78</x:v>
      </x:c>
      <x:c r="AJ868" t="str">
        <x:v>HIGH</x:v>
      </x:c>
    </x:row>
    <x:row r="869">
      <x:c r="A869" s="12" t="str">
        <x:v>E01004008</x:v>
      </x:c>
      <x:c r="B869" s="12" t="str">
        <x:v>Southwark 022B</x:v>
      </x:c>
      <x:c r="C869" s="12" t="str">
        <x:v>Southwark</x:v>
      </x:c>
      <x:c r="D869" s="44" t="n">
        <x:v>51.476060052029645</x:v>
      </x:c>
      <x:c r="E869" s="44" t="n">
        <x:v>-0.06729945545277158</x:v>
      </x:c>
      <x:c r="F869" s="33" t="n">
        <x:v>803</x:v>
      </x:c>
      <x:c r="G869" s="33" t="n">
        <x:v>245</x:v>
      </x:c>
      <x:c r="H869" s="26" t="n">
        <x:v>0.30510585305105853</x:v>
      </x:c>
      <x:c r="I869" s="12" t="n">
        <x:v>2</x:v>
      </x:c>
      <x:c r="J869" s="12" t="n">
        <x:v>43</x:v>
      </x:c>
      <x:c r="K869" s="12"/>
      <x:c r="L869" s="12"/>
      <x:c r="M869" s="12" t="str">
        <x:f>IF(K869="", "", MAX(0,IF(K869&lt;=20,100,IF(K869&lt;=30,85,IF(K869&lt;=40,70,IF(K869&lt;=50,55,IF(K869&lt;=60,40,20)))))-MIN(L869*5,20)))</x:f>
      </x:c>
      <x:c r="N869" s="12"/>
      <x:c r="O869" s="12"/>
      <x:c r="P869" s="12" t="str">
        <x:f>IF(OR(H869="",J869="",M869=""),"",ROUND(PERCENTRANK.INC($H$2:$H$941,H869)*35+J869*0.35+M869*0.30,0))</x:f>
      </x:c>
      <x:c r="Q869" s="12" t="str">
        <x:f>IF(P869="","",IF(P869&gt;=80,"ATTACK",IF(P869&gt;=65,"GROW",IF(P869&gt;=50,"PARTNER","WATCH"))))</x:f>
      </x:c>
      <x:c r="R869" s="12" t="str">
        <x:f>IF(Q869="","",IF(Q869="ATTACK","Grassroots + family acquisition",IF(Q869="GROW","Test local campaign",IF(Q869="PARTNER","Organisation-first partnership","Low priority / validate"))))</x:f>
      </x:c>
      <x:c r="S869" s="45" t="n">
        <x:v>11.145381178533015</x:v>
      </x:c>
      <x:c r="T869" t="str">
        <x:v>EXTENDED</x:v>
      </x:c>
      <x:c r="U869" s="32" t="n">
        <x:f>PERCENTRANK.INC($G$2:$G$941,G869)</x:f>
        <x:v>0.742</x:v>
      </x:c>
      <x:c r="V869" s="32" t="n">
        <x:f>PERCENTRANK.INC($H$2:$H$941,H869)</x:f>
        <x:v>0.421</x:v>
      </x:c>
      <x:c r="W869" t="n">
        <x:f>ROUND((U869*55+V869*45)*IF(S869&lt;=5,1,IF(S869&lt;=10,0.95,IF(S869&lt;=20,0.85,0.70))),0)</x:f>
        <x:v>51</x:v>
      </x:c>
      <x:c r="X869" t="n">
        <x:v>47</x:v>
      </x:c>
      <x:c r="Y869" t="str">
        <x:v>WATCH</x:v>
      </x:c>
      <x:c r="Z869" s="12" t="str">
        <x:v>Family + verified grassroots + straight-line geo only; transport not yet routed</x:v>
      </x:c>
      <x:c r="AA869" s="12"/>
      <x:c r="AB869" s="12"/>
      <x:c r="AC869" s="12"/>
      <x:c r="AD869" s="12"/>
      <x:c r="AE869" t="str">
        <x:v>Charlton Athletic Women</x:v>
      </x:c>
      <x:c r="AF869" s="45" t="n">
        <x:v>7.255455995145123</x:v>
      </x:c>
      <x:c r="AG869" t="str">
        <x:v>Dulwich Hamlet Women</x:v>
      </x:c>
      <x:c r="AH869" s="45" t="n">
        <x:v>2.0053450174725196</x:v>
      </x:c>
      <x:c r="AI869" t="n">
        <x:v>78</x:v>
      </x:c>
      <x:c r="AJ869" t="str">
        <x:v>HIGH</x:v>
      </x:c>
    </x:row>
    <x:row r="870">
      <x:c r="A870" s="12" t="str">
        <x:v>E01004010</x:v>
      </x:c>
      <x:c r="B870" s="12" t="str">
        <x:v>Southwark 022D</x:v>
      </x:c>
      <x:c r="C870" s="12" t="str">
        <x:v>Southwark</x:v>
      </x:c>
      <x:c r="D870" s="44" t="n">
        <x:v>51.47547339798548</x:v>
      </x:c>
      <x:c r="E870" s="44" t="n">
        <x:v>-0.07074075182737974</x:v>
      </x:c>
      <x:c r="F870" s="33" t="n">
        <x:v>633</x:v>
      </x:c>
      <x:c r="G870" s="33" t="n">
        <x:v>194</x:v>
      </x:c>
      <x:c r="H870" s="26" t="n">
        <x:v>0.30647709320695105</x:v>
      </x:c>
      <x:c r="I870" s="12" t="n">
        <x:v>2</x:v>
      </x:c>
      <x:c r="J870" s="12" t="n">
        <x:v>43</x:v>
      </x:c>
      <x:c r="K870" s="12"/>
      <x:c r="L870" s="12"/>
      <x:c r="M870" s="12" t="str">
        <x:f>IF(K870="", "", MAX(0,IF(K870&lt;=20,100,IF(K870&lt;=30,85,IF(K870&lt;=40,70,IF(K870&lt;=50,55,IF(K870&lt;=60,40,20)))))-MIN(L870*5,20)))</x:f>
      </x:c>
      <x:c r="N870" s="12"/>
      <x:c r="O870" s="12"/>
      <x:c r="P870" s="12" t="str">
        <x:f>IF(OR(H870="",J870="",M870=""),"",ROUND(PERCENTRANK.INC($H$2:$H$941,H870)*35+J870*0.35+M870*0.30,0))</x:f>
      </x:c>
      <x:c r="Q870" s="12" t="str">
        <x:f>IF(P870="","",IF(P870&gt;=80,"ATTACK",IF(P870&gt;=65,"GROW",IF(P870&gt;=50,"PARTNER","WATCH"))))</x:f>
      </x:c>
      <x:c r="R870" s="12" t="str">
        <x:f>IF(Q870="","",IF(Q870="ATTACK","Grassroots + family acquisition",IF(Q870="GROW","Test local campaign",IF(Q870="PARTNER","Organisation-first partnership","Low priority / validate"))))</x:f>
      </x:c>
      <x:c r="S870" s="45" t="n">
        <x:v>11.218670199367134</x:v>
      </x:c>
      <x:c r="T870" t="str">
        <x:v>EXTENDED</x:v>
      </x:c>
      <x:c r="U870" s="32" t="n">
        <x:f>PERCENTRANK.INC($G$2:$G$941,G870)</x:f>
        <x:v>0.343</x:v>
      </x:c>
      <x:c r="V870" s="32" t="n">
        <x:f>PERCENTRANK.INC($H$2:$H$941,H870)</x:f>
        <x:v>0.427</x:v>
      </x:c>
      <x:c r="W870" t="n">
        <x:f>ROUND((U870*55+V870*45)*IF(S870&lt;=5,1,IF(S870&lt;=10,0.95,IF(S870&lt;=20,0.85,0.70))),0)</x:f>
        <x:v>32</x:v>
      </x:c>
      <x:c r="X870" t="n">
        <x:v>37</x:v>
      </x:c>
      <x:c r="Y870" t="str">
        <x:v>WATCH</x:v>
      </x:c>
      <x:c r="Z870" s="12" t="str">
        <x:v>Family + verified grassroots + straight-line geo only; transport not yet routed</x:v>
      </x:c>
      <x:c r="AA870" s="12"/>
      <x:c r="AB870" s="12"/>
      <x:c r="AC870" s="12"/>
      <x:c r="AD870" s="12"/>
      <x:c r="AE870" t="str">
        <x:v>Charlton Athletic Women</x:v>
      </x:c>
      <x:c r="AF870" s="45" t="n">
        <x:v>7.50118291326059</x:v>
      </x:c>
      <x:c r="AG870" t="str">
        <x:v>Dulwich Hamlet Women</x:v>
      </x:c>
      <x:c r="AH870" s="45" t="n">
        <x:v>1.8214870188382584</x:v>
      </x:c>
      <x:c r="AI870" t="n">
        <x:v>78</x:v>
      </x:c>
      <x:c r="AJ870" t="str">
        <x:v>HIGH</x:v>
      </x:c>
    </x:row>
    <x:row r="871">
      <x:c r="A871" s="12" t="str">
        <x:v>E01004067</x:v>
      </x:c>
      <x:c r="B871" s="12" t="str">
        <x:v>Southwark 022E</x:v>
      </x:c>
      <x:c r="C871" s="12" t="str">
        <x:v>Southwark</x:v>
      </x:c>
      <x:c r="D871" s="44" t="n">
        <x:v>51.47265413752622</x:v>
      </x:c>
      <x:c r="E871" s="44" t="n">
        <x:v>-0.06597969339694404</x:v>
      </x:c>
      <x:c r="F871" s="33" t="n">
        <x:v>932</x:v>
      </x:c>
      <x:c r="G871" s="33" t="n">
        <x:v>251</x:v>
      </x:c>
      <x:c r="H871" s="26" t="n">
        <x:v>0.26931330472103004</x:v>
      </x:c>
      <x:c r="I871" s="12" t="n">
        <x:v>2</x:v>
      </x:c>
      <x:c r="J871" s="12" t="n">
        <x:v>43</x:v>
      </x:c>
      <x:c r="K871" s="12"/>
      <x:c r="L871" s="12"/>
      <x:c r="M871" s="12" t="str">
        <x:f>IF(K871="", "", MAX(0,IF(K871&lt;=20,100,IF(K871&lt;=30,85,IF(K871&lt;=40,70,IF(K871&lt;=50,55,IF(K871&lt;=60,40,20)))))-MIN(L871*5,20)))</x:f>
      </x:c>
      <x:c r="N871" s="12"/>
      <x:c r="O871" s="12"/>
      <x:c r="P871" s="12" t="str">
        <x:f>IF(OR(H871="",J871="",M871=""),"",ROUND(PERCENTRANK.INC($H$2:$H$941,H871)*35+J871*0.35+M871*0.30,0))</x:f>
      </x:c>
      <x:c r="Q871" s="12" t="str">
        <x:f>IF(P871="","",IF(P871&gt;=80,"ATTACK",IF(P871&gt;=65,"GROW",IF(P871&gt;=50,"PARTNER","WATCH"))))</x:f>
      </x:c>
      <x:c r="R871" s="12" t="str">
        <x:f>IF(Q871="","",IF(Q871="ATTACK","Grassroots + family acquisition",IF(Q871="GROW","Test local campaign",IF(Q871="PARTNER","Organisation-first partnership","Low priority / validate"))))</x:f>
      </x:c>
      <x:c r="S871" s="45" t="n">
        <x:v>10.776369181090189</x:v>
      </x:c>
      <x:c r="T871" t="str">
        <x:v>EXTENDED</x:v>
      </x:c>
      <x:c r="U871" s="32" t="n">
        <x:f>PERCENTRANK.INC($G$2:$G$941,G871)</x:f>
        <x:v>0.79</x:v>
      </x:c>
      <x:c r="V871" s="32" t="n">
        <x:f>PERCENTRANK.INC($H$2:$H$941,H871)</x:f>
        <x:v>0.258</x:v>
      </x:c>
      <x:c r="W871" t="n">
        <x:f>ROUND((U871*55+V871*45)*IF(S871&lt;=5,1,IF(S871&lt;=10,0.95,IF(S871&lt;=20,0.85,0.70))),0)</x:f>
        <x:v>47</x:v>
      </x:c>
      <x:c r="X871" t="n">
        <x:v>45</x:v>
      </x:c>
      <x:c r="Y871" t="str">
        <x:v>WATCH</x:v>
      </x:c>
      <x:c r="Z871" s="12" t="str">
        <x:v>Family + verified grassroots + straight-line geo only; transport not yet routed</x:v>
      </x:c>
      <x:c r="AA871" s="12"/>
      <x:c r="AB871" s="12"/>
      <x:c r="AC871" s="12"/>
      <x:c r="AD871" s="12"/>
      <x:c r="AE871" t="str">
        <x:v>Charlton Athletic Women</x:v>
      </x:c>
      <x:c r="AF871" s="45" t="n">
        <x:v>7.2359243117786916</x:v>
      </x:c>
      <x:c r="AG871" t="str">
        <x:v>Dulwich Hamlet Women</x:v>
      </x:c>
      <x:c r="AH871" s="45" t="n">
        <x:v>1.7728792619447984</x:v>
      </x:c>
      <x:c r="AI871" t="n">
        <x:v>78</x:v>
      </x:c>
      <x:c r="AJ871" t="str">
        <x:v>HIGH</x:v>
      </x:c>
    </x:row>
    <x:row r="872">
      <x:c r="A872" s="12" t="str">
        <x:v>E01033882</x:v>
      </x:c>
      <x:c r="B872" s="12" t="str">
        <x:v>Southwark 022G</x:v>
      </x:c>
      <x:c r="C872" s="12" t="str">
        <x:v>Southwark</x:v>
      </x:c>
      <x:c r="D872" s="44" t="n">
        <x:v>51.47765635238704</x:v>
      </x:c>
      <x:c r="E872" s="44" t="n">
        <x:v>-0.06384261427141115</x:v>
      </x:c>
      <x:c r="F872" s="33" t="n">
        <x:v>582</x:v>
      </x:c>
      <x:c r="G872" s="33" t="n">
        <x:v>128</x:v>
      </x:c>
      <x:c r="H872" s="26" t="n">
        <x:v>0.21993127147766323</x:v>
      </x:c>
      <x:c r="I872" s="12" t="n">
        <x:v>2</x:v>
      </x:c>
      <x:c r="J872" s="12" t="n">
        <x:v>43</x:v>
      </x:c>
      <x:c r="K872" s="12"/>
      <x:c r="L872" s="12"/>
      <x:c r="M872" s="12" t="str">
        <x:f>IF(K872="", "", MAX(0,IF(K872&lt;=20,100,IF(K872&lt;=30,85,IF(K872&lt;=40,70,IF(K872&lt;=50,55,IF(K872&lt;=60,40,20)))))-MIN(L872*5,20)))</x:f>
      </x:c>
      <x:c r="N872" s="12"/>
      <x:c r="O872" s="12"/>
      <x:c r="P872" s="12" t="str">
        <x:f>IF(OR(H872="",J872="",M872=""),"",ROUND(PERCENTRANK.INC($H$2:$H$941,H872)*35+J872*0.35+M872*0.30,0))</x:f>
      </x:c>
      <x:c r="Q872" s="12" t="str">
        <x:f>IF(P872="","",IF(P872&gt;=80,"ATTACK",IF(P872&gt;=65,"GROW",IF(P872&gt;=50,"PARTNER","WATCH"))))</x:f>
      </x:c>
      <x:c r="R872" s="12" t="str">
        <x:f>IF(Q872="","",IF(Q872="ATTACK","Grassroots + family acquisition",IF(Q872="GROW","Test local campaign",IF(Q872="PARTNER","Organisation-first partnership","Low priority / validate"))))</x:f>
      </x:c>
      <x:c r="S872" s="45" t="n">
        <x:v>11.17324282911253</x:v>
      </x:c>
      <x:c r="T872" t="str">
        <x:v>EXTENDED</x:v>
      </x:c>
      <x:c r="U872" s="32" t="n">
        <x:f>PERCENTRANK.INC($G$2:$G$941,G872)</x:f>
        <x:v>0.046</x:v>
      </x:c>
      <x:c r="V872" s="32" t="n">
        <x:f>PERCENTRANK.INC($H$2:$H$941,H872)</x:f>
        <x:v>0.104</x:v>
      </x:c>
      <x:c r="W872" t="n">
        <x:f>ROUND((U872*55+V872*45)*IF(S872&lt;=5,1,IF(S872&lt;=10,0.95,IF(S872&lt;=20,0.85,0.70))),0)</x:f>
        <x:v>6</x:v>
      </x:c>
      <x:c r="X872" t="n">
        <x:v>23</x:v>
      </x:c>
      <x:c r="Y872" t="str">
        <x:v>WATCH</x:v>
      </x:c>
      <x:c r="Z872" s="12" t="str">
        <x:v>Family + verified grassroots + straight-line geo only; transport not yet routed</x:v>
      </x:c>
      <x:c r="AA872" s="12"/>
      <x:c r="AB872" s="12"/>
      <x:c r="AC872" s="12"/>
      <x:c r="AD872" s="12"/>
      <x:c r="AE872" t="str">
        <x:v>Charlton Athletic Women</x:v>
      </x:c>
      <x:c r="AF872" s="45" t="n">
        <x:v>6.992198367145929</x:v>
      </x:c>
      <x:c r="AG872" t="str">
        <x:v>Dulwich Hamlet Women</x:v>
      </x:c>
      <x:c r="AH872" s="45" t="n">
        <x:v>2.2902773756460193</x:v>
      </x:c>
      <x:c r="AI872" t="n">
        <x:v>78</x:v>
      </x:c>
      <x:c r="AJ872" t="str">
        <x:v>HIGH</x:v>
      </x:c>
    </x:row>
    <x:row r="873">
      <x:c r="A873" s="12" t="str">
        <x:v>E01033883</x:v>
      </x:c>
      <x:c r="B873" s="12" t="str">
        <x:v>Southwark 022H</x:v>
      </x:c>
      <x:c r="C873" s="12" t="str">
        <x:v>Southwark</x:v>
      </x:c>
      <x:c r="D873" s="44" t="n">
        <x:v>51.47526523477667</x:v>
      </x:c>
      <x:c r="E873" s="44" t="n">
        <x:v>-0.06252292995826232</x:v>
      </x:c>
      <x:c r="F873" s="33" t="n">
        <x:v>648</x:v>
      </x:c>
      <x:c r="G873" s="33" t="n">
        <x:v>178</x:v>
      </x:c>
      <x:c r="H873" s="26" t="n">
        <x:v>0.27469135802469136</x:v>
      </x:c>
      <x:c r="I873" s="12" t="n">
        <x:v>2</x:v>
      </x:c>
      <x:c r="J873" s="12" t="n">
        <x:v>43</x:v>
      </x:c>
      <x:c r="K873" s="12"/>
      <x:c r="L873" s="12"/>
      <x:c r="M873" s="12" t="str">
        <x:f>IF(K873="", "", MAX(0,IF(K873&lt;=20,100,IF(K873&lt;=30,85,IF(K873&lt;=40,70,IF(K873&lt;=50,55,IF(K873&lt;=60,40,20)))))-MIN(L873*5,20)))</x:f>
      </x:c>
      <x:c r="N873" s="12"/>
      <x:c r="O873" s="12"/>
      <x:c r="P873" s="12" t="str">
        <x:f>IF(OR(H873="",J873="",M873=""),"",ROUND(PERCENTRANK.INC($H$2:$H$941,H873)*35+J873*0.35+M873*0.30,0))</x:f>
      </x:c>
      <x:c r="Q873" s="12" t="str">
        <x:f>IF(P873="","",IF(P873&gt;=80,"ATTACK",IF(P873&gt;=65,"GROW",IF(P873&gt;=50,"PARTNER","WATCH"))))</x:f>
      </x:c>
      <x:c r="R873" s="12" t="str">
        <x:f>IF(Q873="","",IF(Q873="ATTACK","Grassroots + family acquisition",IF(Q873="GROW","Test local campaign",IF(Q873="PARTNER","Organisation-first partnership","Low priority / validate"))))</x:f>
      </x:c>
      <x:c r="S873" s="45" t="n">
        <x:v>10.897836598914123</x:v>
      </x:c>
      <x:c r="T873" t="str">
        <x:v>EXTENDED</x:v>
      </x:c>
      <x:c r="U873" s="32" t="n">
        <x:f>PERCENTRANK.INC($G$2:$G$941,G873)</x:f>
        <x:v>0.21</x:v>
      </x:c>
      <x:c r="V873" s="32" t="n">
        <x:f>PERCENTRANK.INC($H$2:$H$941,H873)</x:f>
        <x:v>0.271</x:v>
      </x:c>
      <x:c r="W873" t="n">
        <x:f>ROUND((U873*55+V873*45)*IF(S873&lt;=5,1,IF(S873&lt;=10,0.95,IF(S873&lt;=20,0.85,0.70))),0)</x:f>
        <x:v>20</x:v>
      </x:c>
      <x:c r="X873" t="n">
        <x:v>31</x:v>
      </x:c>
      <x:c r="Y873" t="str">
        <x:v>WATCH</x:v>
      </x:c>
      <x:c r="Z873" s="12" t="str">
        <x:v>Family + verified grassroots + straight-line geo only; transport not yet routed</x:v>
      </x:c>
      <x:c r="AA873" s="12"/>
      <x:c r="AB873" s="12"/>
      <x:c r="AC873" s="12"/>
      <x:c r="AD873" s="12"/>
      <x:c r="AE873" t="str">
        <x:v>Charlton Athletic Women</x:v>
      </x:c>
      <x:c r="AF873" s="45" t="n">
        <x:v>6.944334440039454</x:v>
      </x:c>
      <x:c r="AG873" t="str">
        <x:v>Dulwich Hamlet Women</x:v>
      </x:c>
      <x:c r="AH873" s="45" t="n">
        <x:v>2.1479263039964165</x:v>
      </x:c>
      <x:c r="AI873" t="n">
        <x:v>78</x:v>
      </x:c>
      <x:c r="AJ873" t="str">
        <x:v>HIGH</x:v>
      </x:c>
    </x:row>
    <x:row r="874">
      <x:c r="A874" s="12" t="str">
        <x:v>E01003984</x:v>
      </x:c>
      <x:c r="B874" s="12" t="str">
        <x:v>Southwark 023A</x:v>
      </x:c>
      <x:c r="C874" s="12" t="str">
        <x:v>Southwark</x:v>
      </x:c>
      <x:c r="D874" s="44" t="n">
        <x:v>51.47678281219681</x:v>
      </x:c>
      <x:c r="E874" s="44" t="n">
        <x:v>-0.059014719435160276</x:v>
      </x:c>
      <x:c r="F874" s="33" t="n">
        <x:v>1004</x:v>
      </x:c>
      <x:c r="G874" s="33" t="n">
        <x:v>226</x:v>
      </x:c>
      <x:c r="H874" s="26" t="n">
        <x:v>0.2250996015936255</x:v>
      </x:c>
      <x:c r="I874" s="12" t="n">
        <x:v>2</x:v>
      </x:c>
      <x:c r="J874" s="12" t="n">
        <x:v>43</x:v>
      </x:c>
      <x:c r="K874" s="12"/>
      <x:c r="L874" s="12"/>
      <x:c r="M874" s="12" t="str">
        <x:f>IF(K874="", "", MAX(0,IF(K874&lt;=20,100,IF(K874&lt;=30,85,IF(K874&lt;=40,70,IF(K874&lt;=50,55,IF(K874&lt;=60,40,20)))))-MIN(L874*5,20)))</x:f>
      </x:c>
      <x:c r="N874" s="12"/>
      <x:c r="O874" s="12"/>
      <x:c r="P874" s="12" t="str">
        <x:f>IF(OR(H874="",J874="",M874=""),"",ROUND(PERCENTRANK.INC($H$2:$H$941,H874)*35+J874*0.35+M874*0.30,0))</x:f>
      </x:c>
      <x:c r="Q874" s="12" t="str">
        <x:f>IF(P874="","",IF(P874&gt;=80,"ATTACK",IF(P874&gt;=65,"GROW",IF(P874&gt;=50,"PARTNER","WATCH"))))</x:f>
      </x:c>
      <x:c r="R874" s="12" t="str">
        <x:f>IF(Q874="","",IF(Q874="ATTACK","Grassroots + family acquisition",IF(Q874="GROW","Test local campaign",IF(Q874="PARTNER","Organisation-first partnership","Low priority / validate"))))</x:f>
      </x:c>
      <x:c r="S874" s="45" t="n">
        <x:v>10.922780338909977</x:v>
      </x:c>
      <x:c r="T874" t="str">
        <x:v>EXTENDED</x:v>
      </x:c>
      <x:c r="U874" s="32" t="n">
        <x:f>PERCENTRANK.INC($G$2:$G$941,G874)</x:f>
        <x:v>0.595</x:v>
      </x:c>
      <x:c r="V874" s="32" t="n">
        <x:f>PERCENTRANK.INC($H$2:$H$941,H874)</x:f>
        <x:v>0.116</x:v>
      </x:c>
      <x:c r="W874" t="n">
        <x:f>ROUND((U874*55+V874*45)*IF(S874&lt;=5,1,IF(S874&lt;=10,0.95,IF(S874&lt;=20,0.85,0.70))),0)</x:f>
        <x:v>32</x:v>
      </x:c>
      <x:c r="X874" t="n">
        <x:v>37</x:v>
      </x:c>
      <x:c r="Y874" t="str">
        <x:v>WATCH</x:v>
      </x:c>
      <x:c r="Z874" s="12" t="str">
        <x:v>Family + verified grassroots + straight-line geo only; transport not yet routed</x:v>
      </x:c>
      <x:c r="AA874" s="12"/>
      <x:c r="AB874" s="12"/>
      <x:c r="AC874" s="12"/>
      <x:c r="AD874" s="12"/>
      <x:c r="AE874" t="str">
        <x:v>Charlton Athletic Women</x:v>
      </x:c>
      <x:c r="AF874" s="45" t="n">
        <x:v>6.676218013111058</x:v>
      </x:c>
      <x:c r="AG874" t="str">
        <x:v>Dulwich Hamlet Women</x:v>
      </x:c>
      <x:c r="AH874" s="45" t="n">
        <x:v>2.4385898778991177</x:v>
      </x:c>
      <x:c r="AI874" t="n">
        <x:v>78</x:v>
      </x:c>
      <x:c r="AJ874" t="str">
        <x:v>HIGH</x:v>
      </x:c>
    </x:row>
    <x:row r="875">
      <x:c r="A875" s="12" t="str">
        <x:v>E01004003</x:v>
      </x:c>
      <x:c r="B875" s="12" t="str">
        <x:v>Southwark 023B</x:v>
      </x:c>
      <x:c r="C875" s="12" t="str">
        <x:v>Southwark</x:v>
      </x:c>
      <x:c r="D875" s="44" t="n">
        <x:v>51.47663583180693</x:v>
      </x:c>
      <x:c r="E875" s="44" t="n">
        <x:v>-0.05520663800589419</x:v>
      </x:c>
      <x:c r="F875" s="33" t="n">
        <x:v>793</x:v>
      </x:c>
      <x:c r="G875" s="33" t="n">
        <x:v>198</x:v>
      </x:c>
      <x:c r="H875" s="26" t="n">
        <x:v>0.24968474148802017</x:v>
      </x:c>
      <x:c r="I875" s="12" t="n">
        <x:v>2</x:v>
      </x:c>
      <x:c r="J875" s="12" t="n">
        <x:v>43</x:v>
      </x:c>
      <x:c r="K875" s="12"/>
      <x:c r="L875" s="12"/>
      <x:c r="M875" s="12" t="str">
        <x:f>IF(K875="", "", MAX(0,IF(K875&lt;=20,100,IF(K875&lt;=30,85,IF(K875&lt;=40,70,IF(K875&lt;=50,55,IF(K875&lt;=60,40,20)))))-MIN(L875*5,20)))</x:f>
      </x:c>
      <x:c r="N875" s="12"/>
      <x:c r="O875" s="12"/>
      <x:c r="P875" s="12" t="str">
        <x:f>IF(OR(H875="",J875="",M875=""),"",ROUND(PERCENTRANK.INC($H$2:$H$941,H875)*35+J875*0.35+M875*0.30,0))</x:f>
      </x:c>
      <x:c r="Q875" s="12" t="str">
        <x:f>IF(P875="","",IF(P875&gt;=80,"ATTACK",IF(P875&gt;=65,"GROW",IF(P875&gt;=50,"PARTNER","WATCH"))))</x:f>
      </x:c>
      <x:c r="R875" s="12" t="str">
        <x:f>IF(Q875="","",IF(Q875="ATTACK","Grassroots + family acquisition",IF(Q875="GROW","Test local campaign",IF(Q875="PARTNER","Organisation-first partnership","Low priority / validate"))))</x:f>
      </x:c>
      <x:c r="S875" s="45" t="n">
        <x:v>10.782267850584127</x:v>
      </x:c>
      <x:c r="T875" t="str">
        <x:v>EXTENDED</x:v>
      </x:c>
      <x:c r="U875" s="32" t="n">
        <x:f>PERCENTRANK.INC($G$2:$G$941,G875)</x:f>
        <x:v>0.365</x:v>
      </x:c>
      <x:c r="V875" s="32" t="n">
        <x:f>PERCENTRANK.INC($H$2:$H$941,H875)</x:f>
        <x:v>0.178</x:v>
      </x:c>
      <x:c r="W875" t="n">
        <x:f>ROUND((U875*55+V875*45)*IF(S875&lt;=5,1,IF(S875&lt;=10,0.95,IF(S875&lt;=20,0.85,0.70))),0)</x:f>
        <x:v>24</x:v>
      </x:c>
      <x:c r="X875" t="n">
        <x:v>33</x:v>
      </x:c>
      <x:c r="Y875" t="str">
        <x:v>WATCH</x:v>
      </x:c>
      <x:c r="Z875" s="12" t="str">
        <x:v>Family + verified grassroots + straight-line geo only; transport not yet routed</x:v>
      </x:c>
      <x:c r="AA875" s="12"/>
      <x:c r="AB875" s="12"/>
      <x:c r="AC875" s="12"/>
      <x:c r="AD875" s="12"/>
      <x:c r="AE875" t="str">
        <x:v>Charlton Athletic Women</x:v>
      </x:c>
      <x:c r="AF875" s="45" t="n">
        <x:v>6.418812311333508</x:v>
      </x:c>
      <x:c r="AG875" t="str">
        <x:v>Dulwich Hamlet Women</x:v>
      </x:c>
      <x:c r="AH875" s="45" t="n">
        <x:v>2.6215769847053374</x:v>
      </x:c>
      <x:c r="AI875" t="n">
        <x:v>78</x:v>
      </x:c>
      <x:c r="AJ875" t="str">
        <x:v>HIGH</x:v>
      </x:c>
    </x:row>
    <x:row r="876">
      <x:c r="A876" s="12" t="str">
        <x:v>E01004004</x:v>
      </x:c>
      <x:c r="B876" s="12" t="str">
        <x:v>Southwark 023C</x:v>
      </x:c>
      <x:c r="C876" s="12" t="str">
        <x:v>Southwark</x:v>
      </x:c>
      <x:c r="D876" s="44" t="n">
        <x:v>51.47276815723218</x:v>
      </x:c>
      <x:c r="E876" s="44" t="n">
        <x:v>-0.05482407779303839</x:v>
      </x:c>
      <x:c r="F876" s="33" t="n">
        <x:v>1148</x:v>
      </x:c>
      <x:c r="G876" s="33" t="n">
        <x:v>309</x:v>
      </x:c>
      <x:c r="H876" s="26" t="n">
        <x:v>0.2691637630662021</x:v>
      </x:c>
      <x:c r="I876" s="12" t="n">
        <x:v>2</x:v>
      </x:c>
      <x:c r="J876" s="12" t="n">
        <x:v>36</x:v>
      </x:c>
      <x:c r="K876" s="12"/>
      <x:c r="L876" s="12"/>
      <x:c r="M876" s="12" t="str">
        <x:f>IF(K876="", "", MAX(0,IF(K876&lt;=20,100,IF(K876&lt;=30,85,IF(K876&lt;=40,70,IF(K876&lt;=50,55,IF(K876&lt;=60,40,20)))))-MIN(L876*5,20)))</x:f>
      </x:c>
      <x:c r="N876" s="12"/>
      <x:c r="O876" s="12"/>
      <x:c r="P876" s="12" t="str">
        <x:f>IF(OR(H876="",J876="",M876=""),"",ROUND(PERCENTRANK.INC($H$2:$H$941,H876)*35+J876*0.35+M876*0.30,0))</x:f>
      </x:c>
      <x:c r="Q876" s="12" t="str">
        <x:f>IF(P876="","",IF(P876&gt;=80,"ATTACK",IF(P876&gt;=65,"GROW",IF(P876&gt;=50,"PARTNER","WATCH"))))</x:f>
      </x:c>
      <x:c r="R876" s="12" t="str">
        <x:f>IF(Q876="","",IF(Q876="ATTACK","Grassroots + family acquisition",IF(Q876="GROW","Test local campaign",IF(Q876="PARTNER","Organisation-first partnership","Low priority / validate"))))</x:f>
      </x:c>
      <x:c r="S876" s="45" t="n">
        <x:v>10.391585621011313</x:v>
      </x:c>
      <x:c r="T876" t="str">
        <x:v>EXTENDED</x:v>
      </x:c>
      <x:c r="U876" s="32" t="n">
        <x:f>PERCENTRANK.INC($G$2:$G$941,G876)</x:f>
        <x:v>0.951</x:v>
      </x:c>
      <x:c r="V876" s="32" t="n">
        <x:f>PERCENTRANK.INC($H$2:$H$941,H876)</x:f>
        <x:v>0.257</x:v>
      </x:c>
      <x:c r="W876" t="n">
        <x:f>ROUND((U876*55+V876*45)*IF(S876&lt;=5,1,IF(S876&lt;=10,0.95,IF(S876&lt;=20,0.85,0.70))),0)</x:f>
        <x:v>54</x:v>
      </x:c>
      <x:c r="X876" t="n">
        <x:v>46</x:v>
      </x:c>
      <x:c r="Y876" t="str">
        <x:v>WATCH</x:v>
      </x:c>
      <x:c r="Z876" s="12" t="str">
        <x:v>Family + verified grassroots + straight-line geo only; transport not yet routed</x:v>
      </x:c>
      <x:c r="AA876" s="12"/>
      <x:c r="AB876" s="12"/>
      <x:c r="AC876" s="12"/>
      <x:c r="AD876" s="12"/>
      <x:c r="AE876" t="str">
        <x:v>Charlton Athletic Women</x:v>
      </x:c>
      <x:c r="AF876" s="45" t="n">
        <x:v>6.479880757160527</x:v>
      </x:c>
      <x:c r="AG876" t="str">
        <x:v>Dulwich Hamlet Women</x:v>
      </x:c>
      <x:c r="AH876" s="45" t="n">
        <x:v>2.3873530657679347</x:v>
      </x:c>
      <x:c r="AI876" t="n">
        <x:v>78</x:v>
      </x:c>
      <x:c r="AJ876" t="str">
        <x:v>HIGH</x:v>
      </x:c>
    </x:row>
    <x:row r="877">
      <x:c r="A877" s="12" t="str">
        <x:v>E01004005</x:v>
      </x:c>
      <x:c r="B877" s="12" t="str">
        <x:v>Southwark 023D</x:v>
      </x:c>
      <x:c r="C877" s="12" t="str">
        <x:v>Southwark</x:v>
      </x:c>
      <x:c r="D877" s="44" t="n">
        <x:v>51.47269897798861</x:v>
      </x:c>
      <x:c r="E877" s="44" t="n">
        <x:v>-0.06084601293688479</x:v>
      </x:c>
      <x:c r="F877" s="33" t="n">
        <x:v>1007</x:v>
      </x:c>
      <x:c r="G877" s="33" t="n">
        <x:v>258</x:v>
      </x:c>
      <x:c r="H877" s="26" t="n">
        <x:v>0.25620655412115195</x:v>
      </x:c>
      <x:c r="I877" s="12" t="n">
        <x:v>2</x:v>
      </x:c>
      <x:c r="J877" s="12" t="n">
        <x:v>43</x:v>
      </x:c>
      <x:c r="K877" s="12"/>
      <x:c r="L877" s="12"/>
      <x:c r="M877" s="12" t="str">
        <x:f>IF(K877="", "", MAX(0,IF(K877&lt;=20,100,IF(K877&lt;=30,85,IF(K877&lt;=40,70,IF(K877&lt;=50,55,IF(K877&lt;=60,40,20)))))-MIN(L877*5,20)))</x:f>
      </x:c>
      <x:c r="N877" s="12"/>
      <x:c r="O877" s="12"/>
      <x:c r="P877" s="12" t="str">
        <x:f>IF(OR(H877="",J877="",M877=""),"",ROUND(PERCENTRANK.INC($H$2:$H$941,H877)*35+J877*0.35+M877*0.30,0))</x:f>
      </x:c>
      <x:c r="Q877" s="12" t="str">
        <x:f>IF(P877="","",IF(P877&gt;=80,"ATTACK",IF(P877&gt;=65,"GROW",IF(P877&gt;=50,"PARTNER","WATCH"))))</x:f>
      </x:c>
      <x:c r="R877" s="12" t="str">
        <x:f>IF(Q877="","",IF(Q877="ATTACK","Grassroots + family acquisition",IF(Q877="GROW","Test local campaign",IF(Q877="PARTNER","Organisation-first partnership","Low priority / validate"))))</x:f>
      </x:c>
      <x:c r="S877" s="45" t="n">
        <x:v>10.593291980113456</x:v>
      </x:c>
      <x:c r="T877" t="str">
        <x:v>EXTENDED</x:v>
      </x:c>
      <x:c r="U877" s="32" t="n">
        <x:f>PERCENTRANK.INC($G$2:$G$941,G877)</x:f>
        <x:v>0.823</x:v>
      </x:c>
      <x:c r="V877" s="32" t="n">
        <x:f>PERCENTRANK.INC($H$2:$H$941,H877)</x:f>
        <x:v>0.203</x:v>
      </x:c>
      <x:c r="W877" t="n">
        <x:f>ROUND((U877*55+V877*45)*IF(S877&lt;=5,1,IF(S877&lt;=10,0.95,IF(S877&lt;=20,0.85,0.70))),0)</x:f>
        <x:v>46</x:v>
      </x:c>
      <x:c r="X877" t="n">
        <x:v>45</x:v>
      </x:c>
      <x:c r="Y877" t="str">
        <x:v>WATCH</x:v>
      </x:c>
      <x:c r="Z877" s="12" t="str">
        <x:v>Family + verified grassroots + straight-line geo only; transport not yet routed</x:v>
      </x:c>
      <x:c r="AA877" s="12"/>
      <x:c r="AB877" s="12"/>
      <x:c r="AC877" s="12"/>
      <x:c r="AD877" s="12"/>
      <x:c r="AE877" t="str">
        <x:v>Charlton Athletic Women</x:v>
      </x:c>
      <x:c r="AF877" s="45" t="n">
        <x:v>6.887732096051055</x:v>
      </x:c>
      <x:c r="AG877" t="str">
        <x:v>Dulwich Hamlet Women</x:v>
      </x:c>
      <x:c r="AH877" s="45" t="n">
        <x:v>2.041807238308018</x:v>
      </x:c>
      <x:c r="AI877" t="n">
        <x:v>78</x:v>
      </x:c>
      <x:c r="AJ877" t="str">
        <x:v>HIGH</x:v>
      </x:c>
    </x:row>
    <x:row r="878">
      <x:c r="A878" s="12" t="str">
        <x:v>E01004006</x:v>
      </x:c>
      <x:c r="B878" s="12" t="str">
        <x:v>Southwark 023E</x:v>
      </x:c>
      <x:c r="C878" s="12" t="str">
        <x:v>Southwark</x:v>
      </x:c>
      <x:c r="D878" s="44" t="n">
        <x:v>51.469814307737416</x:v>
      </x:c>
      <x:c r="E878" s="44" t="n">
        <x:v>-0.05794968326668305</x:v>
      </x:c>
      <x:c r="F878" s="33" t="n">
        <x:v>789</x:v>
      </x:c>
      <x:c r="G878" s="33" t="n">
        <x:v>211</x:v>
      </x:c>
      <x:c r="H878" s="26" t="n">
        <x:v>0.2674271229404309</x:v>
      </x:c>
      <x:c r="I878" s="12" t="n">
        <x:v>2</x:v>
      </x:c>
      <x:c r="J878" s="12" t="n">
        <x:v>43</x:v>
      </x:c>
      <x:c r="K878" s="12"/>
      <x:c r="L878" s="12"/>
      <x:c r="M878" s="12" t="str">
        <x:f>IF(K878="", "", MAX(0,IF(K878&lt;=20,100,IF(K878&lt;=30,85,IF(K878&lt;=40,70,IF(K878&lt;=50,55,IF(K878&lt;=60,40,20)))))-MIN(L878*5,20)))</x:f>
      </x:c>
      <x:c r="N878" s="12"/>
      <x:c r="O878" s="12"/>
      <x:c r="P878" s="12" t="str">
        <x:f>IF(OR(H878="",J878="",M878=""),"",ROUND(PERCENTRANK.INC($H$2:$H$941,H878)*35+J878*0.35+M878*0.30,0))</x:f>
      </x:c>
      <x:c r="Q878" s="12" t="str">
        <x:f>IF(P878="","",IF(P878&gt;=80,"ATTACK",IF(P878&gt;=65,"GROW",IF(P878&gt;=50,"PARTNER","WATCH"))))</x:f>
      </x:c>
      <x:c r="R878" s="12" t="str">
        <x:f>IF(Q878="","",IF(Q878="ATTACK","Grassroots + family acquisition",IF(Q878="GROW","Test local campaign",IF(Q878="PARTNER","Organisation-first partnership","Low priority / validate"))))</x:f>
      </x:c>
      <x:c r="S878" s="45" t="n">
        <x:v>10.21502970222142</x:v>
      </x:c>
      <x:c r="T878" t="str">
        <x:v>EXTENDED</x:v>
      </x:c>
      <x:c r="U878" s="32" t="n">
        <x:f>PERCENTRANK.INC($G$2:$G$941,G878)</x:f>
        <x:v>0.482</x:v>
      </x:c>
      <x:c r="V878" s="32" t="n">
        <x:f>PERCENTRANK.INC($H$2:$H$941,H878)</x:f>
        <x:v>0.249</x:v>
      </x:c>
      <x:c r="W878" t="n">
        <x:f>ROUND((U878*55+V878*45)*IF(S878&lt;=5,1,IF(S878&lt;=10,0.95,IF(S878&lt;=20,0.85,0.70))),0)</x:f>
        <x:v>32</x:v>
      </x:c>
      <x:c r="X878" t="n">
        <x:v>37</x:v>
      </x:c>
      <x:c r="Y878" t="str">
        <x:v>WATCH</x:v>
      </x:c>
      <x:c r="Z878" s="12" t="str">
        <x:v>Family + verified grassroots + straight-line geo only; transport not yet routed</x:v>
      </x:c>
      <x:c r="AA878" s="12"/>
      <x:c r="AB878" s="12"/>
      <x:c r="AC878" s="12"/>
      <x:c r="AD878" s="12"/>
      <x:c r="AE878" t="str">
        <x:v>Charlton Athletic Women</x:v>
      </x:c>
      <x:c r="AF878" s="45" t="n">
        <x:v>6.772696952048183</x:v>
      </x:c>
      <x:c r="AG878" t="str">
        <x:v>Dulwich Hamlet Women</x:v>
      </x:c>
      <x:c r="AH878" s="45" t="n">
        <x:v>2.0355926040938273</x:v>
      </x:c>
      <x:c r="AI878" t="n">
        <x:v>78</x:v>
      </x:c>
      <x:c r="AJ878" t="str">
        <x:v>HIGH</x:v>
      </x:c>
    </x:row>
    <x:row r="879">
      <x:c r="A879" s="12" t="str">
        <x:v>E01003913</x:v>
      </x:c>
      <x:c r="B879" s="12" t="str">
        <x:v>Southwark 024A</x:v>
      </x:c>
      <x:c r="C879" s="12" t="str">
        <x:v>Southwark</x:v>
      </x:c>
      <x:c r="D879" s="44" t="n">
        <x:v>51.472035356521616</x:v>
      </x:c>
      <x:c r="E879" s="44" t="n">
        <x:v>-0.08964421726939188</x:v>
      </x:c>
      <x:c r="F879" s="33" t="n">
        <x:v>840</x:v>
      </x:c>
      <x:c r="G879" s="33" t="n">
        <x:v>214</x:v>
      </x:c>
      <x:c r="H879" s="26" t="n">
        <x:v>0.25476190476190474</x:v>
      </x:c>
      <x:c r="I879" s="12" t="n">
        <x:v>2</x:v>
      </x:c>
      <x:c r="J879" s="12" t="n">
        <x:v>43</x:v>
      </x:c>
      <x:c r="K879" s="12"/>
      <x:c r="L879" s="12"/>
      <x:c r="M879" s="12" t="str">
        <x:f>IF(K879="", "", MAX(0,IF(K879&lt;=20,100,IF(K879&lt;=30,85,IF(K879&lt;=40,70,IF(K879&lt;=50,55,IF(K879&lt;=60,40,20)))))-MIN(L879*5,20)))</x:f>
      </x:c>
      <x:c r="N879" s="12"/>
      <x:c r="O879" s="12"/>
      <x:c r="P879" s="12" t="str">
        <x:f>IF(OR(H879="",J879="",M879=""),"",ROUND(PERCENTRANK.INC($H$2:$H$941,H879)*35+J879*0.35+M879*0.30,0))</x:f>
      </x:c>
      <x:c r="Q879" s="12" t="str">
        <x:f>IF(P879="","",IF(P879&gt;=80,"ATTACK",IF(P879&gt;=65,"GROW",IF(P879&gt;=50,"PARTNER","WATCH"))))</x:f>
      </x:c>
      <x:c r="R879" s="12" t="str">
        <x:f>IF(Q879="","",IF(Q879="ATTACK","Grassroots + family acquisition",IF(Q879="GROW","Test local campaign",IF(Q879="PARTNER","Organisation-first partnership","Low priority / validate"))))</x:f>
      </x:c>
      <x:c r="S879" s="45" t="n">
        <x:v>11.68815080026583</x:v>
      </x:c>
      <x:c r="T879" t="str">
        <x:v>EXTENDED</x:v>
      </x:c>
      <x:c r="U879" s="32" t="n">
        <x:f>PERCENTRANK.INC($G$2:$G$941,G879)</x:f>
        <x:v>0.502</x:v>
      </x:c>
      <x:c r="V879" s="32" t="n">
        <x:f>PERCENTRANK.INC($H$2:$H$941,H879)</x:f>
        <x:v>0.2</x:v>
      </x:c>
      <x:c r="W879" t="n">
        <x:f>ROUND((U879*55+V879*45)*IF(S879&lt;=5,1,IF(S879&lt;=10,0.95,IF(S879&lt;=20,0.85,0.70))),0)</x:f>
        <x:v>31</x:v>
      </x:c>
      <x:c r="X879" t="n">
        <x:v>37</x:v>
      </x:c>
      <x:c r="Y879" t="str">
        <x:v>WATCH</x:v>
      </x:c>
      <x:c r="Z879" s="12" t="str">
        <x:v>Family + verified grassroots + straight-line geo only; transport not yet routed</x:v>
      </x:c>
      <x:c r="AA879" s="12"/>
      <x:c r="AB879" s="12"/>
      <x:c r="AC879" s="12"/>
      <x:c r="AD879" s="12"/>
      <x:c r="AE879" t="str">
        <x:v>Chelsea Women</x:v>
      </x:c>
      <x:c r="AF879" s="45" t="n">
        <x:v>7.103305479738642</x:v>
      </x:c>
      <x:c r="AG879" t="str">
        <x:v>Dulwich Hamlet Women</x:v>
      </x:c>
      <x:c r="AH879" s="45" t="n">
        <x:v>1.2544369109959361</x:v>
      </x:c>
      <x:c r="AI879" t="n">
        <x:v>78</x:v>
      </x:c>
      <x:c r="AJ879" t="str">
        <x:v>HIGH</x:v>
      </x:c>
    </x:row>
    <x:row r="880">
      <x:c r="A880" s="12" t="str">
        <x:v>E01003914</x:v>
      </x:c>
      <x:c r="B880" s="12" t="str">
        <x:v>Southwark 024B</x:v>
      </x:c>
      <x:c r="C880" s="12" t="str">
        <x:v>Southwark</x:v>
      </x:c>
      <x:c r="D880" s="44" t="n">
        <x:v>51.47143315464804</x:v>
      </x:c>
      <x:c r="E880" s="44" t="n">
        <x:v>-0.0803019108566258</x:v>
      </x:c>
      <x:c r="F880" s="33" t="n">
        <x:v>717</x:v>
      </x:c>
      <x:c r="G880" s="33" t="n">
        <x:v>165</x:v>
      </x:c>
      <x:c r="H880" s="26" t="n">
        <x:v>0.2301255230125523</x:v>
      </x:c>
      <x:c r="I880" s="12" t="n">
        <x:v>2</x:v>
      </x:c>
      <x:c r="J880" s="12" t="n">
        <x:v>43</x:v>
      </x:c>
      <x:c r="K880" s="12"/>
      <x:c r="L880" s="12"/>
      <x:c r="M880" s="12" t="str">
        <x:f>IF(K880="", "", MAX(0,IF(K880&lt;=20,100,IF(K880&lt;=30,85,IF(K880&lt;=40,70,IF(K880&lt;=50,55,IF(K880&lt;=60,40,20)))))-MIN(L880*5,20)))</x:f>
      </x:c>
      <x:c r="N880" s="12"/>
      <x:c r="O880" s="12"/>
      <x:c r="P880" s="12" t="str">
        <x:f>IF(OR(H880="",J880="",M880=""),"",ROUND(PERCENTRANK.INC($H$2:$H$941,H880)*35+J880*0.35+M880*0.30,0))</x:f>
      </x:c>
      <x:c r="Q880" s="12" t="str">
        <x:f>IF(P880="","",IF(P880&gt;=80,"ATTACK",IF(P880&gt;=65,"GROW",IF(P880&gt;=50,"PARTNER","WATCH"))))</x:f>
      </x:c>
      <x:c r="R880" s="12" t="str">
        <x:f>IF(Q880="","",IF(Q880="ATTACK","Grassroots + family acquisition",IF(Q880="GROW","Test local campaign",IF(Q880="PARTNER","Organisation-first partnership","Low priority / validate"))))</x:f>
      </x:c>
      <x:c r="S880" s="45" t="n">
        <x:v>11.233451494700871</x:v>
      </x:c>
      <x:c r="T880" t="str">
        <x:v>EXTENDED</x:v>
      </x:c>
      <x:c r="U880" s="32" t="n">
        <x:f>PERCENTRANK.INC($G$2:$G$941,G880)</x:f>
        <x:v>0.145</x:v>
      </x:c>
      <x:c r="V880" s="32" t="n">
        <x:f>PERCENTRANK.INC($H$2:$H$941,H880)</x:f>
        <x:v>0.137</x:v>
      </x:c>
      <x:c r="W880" t="n">
        <x:f>ROUND((U880*55+V880*45)*IF(S880&lt;=5,1,IF(S880&lt;=10,0.95,IF(S880&lt;=20,0.85,0.70))),0)</x:f>
        <x:v>12</x:v>
      </x:c>
      <x:c r="X880" t="n">
        <x:v>26</x:v>
      </x:c>
      <x:c r="Y880" t="str">
        <x:v>WATCH</x:v>
      </x:c>
      <x:c r="Z880" s="12" t="str">
        <x:v>Family + verified grassroots + straight-line geo only; transport not yet routed</x:v>
      </x:c>
      <x:c r="AA880" s="12"/>
      <x:c r="AB880" s="12"/>
      <x:c r="AC880" s="12"/>
      <x:c r="AD880" s="12"/>
      <x:c r="AE880" t="str">
        <x:v>Chelsea Women</x:v>
      </x:c>
      <x:c r="AF880" s="45" t="n">
        <x:v>7.7531112836204885</x:v>
      </x:c>
      <x:c r="AG880" t="str">
        <x:v>Dulwich Hamlet Women</x:v>
      </x:c>
      <x:c r="AH880" s="45" t="n">
        <x:v>1.153035592988692</x:v>
      </x:c>
      <x:c r="AI880" t="n">
        <x:v>78</x:v>
      </x:c>
      <x:c r="AJ880" t="str">
        <x:v>HIGH</x:v>
      </x:c>
    </x:row>
    <x:row r="881">
      <x:c r="A881" s="12" t="str">
        <x:v>E01003915</x:v>
      </x:c>
      <x:c r="B881" s="12" t="str">
        <x:v>Southwark 024C</x:v>
      </x:c>
      <x:c r="C881" s="12" t="str">
        <x:v>Southwark</x:v>
      </x:c>
      <x:c r="D881" s="44" t="n">
        <x:v>51.470824254465136</x:v>
      </x:c>
      <x:c r="E881" s="44" t="n">
        <x:v>-0.0842234610357842</x:v>
      </x:c>
      <x:c r="F881" s="33" t="n">
        <x:v>798</x:v>
      </x:c>
      <x:c r="G881" s="33" t="n">
        <x:v>183</x:v>
      </x:c>
      <x:c r="H881" s="26" t="n">
        <x:v>0.22932330827067668</x:v>
      </x:c>
      <x:c r="I881" s="12" t="n">
        <x:v>2</x:v>
      </x:c>
      <x:c r="J881" s="12" t="n">
        <x:v>43</x:v>
      </x:c>
      <x:c r="K881" s="12"/>
      <x:c r="L881" s="12"/>
      <x:c r="M881" s="12" t="str">
        <x:f>IF(K881="", "", MAX(0,IF(K881&lt;=20,100,IF(K881&lt;=30,85,IF(K881&lt;=40,70,IF(K881&lt;=50,55,IF(K881&lt;=60,40,20)))))-MIN(L881*5,20)))</x:f>
      </x:c>
      <x:c r="N881" s="12"/>
      <x:c r="O881" s="12"/>
      <x:c r="P881" s="12" t="str">
        <x:f>IF(OR(H881="",J881="",M881=""),"",ROUND(PERCENTRANK.INC($H$2:$H$941,H881)*35+J881*0.35+M881*0.30,0))</x:f>
      </x:c>
      <x:c r="Q881" s="12" t="str">
        <x:f>IF(P881="","",IF(P881&gt;=80,"ATTACK",IF(P881&gt;=65,"GROW",IF(P881&gt;=50,"PARTNER","WATCH"))))</x:f>
      </x:c>
      <x:c r="R881" s="12" t="str">
        <x:f>IF(Q881="","",IF(Q881="ATTACK","Grassroots + family acquisition",IF(Q881="GROW","Test local campaign",IF(Q881="PARTNER","Organisation-first partnership","Low priority / validate"))))</x:f>
      </x:c>
      <x:c r="S881" s="45" t="n">
        <x:v>11.346922935110168</x:v>
      </x:c>
      <x:c r="T881" t="str">
        <x:v>EXTENDED</x:v>
      </x:c>
      <x:c r="U881" s="32" t="n">
        <x:f>PERCENTRANK.INC($G$2:$G$941,G881)</x:f>
        <x:v>0.248</x:v>
      </x:c>
      <x:c r="V881" s="32" t="n">
        <x:f>PERCENTRANK.INC($H$2:$H$941,H881)</x:f>
        <x:v>0.13</x:v>
      </x:c>
      <x:c r="W881" t="n">
        <x:f>ROUND((U881*55+V881*45)*IF(S881&lt;=5,1,IF(S881&lt;=10,0.95,IF(S881&lt;=20,0.85,0.70))),0)</x:f>
        <x:v>17</x:v>
      </x:c>
      <x:c r="X881" t="n">
        <x:v>29</x:v>
      </x:c>
      <x:c r="Y881" t="str">
        <x:v>WATCH</x:v>
      </x:c>
      <x:c r="Z881" s="12" t="str">
        <x:v>Family + verified grassroots + straight-line geo only; transport not yet routed</x:v>
      </x:c>
      <x:c r="AA881" s="12"/>
      <x:c r="AB881" s="12"/>
      <x:c r="AC881" s="12"/>
      <x:c r="AD881" s="12"/>
      <x:c r="AE881" t="str">
        <x:v>Chelsea Women</x:v>
      </x:c>
      <x:c r="AF881" s="45" t="n">
        <x:v>7.495261854464906</x:v>
      </x:c>
      <x:c r="AG881" t="str">
        <x:v>Dulwich Hamlet Women</x:v>
      </x:c>
      <x:c r="AH881" s="45" t="n">
        <x:v>1.0569608972445614</x:v>
      </x:c>
      <x:c r="AI881" t="n">
        <x:v>78</x:v>
      </x:c>
      <x:c r="AJ881" t="str">
        <x:v>HIGH</x:v>
      </x:c>
    </x:row>
    <x:row r="882">
      <x:c r="A882" s="12" t="str">
        <x:v>E01004050</x:v>
      </x:c>
      <x:c r="B882" s="12" t="str">
        <x:v>Southwark 024D</x:v>
      </x:c>
      <x:c r="C882" s="12" t="str">
        <x:v>Southwark</x:v>
      </x:c>
      <x:c r="D882" s="44" t="n">
        <x:v>51.46799863112227</x:v>
      </x:c>
      <x:c r="E882" s="44" t="n">
        <x:v>-0.08272451012435683</x:v>
      </x:c>
      <x:c r="F882" s="33" t="n">
        <x:v>630</x:v>
      </x:c>
      <x:c r="G882" s="33" t="n">
        <x:v>124</x:v>
      </x:c>
      <x:c r="H882" s="26" t="n">
        <x:v>0.19682539682539682</x:v>
      </x:c>
      <x:c r="I882" s="12" t="n">
        <x:v>2</x:v>
      </x:c>
      <x:c r="J882" s="12" t="n">
        <x:v>51</x:v>
      </x:c>
      <x:c r="K882" s="12"/>
      <x:c r="L882" s="12"/>
      <x:c r="M882" s="12" t="str">
        <x:f>IF(K882="", "", MAX(0,IF(K882&lt;=20,100,IF(K882&lt;=30,85,IF(K882&lt;=40,70,IF(K882&lt;=50,55,IF(K882&lt;=60,40,20)))))-MIN(L882*5,20)))</x:f>
      </x:c>
      <x:c r="N882" s="12"/>
      <x:c r="O882" s="12"/>
      <x:c r="P882" s="12" t="str">
        <x:f>IF(OR(H882="",J882="",M882=""),"",ROUND(PERCENTRANK.INC($H$2:$H$941,H882)*35+J882*0.35+M882*0.30,0))</x:f>
      </x:c>
      <x:c r="Q882" s="12" t="str">
        <x:f>IF(P882="","",IF(P882&gt;=80,"ATTACK",IF(P882&gt;=65,"GROW",IF(P882&gt;=50,"PARTNER","WATCH"))))</x:f>
      </x:c>
      <x:c r="R882" s="12" t="str">
        <x:f>IF(Q882="","",IF(Q882="ATTACK","Grassroots + family acquisition",IF(Q882="GROW","Test local campaign",IF(Q882="PARTNER","Organisation-first partnership","Low priority / validate"))))</x:f>
      </x:c>
      <x:c r="S882" s="45" t="n">
        <x:v>11.03710878621655</x:v>
      </x:c>
      <x:c r="T882" t="str">
        <x:v>EXTENDED</x:v>
      </x:c>
      <x:c r="U882" s="32" t="n">
        <x:f>PERCENTRANK.INC($G$2:$G$941,G882)</x:f>
        <x:v>0.037</x:v>
      </x:c>
      <x:c r="V882" s="32" t="n">
        <x:f>PERCENTRANK.INC($H$2:$H$941,H882)</x:f>
        <x:v>0.063</x:v>
      </x:c>
      <x:c r="W882" t="n">
        <x:f>ROUND((U882*55+V882*45)*IF(S882&lt;=5,1,IF(S882&lt;=10,0.95,IF(S882&lt;=20,0.85,0.70))),0)</x:f>
        <x:v>4</x:v>
      </x:c>
      <x:c r="X882" t="n">
        <x:v>25</x:v>
      </x:c>
      <x:c r="Y882" t="str">
        <x:v>WATCH</x:v>
      </x:c>
      <x:c r="Z882" s="12" t="str">
        <x:v>Family + verified grassroots + straight-line geo only; transport not yet routed</x:v>
      </x:c>
      <x:c r="AA882" s="12"/>
      <x:c r="AB882" s="12"/>
      <x:c r="AC882" s="12"/>
      <x:c r="AD882" s="12"/>
      <x:c r="AE882" t="str">
        <x:v>Chelsea Women</x:v>
      </x:c>
      <x:c r="AF882" s="45" t="n">
        <x:v>7.654258459802524</x:v>
      </x:c>
      <x:c r="AG882" t="str">
        <x:v>Dulwich Hamlet Women</x:v>
      </x:c>
      <x:c r="AH882" s="45" t="n">
        <x:v>0.7477064980343157</x:v>
      </x:c>
      <x:c r="AI882" t="n">
        <x:v>78</x:v>
      </x:c>
      <x:c r="AJ882" t="str">
        <x:v>HIGH</x:v>
      </x:c>
    </x:row>
    <x:row r="883">
      <x:c r="A883" s="12" t="str">
        <x:v>E01004052</x:v>
      </x:c>
      <x:c r="B883" s="12" t="str">
        <x:v>Southwark 024E</x:v>
      </x:c>
      <x:c r="C883" s="12" t="str">
        <x:v>Southwark</x:v>
      </x:c>
      <x:c r="D883" s="44" t="n">
        <x:v>51.46463998343375</x:v>
      </x:c>
      <x:c r="E883" s="44" t="n">
        <x:v>-0.07865987902648679</x:v>
      </x:c>
      <x:c r="F883" s="33" t="n">
        <x:v>772</x:v>
      </x:c>
      <x:c r="G883" s="33" t="n">
        <x:v>185</x:v>
      </x:c>
      <x:c r="H883" s="26" t="n">
        <x:v>0.23963730569948186</x:v>
      </x:c>
      <x:c r="I883" s="12" t="n">
        <x:v>2</x:v>
      </x:c>
      <x:c r="J883" s="12" t="n">
        <x:v>44</x:v>
      </x:c>
      <x:c r="K883" s="12"/>
      <x:c r="L883" s="12"/>
      <x:c r="M883" s="12" t="str">
        <x:f>IF(K883="", "", MAX(0,IF(K883&lt;=20,100,IF(K883&lt;=30,85,IF(K883&lt;=40,70,IF(K883&lt;=50,55,IF(K883&lt;=60,40,20)))))-MIN(L883*5,20)))</x:f>
      </x:c>
      <x:c r="N883" s="12"/>
      <x:c r="O883" s="12"/>
      <x:c r="P883" s="12" t="str">
        <x:f>IF(OR(H883="",J883="",M883=""),"",ROUND(PERCENTRANK.INC($H$2:$H$941,H883)*35+J883*0.35+M883*0.30,0))</x:f>
      </x:c>
      <x:c r="Q883" s="12" t="str">
        <x:f>IF(P883="","",IF(P883&gt;=80,"ATTACK",IF(P883&gt;=65,"GROW",IF(P883&gt;=50,"PARTNER","WATCH"))))</x:f>
      </x:c>
      <x:c r="R883" s="12" t="str">
        <x:f>IF(Q883="","",IF(Q883="ATTACK","Grassroots + family acquisition",IF(Q883="GROW","Test local campaign",IF(Q883="PARTNER","Organisation-first partnership","Low priority / validate"))))</x:f>
      </x:c>
      <x:c r="S883" s="45" t="n">
        <x:v>10.569736827176165</x:v>
      </x:c>
      <x:c r="T883" t="str">
        <x:v>EXTENDED</x:v>
      </x:c>
      <x:c r="U883" s="32" t="n">
        <x:f>PERCENTRANK.INC($G$2:$G$941,G883)</x:f>
        <x:v>0.266</x:v>
      </x:c>
      <x:c r="V883" s="32" t="n">
        <x:f>PERCENTRANK.INC($H$2:$H$941,H883)</x:f>
        <x:v>0.153</x:v>
      </x:c>
      <x:c r="W883" t="n">
        <x:f>ROUND((U883*55+V883*45)*IF(S883&lt;=5,1,IF(S883&lt;=10,0.95,IF(S883&lt;=20,0.85,0.70))),0)</x:f>
        <x:v>18</x:v>
      </x:c>
      <x:c r="X883" t="n">
        <x:v>30</x:v>
      </x:c>
      <x:c r="Y883" t="str">
        <x:v>WATCH</x:v>
      </x:c>
      <x:c r="Z883" s="12" t="str">
        <x:v>Family + verified grassroots + straight-line geo only; transport not yet routed</x:v>
      </x:c>
      <x:c r="AA883" s="12"/>
      <x:c r="AB883" s="12"/>
      <x:c r="AC883" s="12"/>
      <x:c r="AD883" s="12"/>
      <x:c r="AE883" t="str">
        <x:v>Crystal Palace Women</x:v>
      </x:c>
      <x:c r="AF883" s="45" t="n">
        <x:v>7.392607933259622</x:v>
      </x:c>
      <x:c r="AG883" t="str">
        <x:v>Dulwich Hamlet Women</x:v>
      </x:c>
      <x:c r="AH883" s="45" t="n">
        <x:v>0.521651699496075</x:v>
      </x:c>
      <x:c r="AI883" t="n">
        <x:v>78</x:v>
      </x:c>
      <x:c r="AJ883" t="str">
        <x:v>HIGH</x:v>
      </x:c>
    </x:row>
    <x:row r="884">
      <x:c r="A884" s="12" t="str">
        <x:v>E01004061</x:v>
      </x:c>
      <x:c r="B884" s="12" t="str">
        <x:v>Southwark 025A</x:v>
      </x:c>
      <x:c r="C884" s="12" t="str">
        <x:v>Southwark</x:v>
      </x:c>
      <x:c r="D884" s="44" t="n">
        <x:v>51.46860916611359</x:v>
      </x:c>
      <x:c r="E884" s="44" t="n">
        <x:v>-0.07437412184633808</x:v>
      </x:c>
      <x:c r="F884" s="33" t="n">
        <x:v>737</x:v>
      </x:c>
      <x:c r="G884" s="33" t="n">
        <x:v>167</x:v>
      </x:c>
      <x:c r="H884" s="26" t="n">
        <x:v>0.2265943012211669</x:v>
      </x:c>
      <x:c r="I884" s="12" t="n">
        <x:v>2</x:v>
      </x:c>
      <x:c r="J884" s="12" t="n">
        <x:v>51</x:v>
      </x:c>
      <x:c r="K884" s="12"/>
      <x:c r="L884" s="12"/>
      <x:c r="M884" s="12" t="str">
        <x:f>IF(K884="", "", MAX(0,IF(K884&lt;=20,100,IF(K884&lt;=30,85,IF(K884&lt;=40,70,IF(K884&lt;=50,55,IF(K884&lt;=60,40,20)))))-MIN(L884*5,20)))</x:f>
      </x:c>
      <x:c r="N884" s="12"/>
      <x:c r="O884" s="12"/>
      <x:c r="P884" s="12" t="str">
        <x:f>IF(OR(H884="",J884="",M884=""),"",ROUND(PERCENTRANK.INC($H$2:$H$941,H884)*35+J884*0.35+M884*0.30,0))</x:f>
      </x:c>
      <x:c r="Q884" s="12" t="str">
        <x:f>IF(P884="","",IF(P884&gt;=80,"ATTACK",IF(P884&gt;=65,"GROW",IF(P884&gt;=50,"PARTNER","WATCH"))))</x:f>
      </x:c>
      <x:c r="R884" s="12" t="str">
        <x:f>IF(Q884="","",IF(Q884="ATTACK","Grassroots + family acquisition",IF(Q884="GROW","Test local campaign",IF(Q884="PARTNER","Organisation-first partnership","Low priority / validate"))))</x:f>
      </x:c>
      <x:c r="S884" s="45" t="n">
        <x:v>10.735824567518598</x:v>
      </x:c>
      <x:c r="T884" t="str">
        <x:v>EXTENDED</x:v>
      </x:c>
      <x:c r="U884" s="32" t="n">
        <x:f>PERCENTRANK.INC($G$2:$G$941,G884)</x:f>
        <x:v>0.156</x:v>
      </x:c>
      <x:c r="V884" s="32" t="n">
        <x:f>PERCENTRANK.INC($H$2:$H$941,H884)</x:f>
        <x:v>0.124</x:v>
      </x:c>
      <x:c r="W884" t="n">
        <x:f>ROUND((U884*55+V884*45)*IF(S884&lt;=5,1,IF(S884&lt;=10,0.95,IF(S884&lt;=20,0.85,0.70))),0)</x:f>
        <x:v>12</x:v>
      </x:c>
      <x:c r="X884" t="n">
        <x:v>30</x:v>
      </x:c>
      <x:c r="Y884" t="str">
        <x:v>WATCH</x:v>
      </x:c>
      <x:c r="Z884" s="12" t="str">
        <x:v>Family + verified grassroots + straight-line geo only; transport not yet routed</x:v>
      </x:c>
      <x:c r="AA884" s="12"/>
      <x:c r="AB884" s="12"/>
      <x:c r="AC884" s="12"/>
      <x:c r="AD884" s="12"/>
      <x:c r="AE884" t="str">
        <x:v>Crystal Palace Women</x:v>
      </x:c>
      <x:c r="AF884" s="45" t="n">
        <x:v>7.855853491564838</x:v>
      </x:c>
      <x:c r="AG884" t="str">
        <x:v>Dulwich Hamlet Women</x:v>
      </x:c>
      <x:c r="AH884" s="45" t="n">
        <x:v>1.0486877066800286</x:v>
      </x:c>
      <x:c r="AI884" t="n">
        <x:v>78</x:v>
      </x:c>
      <x:c r="AJ884" t="str">
        <x:v>HIGH</x:v>
      </x:c>
    </x:row>
    <x:row r="885">
      <x:c r="A885" s="12" t="str">
        <x:v>E01004062</x:v>
      </x:c>
      <x:c r="B885" s="12" t="str">
        <x:v>Southwark 025B</x:v>
      </x:c>
      <x:c r="C885" s="12" t="str">
        <x:v>Southwark</x:v>
      </x:c>
      <x:c r="D885" s="44" t="n">
        <x:v>51.466490292705615</x:v>
      </x:c>
      <x:c r="E885" s="44" t="n">
        <x:v>-0.06619271382435303</x:v>
      </x:c>
      <x:c r="F885" s="33" t="n">
        <x:v>981</x:v>
      </x:c>
      <x:c r="G885" s="33" t="n">
        <x:v>245</x:v>
      </x:c>
      <x:c r="H885" s="26" t="n">
        <x:v>0.24974515800203873</x:v>
      </x:c>
      <x:c r="I885" s="12" t="n">
        <x:v>2</x:v>
      </x:c>
      <x:c r="J885" s="12" t="n">
        <x:v>44</x:v>
      </x:c>
      <x:c r="K885" s="12"/>
      <x:c r="L885" s="12"/>
      <x:c r="M885" s="12" t="str">
        <x:f>IF(K885="", "", MAX(0,IF(K885&lt;=20,100,IF(K885&lt;=30,85,IF(K885&lt;=40,70,IF(K885&lt;=50,55,IF(K885&lt;=60,40,20)))))-MIN(L885*5,20)))</x:f>
      </x:c>
      <x:c r="N885" s="12"/>
      <x:c r="O885" s="12"/>
      <x:c r="P885" s="12" t="str">
        <x:f>IF(OR(H885="",J885="",M885=""),"",ROUND(PERCENTRANK.INC($H$2:$H$941,H885)*35+J885*0.35+M885*0.30,0))</x:f>
      </x:c>
      <x:c r="Q885" s="12" t="str">
        <x:f>IF(P885="","",IF(P885&gt;=80,"ATTACK",IF(P885&gt;=65,"GROW",IF(P885&gt;=50,"PARTNER","WATCH"))))</x:f>
      </x:c>
      <x:c r="R885" s="12" t="str">
        <x:f>IF(Q885="","",IF(Q885="ATTACK","Grassroots + family acquisition",IF(Q885="GROW","Test local campaign",IF(Q885="PARTNER","Organisation-first partnership","Low priority / validate"))))</x:f>
      </x:c>
      <x:c r="S885" s="45" t="n">
        <x:v>10.214086196551968</x:v>
      </x:c>
      <x:c r="T885" t="str">
        <x:v>EXTENDED</x:v>
      </x:c>
      <x:c r="U885" s="32" t="n">
        <x:f>PERCENTRANK.INC($G$2:$G$941,G885)</x:f>
        <x:v>0.742</x:v>
      </x:c>
      <x:c r="V885" s="32" t="n">
        <x:f>PERCENTRANK.INC($H$2:$H$941,H885)</x:f>
        <x:v>0.179</x:v>
      </x:c>
      <x:c r="W885" t="n">
        <x:f>ROUND((U885*55+V885*45)*IF(S885&lt;=5,1,IF(S885&lt;=10,0.95,IF(S885&lt;=20,0.85,0.70))),0)</x:f>
        <x:v>42</x:v>
      </x:c>
      <x:c r="X885" t="n">
        <x:v>43</x:v>
      </x:c>
      <x:c r="Y885" t="str">
        <x:v>WATCH</x:v>
      </x:c>
      <x:c r="Z885" s="12" t="str">
        <x:v>Family + verified grassroots + straight-line geo only; transport not yet routed</x:v>
      </x:c>
      <x:c r="AA885" s="12"/>
      <x:c r="AB885" s="12"/>
      <x:c r="AC885" s="12"/>
      <x:c r="AD885" s="12"/>
      <x:c r="AE885" t="str">
        <x:v>Charlton Athletic Women</x:v>
      </x:c>
      <x:c r="AF885" s="45" t="n">
        <x:v>7.425579593386323</x:v>
      </x:c>
      <x:c r="AG885" t="str">
        <x:v>Dulwich Hamlet Women</x:v>
      </x:c>
      <x:c r="AH885" s="45" t="n">
        <x:v>1.3597393423472088</x:v>
      </x:c>
      <x:c r="AI885" t="n">
        <x:v>78</x:v>
      </x:c>
      <x:c r="AJ885" t="str">
        <x:v>HIGH</x:v>
      </x:c>
    </x:row>
    <x:row r="886">
      <x:c r="A886" s="12" t="str">
        <x:v>E01004063</x:v>
      </x:c>
      <x:c r="B886" s="12" t="str">
        <x:v>Southwark 025C</x:v>
      </x:c>
      <x:c r="C886" s="12" t="str">
        <x:v>Southwark</x:v>
      </x:c>
      <x:c r="D886" s="44" t="n">
        <x:v>51.46717194946532</x:v>
      </x:c>
      <x:c r="E886" s="44" t="n">
        <x:v>-0.07102038773356097</x:v>
      </x:c>
      <x:c r="F886" s="33" t="n">
        <x:v>856</x:v>
      </x:c>
      <x:c r="G886" s="33" t="n">
        <x:v>192</x:v>
      </x:c>
      <x:c r="H886" s="26" t="n">
        <x:v>0.22429906542056074</x:v>
      </x:c>
      <x:c r="I886" s="12" t="n">
        <x:v>2</x:v>
      </x:c>
      <x:c r="J886" s="12" t="n">
        <x:v>44</x:v>
      </x:c>
      <x:c r="K886" s="12"/>
      <x:c r="L886" s="12"/>
      <x:c r="M886" s="12" t="str">
        <x:f>IF(K886="", "", MAX(0,IF(K886&lt;=20,100,IF(K886&lt;=30,85,IF(K886&lt;=40,70,IF(K886&lt;=50,55,IF(K886&lt;=60,40,20)))))-MIN(L886*5,20)))</x:f>
      </x:c>
      <x:c r="N886" s="12"/>
      <x:c r="O886" s="12"/>
      <x:c r="P886" s="12" t="str">
        <x:f>IF(OR(H886="",J886="",M886=""),"",ROUND(PERCENTRANK.INC($H$2:$H$941,H886)*35+J886*0.35+M886*0.30,0))</x:f>
      </x:c>
      <x:c r="Q886" s="12" t="str">
        <x:f>IF(P886="","",IF(P886&gt;=80,"ATTACK",IF(P886&gt;=65,"GROW",IF(P886&gt;=50,"PARTNER","WATCH"))))</x:f>
      </x:c>
      <x:c r="R886" s="12" t="str">
        <x:f>IF(Q886="","",IF(Q886="ATTACK","Grassroots + family acquisition",IF(Q886="GROW","Test local campaign",IF(Q886="PARTNER","Organisation-first partnership","Low priority / validate"))))</x:f>
      </x:c>
      <x:c r="S886" s="45" t="n">
        <x:v>10.469541432038891</x:v>
      </x:c>
      <x:c r="T886" t="str">
        <x:v>EXTENDED</x:v>
      </x:c>
      <x:c r="U886" s="32" t="n">
        <x:f>PERCENTRANK.INC($G$2:$G$941,G886)</x:f>
        <x:v>0.325</x:v>
      </x:c>
      <x:c r="V886" s="32" t="n">
        <x:f>PERCENTRANK.INC($H$2:$H$941,H886)</x:f>
        <x:v>0.111</x:v>
      </x:c>
      <x:c r="W886" t="n">
        <x:f>ROUND((U886*55+V886*45)*IF(S886&lt;=5,1,IF(S886&lt;=10,0.95,IF(S886&lt;=20,0.85,0.70))),0)</x:f>
        <x:v>19</x:v>
      </x:c>
      <x:c r="X886" t="n">
        <x:v>31</x:v>
      </x:c>
      <x:c r="Y886" t="str">
        <x:v>WATCH</x:v>
      </x:c>
      <x:c r="Z886" s="12" t="str">
        <x:v>Family + verified grassroots + straight-line geo only; transport not yet routed</x:v>
      </x:c>
      <x:c r="AA886" s="12"/>
      <x:c r="AB886" s="12"/>
      <x:c r="AC886" s="12"/>
      <x:c r="AD886" s="12"/>
      <x:c r="AE886" t="str">
        <x:v>Crystal Palace Women</x:v>
      </x:c>
      <x:c r="AF886" s="45" t="n">
        <x:v>7.72281397271297</x:v>
      </x:c>
      <x:c r="AG886" t="str">
        <x:v>Dulwich Hamlet Women</x:v>
      </x:c>
      <x:c r="AH886" s="45" t="n">
        <x:v>1.1087927280130099</x:v>
      </x:c>
      <x:c r="AI886" t="n">
        <x:v>78</x:v>
      </x:c>
      <x:c r="AJ886" t="str">
        <x:v>HIGH</x:v>
      </x:c>
    </x:row>
    <x:row r="887">
      <x:c r="A887" s="12" t="str">
        <x:v>E01004065</x:v>
      </x:c>
      <x:c r="B887" s="12" t="str">
        <x:v>Southwark 025D</x:v>
      </x:c>
      <x:c r="C887" s="12" t="str">
        <x:v>Southwark</x:v>
      </x:c>
      <x:c r="D887" s="44" t="n">
        <x:v>51.464142738751896</x:v>
      </x:c>
      <x:c r="E887" s="44" t="n">
        <x:v>-0.07082934673441896</x:v>
      </x:c>
      <x:c r="F887" s="33" t="n">
        <x:v>630</x:v>
      </x:c>
      <x:c r="G887" s="33" t="n">
        <x:v>150</x:v>
      </x:c>
      <x:c r="H887" s="26" t="n">
        <x:v>0.23809523809523808</x:v>
      </x:c>
      <x:c r="I887" s="12" t="n">
        <x:v>2</x:v>
      </x:c>
      <x:c r="J887" s="12" t="n">
        <x:v>44</x:v>
      </x:c>
      <x:c r="K887" s="12"/>
      <x:c r="L887" s="12"/>
      <x:c r="M887" s="12" t="str">
        <x:f>IF(K887="", "", MAX(0,IF(K887&lt;=20,100,IF(K887&lt;=30,85,IF(K887&lt;=40,70,IF(K887&lt;=50,55,IF(K887&lt;=60,40,20)))))-MIN(L887*5,20)))</x:f>
      </x:c>
      <x:c r="N887" s="12"/>
      <x:c r="O887" s="12"/>
      <x:c r="P887" s="12" t="str">
        <x:f>IF(OR(H887="",J887="",M887=""),"",ROUND(PERCENTRANK.INC($H$2:$H$941,H887)*35+J887*0.35+M887*0.30,0))</x:f>
      </x:c>
      <x:c r="Q887" s="12" t="str">
        <x:f>IF(P887="","",IF(P887&gt;=80,"ATTACK",IF(P887&gt;=65,"GROW",IF(P887&gt;=50,"PARTNER","WATCH"))))</x:f>
      </x:c>
      <x:c r="R887" s="12" t="str">
        <x:f>IF(Q887="","",IF(Q887="ATTACK","Grassroots + family acquisition",IF(Q887="GROW","Test local campaign",IF(Q887="PARTNER","Organisation-first partnership","Low priority / validate"))))</x:f>
      </x:c>
      <x:c r="S887" s="45" t="n">
        <x:v>10.19104331024685</x:v>
      </x:c>
      <x:c r="T887" t="str">
        <x:v>EXTENDED</x:v>
      </x:c>
      <x:c r="U887" s="32" t="n">
        <x:f>PERCENTRANK.INC($G$2:$G$941,G887)</x:f>
        <x:v>0.094</x:v>
      </x:c>
      <x:c r="V887" s="32" t="n">
        <x:f>PERCENTRANK.INC($H$2:$H$941,H887)</x:f>
        <x:v>0.149</x:v>
      </x:c>
      <x:c r="W887" t="n">
        <x:f>ROUND((U887*55+V887*45)*IF(S887&lt;=5,1,IF(S887&lt;=10,0.95,IF(S887&lt;=20,0.85,0.70))),0)</x:f>
        <x:v>10</x:v>
      </x:c>
      <x:c r="X887" t="n">
        <x:v>25</x:v>
      </x:c>
      <x:c r="Y887" t="str">
        <x:v>WATCH</x:v>
      </x:c>
      <x:c r="Z887" s="12" t="str">
        <x:v>Family + verified grassroots + straight-line geo only; transport not yet routed</x:v>
      </x:c>
      <x:c r="AA887" s="12"/>
      <x:c r="AB887" s="12"/>
      <x:c r="AC887" s="12"/>
      <x:c r="AD887" s="12"/>
      <x:c r="AE887" t="str">
        <x:v>Crystal Palace Women</x:v>
      </x:c>
      <x:c r="AF887" s="45" t="n">
        <x:v>7.390596067208076</x:v>
      </x:c>
      <x:c r="AG887" t="str">
        <x:v>Dulwich Hamlet Women</x:v>
      </x:c>
      <x:c r="AH887" s="45" t="n">
        <x:v>0.9635927011851344</x:v>
      </x:c>
      <x:c r="AI887" t="n">
        <x:v>78</x:v>
      </x:c>
      <x:c r="AJ887" t="str">
        <x:v>HIGH</x:v>
      </x:c>
    </x:row>
    <x:row r="888">
      <x:c r="A888" s="12" t="str">
        <x:v>E01004066</x:v>
      </x:c>
      <x:c r="B888" s="12" t="str">
        <x:v>Southwark 025E</x:v>
      </x:c>
      <x:c r="C888" s="12" t="str">
        <x:v>Southwark</x:v>
      </x:c>
      <x:c r="D888" s="44" t="n">
        <x:v>51.472725460953015</x:v>
      </x:c>
      <x:c r="E888" s="44" t="n">
        <x:v>-0.07662495131281463</x:v>
      </x:c>
      <x:c r="F888" s="33" t="n">
        <x:v>852</x:v>
      </x:c>
      <x:c r="G888" s="33" t="n">
        <x:v>263</x:v>
      </x:c>
      <x:c r="H888" s="26" t="n">
        <x:v>0.3086854460093897</x:v>
      </x:c>
      <x:c r="I888" s="12" t="n">
        <x:v>2</x:v>
      </x:c>
      <x:c r="J888" s="12" t="n">
        <x:v>43</x:v>
      </x:c>
      <x:c r="K888" s="12"/>
      <x:c r="L888" s="12"/>
      <x:c r="M888" s="12" t="str">
        <x:f>IF(K888="", "", MAX(0,IF(K888&lt;=20,100,IF(K888&lt;=30,85,IF(K888&lt;=40,70,IF(K888&lt;=50,55,IF(K888&lt;=60,40,20)))))-MIN(L888*5,20)))</x:f>
      </x:c>
      <x:c r="N888" s="12"/>
      <x:c r="O888" s="12"/>
      <x:c r="P888" s="12" t="str">
        <x:f>IF(OR(H888="",J888="",M888=""),"",ROUND(PERCENTRANK.INC($H$2:$H$941,H888)*35+J888*0.35+M888*0.30,0))</x:f>
      </x:c>
      <x:c r="Q888" s="12" t="str">
        <x:f>IF(P888="","",IF(P888&gt;=80,"ATTACK",IF(P888&gt;=65,"GROW",IF(P888&gt;=50,"PARTNER","WATCH"))))</x:f>
      </x:c>
      <x:c r="R888" s="12" t="str">
        <x:f>IF(Q888="","",IF(Q888="ATTACK","Grassroots + family acquisition",IF(Q888="GROW","Test local campaign",IF(Q888="PARTNER","Organisation-first partnership","Low priority / validate"))))</x:f>
      </x:c>
      <x:c r="S888" s="45" t="n">
        <x:v>11.197400246774428</x:v>
      </x:c>
      <x:c r="T888" t="str">
        <x:v>EXTENDED</x:v>
      </x:c>
      <x:c r="U888" s="32" t="n">
        <x:f>PERCENTRANK.INC($G$2:$G$941,G888)</x:f>
        <x:v>0.842</x:v>
      </x:c>
      <x:c r="V888" s="32" t="n">
        <x:f>PERCENTRANK.INC($H$2:$H$941,H888)</x:f>
        <x:v>0.44</x:v>
      </x:c>
      <x:c r="W888" t="n">
        <x:f>ROUND((U888*55+V888*45)*IF(S888&lt;=5,1,IF(S888&lt;=10,0.95,IF(S888&lt;=20,0.85,0.70))),0)</x:f>
        <x:v>56</x:v>
      </x:c>
      <x:c r="X888" t="n">
        <x:v>50</x:v>
      </x:c>
      <x:c r="Y888" t="str">
        <x:v>PARTNER</x:v>
      </x:c>
      <x:c r="Z888" s="12" t="str">
        <x:v>Family + verified grassroots + straight-line geo only; transport not yet routed</x:v>
      </x:c>
      <x:c r="AA888" s="12"/>
      <x:c r="AB888" s="12"/>
      <x:c r="AC888" s="12"/>
      <x:c r="AD888" s="12"/>
      <x:c r="AE888" t="str">
        <x:v>Charlton Athletic Women</x:v>
      </x:c>
      <x:c r="AF888" s="45" t="n">
        <x:v>7.956489577813226</x:v>
      </x:c>
      <x:c r="AG888" t="str">
        <x:v>Dulwich Hamlet Women</x:v>
      </x:c>
      <x:c r="AH888" s="45" t="n">
        <x:v>1.3667440157869866</x:v>
      </x:c>
      <x:c r="AI888" t="n">
        <x:v>78</x:v>
      </x:c>
      <x:c r="AJ888" t="str">
        <x:v>HIGH</x:v>
      </x:c>
    </x:row>
    <x:row r="889">
      <x:c r="A889" s="12" t="str">
        <x:v>E01004000</x:v>
      </x:c>
      <x:c r="B889" s="12" t="str">
        <x:v>Southwark 026A</x:v>
      </x:c>
      <x:c r="C889" s="12" t="str">
        <x:v>Southwark</x:v>
      </x:c>
      <x:c r="D889" s="44" t="n">
        <x:v>51.46742666732977</x:v>
      </x:c>
      <x:c r="E889" s="44" t="n">
        <x:v>-0.0531218291168262</x:v>
      </x:c>
      <x:c r="F889" s="33" t="n">
        <x:v>875</x:v>
      </x:c>
      <x:c r="G889" s="33" t="n">
        <x:v>217</x:v>
      </x:c>
      <x:c r="H889" s="26" t="n">
        <x:v>0.248</x:v>
      </x:c>
      <x:c r="I889" s="12" t="n">
        <x:v>2</x:v>
      </x:c>
      <x:c r="J889" s="12" t="n">
        <x:v>43</x:v>
      </x:c>
      <x:c r="K889" s="12"/>
      <x:c r="L889" s="12"/>
      <x:c r="M889" s="12" t="str">
        <x:f>IF(K889="", "", MAX(0,IF(K889&lt;=20,100,IF(K889&lt;=30,85,IF(K889&lt;=40,70,IF(K889&lt;=50,55,IF(K889&lt;=60,40,20)))))-MIN(L889*5,20)))</x:f>
      </x:c>
      <x:c r="N889" s="12"/>
      <x:c r="O889" s="12"/>
      <x:c r="P889" s="12" t="str">
        <x:f>IF(OR(H889="",J889="",M889=""),"",ROUND(PERCENTRANK.INC($H$2:$H$941,H889)*35+J889*0.35+M889*0.30,0))</x:f>
      </x:c>
      <x:c r="Q889" s="12" t="str">
        <x:f>IF(P889="","",IF(P889&gt;=80,"ATTACK",IF(P889&gt;=65,"GROW",IF(P889&gt;=50,"PARTNER","WATCH"))))</x:f>
      </x:c>
      <x:c r="R889" s="12" t="str">
        <x:f>IF(Q889="","",IF(Q889="ATTACK","Grassroots + family acquisition",IF(Q889="GROW","Test local campaign",IF(Q889="PARTNER","Organisation-first partnership","Low priority / validate"))))</x:f>
      </x:c>
      <x:c r="S889" s="45" t="n">
        <x:v>9.816573018260787</x:v>
      </x:c>
      <x:c r="T889" t="str">
        <x:v>NEAR</x:v>
      </x:c>
      <x:c r="U889" s="32" t="n">
        <x:f>PERCENTRANK.INC($G$2:$G$941,G889)</x:f>
        <x:v>0.531</x:v>
      </x:c>
      <x:c r="V889" s="32" t="n">
        <x:f>PERCENTRANK.INC($H$2:$H$941,H889)</x:f>
        <x:v>0.175</x:v>
      </x:c>
      <x:c r="W889" t="n">
        <x:f>ROUND((U889*55+V889*45)*IF(S889&lt;=5,1,IF(S889&lt;=10,0.95,IF(S889&lt;=20,0.85,0.70))),0)</x:f>
        <x:v>35</x:v>
      </x:c>
      <x:c r="X889" t="n">
        <x:v>39</x:v>
      </x:c>
      <x:c r="Y889" t="str">
        <x:v>WATCH</x:v>
      </x:c>
      <x:c r="Z889" s="12" t="str">
        <x:v>Family + verified grassroots + straight-line geo only; transport not yet routed</x:v>
      </x:c>
      <x:c r="AA889" s="12"/>
      <x:c r="AB889" s="12"/>
      <x:c r="AC889" s="12"/>
      <x:c r="AD889" s="12"/>
      <x:c r="AE889" t="str">
        <x:v>Charlton Athletic Women</x:v>
      </x:c>
      <x:c r="AF889" s="45" t="n">
        <x:v>6.532629651506386</x:v>
      </x:c>
      <x:c r="AG889" t="str">
        <x:v>Dulwich Hamlet Women</x:v>
      </x:c>
      <x:c r="AH889" s="45" t="n">
        <x:v>2.2429443412015204</x:v>
      </x:c>
      <x:c r="AI889" t="n">
        <x:v>78</x:v>
      </x:c>
      <x:c r="AJ889" t="str">
        <x:v>HIGH</x:v>
      </x:c>
    </x:row>
    <x:row r="890">
      <x:c r="A890" s="12" t="str">
        <x:v>E01004001</x:v>
      </x:c>
      <x:c r="B890" s="12" t="str">
        <x:v>Southwark 026B</x:v>
      </x:c>
      <x:c r="C890" s="12" t="str">
        <x:v>Southwark</x:v>
      </x:c>
      <x:c r="D890" s="44" t="n">
        <x:v>51.46420525977633</x:v>
      </x:c>
      <x:c r="E890" s="44" t="n">
        <x:v>-0.05691802547591125</x:v>
      </x:c>
      <x:c r="F890" s="33" t="n">
        <x:v>755</x:v>
      </x:c>
      <x:c r="G890" s="33" t="n">
        <x:v>197</x:v>
      </x:c>
      <x:c r="H890" s="26" t="n">
        <x:v>0.2609271523178808</x:v>
      </x:c>
      <x:c r="I890" s="12" t="n">
        <x:v>2</x:v>
      </x:c>
      <x:c r="J890" s="12" t="n">
        <x:v>51</x:v>
      </x:c>
      <x:c r="K890" s="12"/>
      <x:c r="L890" s="12"/>
      <x:c r="M890" s="12" t="str">
        <x:f>IF(K890="", "", MAX(0,IF(K890&lt;=20,100,IF(K890&lt;=30,85,IF(K890&lt;=40,70,IF(K890&lt;=50,55,IF(K890&lt;=60,40,20)))))-MIN(L890*5,20)))</x:f>
      </x:c>
      <x:c r="N890" s="12"/>
      <x:c r="O890" s="12"/>
      <x:c r="P890" s="12" t="str">
        <x:f>IF(OR(H890="",J890="",M890=""),"",ROUND(PERCENTRANK.INC($H$2:$H$941,H890)*35+J890*0.35+M890*0.30,0))</x:f>
      </x:c>
      <x:c r="Q890" s="12" t="str">
        <x:f>IF(P890="","",IF(P890&gt;=80,"ATTACK",IF(P890&gt;=65,"GROW",IF(P890&gt;=50,"PARTNER","WATCH"))))</x:f>
      </x:c>
      <x:c r="R890" s="12" t="str">
        <x:f>IF(Q890="","",IF(Q890="ATTACK","Grassroots + family acquisition",IF(Q890="GROW","Test local campaign",IF(Q890="PARTNER","Organisation-first partnership","Low priority / validate"))))</x:f>
      </x:c>
      <x:c r="S890" s="45" t="n">
        <x:v>9.646752919940614</x:v>
      </x:c>
      <x:c r="T890" t="str">
        <x:v>NEAR</x:v>
      </x:c>
      <x:c r="U890" s="32" t="n">
        <x:f>PERCENTRANK.INC($G$2:$G$941,G890)</x:f>
        <x:v>0.356</x:v>
      </x:c>
      <x:c r="V890" s="32" t="n">
        <x:f>PERCENTRANK.INC($H$2:$H$941,H890)</x:f>
        <x:v>0.224</x:v>
      </x:c>
      <x:c r="W890" t="n">
        <x:f>ROUND((U890*55+V890*45)*IF(S890&lt;=5,1,IF(S890&lt;=10,0.95,IF(S890&lt;=20,0.85,0.70))),0)</x:f>
        <x:v>28</x:v>
      </x:c>
      <x:c r="X890" t="n">
        <x:v>39</x:v>
      </x:c>
      <x:c r="Y890" t="str">
        <x:v>WATCH</x:v>
      </x:c>
      <x:c r="Z890" s="12" t="str">
        <x:v>Family + verified grassroots + straight-line geo only; transport not yet routed</x:v>
      </x:c>
      <x:c r="AA890" s="12"/>
      <x:c r="AB890" s="12"/>
      <x:c r="AC890" s="12"/>
      <x:c r="AD890" s="12"/>
      <x:c r="AE890" t="str">
        <x:v>Charlton Athletic Women</x:v>
      </x:c>
      <x:c r="AF890" s="45" t="n">
        <x:v>6.902024976750484</x:v>
      </x:c>
      <x:c r="AG890" t="str">
        <x:v>Dulwich Hamlet Women</x:v>
      </x:c>
      <x:c r="AH890" s="45" t="n">
        <x:v>1.9020284434716455</x:v>
      </x:c>
      <x:c r="AI890" t="n">
        <x:v>78</x:v>
      </x:c>
      <x:c r="AJ890" t="str">
        <x:v>HIGH</x:v>
      </x:c>
    </x:row>
    <x:row r="891">
      <x:c r="A891" s="12" t="str">
        <x:v>E01004019</x:v>
      </x:c>
      <x:c r="B891" s="12" t="str">
        <x:v>Southwark 026C</x:v>
      </x:c>
      <x:c r="C891" s="12" t="str">
        <x:v>Southwark</x:v>
      </x:c>
      <x:c r="D891" s="44" t="n">
        <x:v>51.46215466058889</x:v>
      </x:c>
      <x:c r="E891" s="44" t="n">
        <x:v>-0.060771815476676205</x:v>
      </x:c>
      <x:c r="F891" s="33" t="n">
        <x:v>841</x:v>
      </x:c>
      <x:c r="G891" s="33" t="n">
        <x:v>248</x:v>
      </x:c>
      <x:c r="H891" s="26" t="n">
        <x:v>0.29488703923900117</x:v>
      </x:c>
      <x:c r="I891" s="12" t="n">
        <x:v>2</x:v>
      </x:c>
      <x:c r="J891" s="12" t="n">
        <x:v>51</x:v>
      </x:c>
      <x:c r="K891" s="12"/>
      <x:c r="L891" s="12"/>
      <x:c r="M891" s="12" t="str">
        <x:f>IF(K891="", "", MAX(0,IF(K891&lt;=20,100,IF(K891&lt;=30,85,IF(K891&lt;=40,70,IF(K891&lt;=50,55,IF(K891&lt;=60,40,20)))))-MIN(L891*5,20)))</x:f>
      </x:c>
      <x:c r="N891" s="12"/>
      <x:c r="O891" s="12"/>
      <x:c r="P891" s="12" t="str">
        <x:f>IF(OR(H891="",J891="",M891=""),"",ROUND(PERCENTRANK.INC($H$2:$H$941,H891)*35+J891*0.35+M891*0.30,0))</x:f>
      </x:c>
      <x:c r="Q891" s="12" t="str">
        <x:f>IF(P891="","",IF(P891&gt;=80,"ATTACK",IF(P891&gt;=65,"GROW",IF(P891&gt;=50,"PARTNER","WATCH"))))</x:f>
      </x:c>
      <x:c r="R891" s="12" t="str">
        <x:f>IF(Q891="","",IF(Q891="ATTACK","Grassroots + family acquisition",IF(Q891="GROW","Test local campaign",IF(Q891="PARTNER","Organisation-first partnership","Low priority / validate"))))</x:f>
      </x:c>
      <x:c r="S891" s="45" t="n">
        <x:v>9.603979814130087</x:v>
      </x:c>
      <x:c r="T891" t="str">
        <x:v>NEAR</x:v>
      </x:c>
      <x:c r="U891" s="32" t="n">
        <x:f>PERCENTRANK.INC($G$2:$G$941,G891)</x:f>
        <x:v>0.757</x:v>
      </x:c>
      <x:c r="V891" s="32" t="n">
        <x:f>PERCENTRANK.INC($H$2:$H$941,H891)</x:f>
        <x:v>0.369</x:v>
      </x:c>
      <x:c r="W891" t="n">
        <x:f>ROUND((U891*55+V891*45)*IF(S891&lt;=5,1,IF(S891&lt;=10,0.95,IF(S891&lt;=20,0.85,0.70))),0)</x:f>
        <x:v>55</x:v>
      </x:c>
      <x:c r="X891" t="n">
        <x:v>54</x:v>
      </x:c>
      <x:c r="Y891" t="str">
        <x:v>PARTNER</x:v>
      </x:c>
      <x:c r="Z891" s="12" t="str">
        <x:v>Family + verified grassroots + straight-line geo only; transport not yet routed</x:v>
      </x:c>
      <x:c r="AA891" s="12"/>
      <x:c r="AB891" s="12"/>
      <x:c r="AC891" s="12"/>
      <x:c r="AD891" s="12"/>
      <x:c r="AE891" t="str">
        <x:v>Charlton Athletic Women</x:v>
      </x:c>
      <x:c r="AF891" s="45" t="n">
        <x:v>7.233910899586776</x:v>
      </x:c>
      <x:c r="AG891" t="str">
        <x:v>Dulwich Hamlet Women</x:v>
      </x:c>
      <x:c r="AH891" s="45" t="n">
        <x:v>1.6105084545176722</x:v>
      </x:c>
      <x:c r="AI891" t="n">
        <x:v>78</x:v>
      </x:c>
      <x:c r="AJ891" t="str">
        <x:v>HIGH</x:v>
      </x:c>
    </x:row>
    <x:row r="892">
      <x:c r="A892" s="12" t="str">
        <x:v>E01004064</x:v>
      </x:c>
      <x:c r="B892" s="12" t="str">
        <x:v>Southwark 026D</x:v>
      </x:c>
      <x:c r="C892" s="12" t="str">
        <x:v>Southwark</x:v>
      </x:c>
      <x:c r="D892" s="44" t="n">
        <x:v>51.464744024511184</x:v>
      </x:c>
      <x:c r="E892" s="44" t="n">
        <x:v>-0.0630901594197629</x:v>
      </x:c>
      <x:c r="F892" s="33" t="n">
        <x:v>816</x:v>
      </x:c>
      <x:c r="G892" s="33" t="n">
        <x:v>227</x:v>
      </x:c>
      <x:c r="H892" s="26" t="n">
        <x:v>0.27818627450980393</x:v>
      </x:c>
      <x:c r="I892" s="12" t="n">
        <x:v>2</x:v>
      </x:c>
      <x:c r="J892" s="12" t="n">
        <x:v>51</x:v>
      </x:c>
      <x:c r="K892" s="12"/>
      <x:c r="L892" s="12"/>
      <x:c r="M892" s="12" t="str">
        <x:f>IF(K892="", "", MAX(0,IF(K892&lt;=20,100,IF(K892&lt;=30,85,IF(K892&lt;=40,70,IF(K892&lt;=50,55,IF(K892&lt;=60,40,20)))))-MIN(L892*5,20)))</x:f>
      </x:c>
      <x:c r="N892" s="12"/>
      <x:c r="O892" s="12"/>
      <x:c r="P892" s="12" t="str">
        <x:f>IF(OR(H892="",J892="",M892=""),"",ROUND(PERCENTRANK.INC($H$2:$H$941,H892)*35+J892*0.35+M892*0.30,0))</x:f>
      </x:c>
      <x:c r="Q892" s="12" t="str">
        <x:f>IF(P892="","",IF(P892&gt;=80,"ATTACK",IF(P892&gt;=65,"GROW",IF(P892&gt;=50,"PARTNER","WATCH"))))</x:f>
      </x:c>
      <x:c r="R892" s="12" t="str">
        <x:f>IF(Q892="","",IF(Q892="ATTACK","Grassroots + family acquisition",IF(Q892="GROW","Test local campaign",IF(Q892="PARTNER","Organisation-first partnership","Low priority / validate"))))</x:f>
      </x:c>
      <x:c r="S892" s="45" t="n">
        <x:v>9.932259287318889</x:v>
      </x:c>
      <x:c r="T892" t="str">
        <x:v>NEAR</x:v>
      </x:c>
      <x:c r="U892" s="32" t="n">
        <x:f>PERCENTRANK.INC($G$2:$G$941,G892)</x:f>
        <x:v>0.605</x:v>
      </x:c>
      <x:c r="V892" s="32" t="n">
        <x:f>PERCENTRANK.INC($H$2:$H$941,H892)</x:f>
        <x:v>0.284</x:v>
      </x:c>
      <x:c r="W892" t="n">
        <x:f>ROUND((U892*55+V892*45)*IF(S892&lt;=5,1,IF(S892&lt;=10,0.95,IF(S892&lt;=20,0.85,0.70))),0)</x:f>
        <x:v>44</x:v>
      </x:c>
      <x:c r="X892" t="n">
        <x:v>47</x:v>
      </x:c>
      <x:c r="Y892" t="str">
        <x:v>WATCH</x:v>
      </x:c>
      <x:c r="Z892" s="12" t="str">
        <x:v>Family + verified grassroots + straight-line geo only; transport not yet routed</x:v>
      </x:c>
      <x:c r="AA892" s="12"/>
      <x:c r="AB892" s="12"/>
      <x:c r="AC892" s="12"/>
      <x:c r="AD892" s="12"/>
      <x:c r="AE892" t="str">
        <x:v>Charlton Athletic Women</x:v>
      </x:c>
      <x:c r="AF892" s="45" t="n">
        <x:v>7.282767818791621</x:v>
      </x:c>
      <x:c r="AG892" t="str">
        <x:v>Dulwich Hamlet Women</x:v>
      </x:c>
      <x:c r="AH892" s="45" t="n">
        <x:v>1.4964245634747464</x:v>
      </x:c>
      <x:c r="AI892" t="n">
        <x:v>78</x:v>
      </x:c>
      <x:c r="AJ892" t="str">
        <x:v>HIGH</x:v>
      </x:c>
    </x:row>
    <x:row r="893">
      <x:c r="A893" s="12" t="str">
        <x:v>E01004068</x:v>
      </x:c>
      <x:c r="B893" s="12" t="str">
        <x:v>Southwark 026E</x:v>
      </x:c>
      <x:c r="C893" s="12" t="str">
        <x:v>Southwark</x:v>
      </x:c>
      <x:c r="D893" s="44" t="n">
        <x:v>51.46740688426404</x:v>
      </x:c>
      <x:c r="E893" s="44" t="n">
        <x:v>-0.06184104303777858</x:v>
      </x:c>
      <x:c r="F893" s="33" t="n">
        <x:v>817</x:v>
      </x:c>
      <x:c r="G893" s="33" t="n">
        <x:v>181</x:v>
      </x:c>
      <x:c r="H893" s="26" t="n">
        <x:v>0.2215422276621787</x:v>
      </x:c>
      <x:c r="I893" s="12" t="n">
        <x:v>2</x:v>
      </x:c>
      <x:c r="J893" s="12" t="n">
        <x:v>51</x:v>
      </x:c>
      <x:c r="K893" s="12"/>
      <x:c r="L893" s="12"/>
      <x:c r="M893" s="12" t="str">
        <x:f>IF(K893="", "", MAX(0,IF(K893&lt;=20,100,IF(K893&lt;=30,85,IF(K893&lt;=40,70,IF(K893&lt;=50,55,IF(K893&lt;=60,40,20)))))-MIN(L893*5,20)))</x:f>
      </x:c>
      <x:c r="N893" s="12"/>
      <x:c r="O893" s="12"/>
      <x:c r="P893" s="12" t="str">
        <x:f>IF(OR(H893="",J893="",M893=""),"",ROUND(PERCENTRANK.INC($H$2:$H$941,H893)*35+J893*0.35+M893*0.30,0))</x:f>
      </x:c>
      <x:c r="Q893" s="12" t="str">
        <x:f>IF(P893="","",IF(P893&gt;=80,"ATTACK",IF(P893&gt;=65,"GROW",IF(P893&gt;=50,"PARTNER","WATCH"))))</x:f>
      </x:c>
      <x:c r="R893" s="12" t="str">
        <x:f>IF(Q893="","",IF(Q893="ATTACK","Grassroots + family acquisition",IF(Q893="GROW","Test local campaign",IF(Q893="PARTNER","Organisation-first partnership","Low priority / validate"))))</x:f>
      </x:c>
      <x:c r="S893" s="45" t="n">
        <x:v>10.130643623363968</x:v>
      </x:c>
      <x:c r="T893" t="str">
        <x:v>EXTENDED</x:v>
      </x:c>
      <x:c r="U893" s="32" t="n">
        <x:f>PERCENTRANK.INC($G$2:$G$941,G893)</x:f>
        <x:v>0.23</x:v>
      </x:c>
      <x:c r="V893" s="32" t="n">
        <x:f>PERCENTRANK.INC($H$2:$H$941,H893)</x:f>
        <x:v>0.108</x:v>
      </x:c>
      <x:c r="W893" t="n">
        <x:f>ROUND((U893*55+V893*45)*IF(S893&lt;=5,1,IF(S893&lt;=10,0.95,IF(S893&lt;=20,0.85,0.70))),0)</x:f>
        <x:v>15</x:v>
      </x:c>
      <x:c r="X893" t="n">
        <x:v>31</x:v>
      </x:c>
      <x:c r="Y893" t="str">
        <x:v>WATCH</x:v>
      </x:c>
      <x:c r="Z893" s="12" t="str">
        <x:v>Family + verified grassroots + straight-line geo only; transport not yet routed</x:v>
      </x:c>
      <x:c r="AA893" s="12"/>
      <x:c r="AB893" s="12"/>
      <x:c r="AC893" s="12"/>
      <x:c r="AD893" s="12"/>
      <x:c r="AE893" t="str">
        <x:v>Charlton Athletic Women</x:v>
      </x:c>
      <x:c r="AF893" s="45" t="n">
        <x:v>7.10745727538477</x:v>
      </x:c>
      <x:c r="AG893" t="str">
        <x:v>Dulwich Hamlet Women</x:v>
      </x:c>
      <x:c r="AH893" s="45" t="n">
        <x:v>1.676377601619293</x:v>
      </x:c>
      <x:c r="AI893" t="n">
        <x:v>78</x:v>
      </x:c>
      <x:c r="AJ893" t="str">
        <x:v>HIGH</x:v>
      </x:c>
    </x:row>
    <x:row r="894">
      <x:c r="A894" s="12" t="str">
        <x:v>E01004045</x:v>
      </x:c>
      <x:c r="B894" s="12" t="str">
        <x:v>Southwark 027A</x:v>
      </x:c>
      <x:c r="C894" s="12" t="str">
        <x:v>Southwark</x:v>
      </x:c>
      <x:c r="D894" s="44" t="n">
        <x:v>51.46375805276785</x:v>
      </x:c>
      <x:c r="E894" s="44" t="n">
        <x:v>-0.08048225672912267</x:v>
      </x:c>
      <x:c r="F894" s="33" t="n">
        <x:v>638</x:v>
      </x:c>
      <x:c r="G894" s="33" t="n">
        <x:v>236</x:v>
      </x:c>
      <x:c r="H894" s="26" t="n">
        <x:v>0.36990595611285265</x:v>
      </x:c>
      <x:c r="I894" s="12" t="n">
        <x:v>2</x:v>
      </x:c>
      <x:c r="J894" s="12" t="n">
        <x:v>44</x:v>
      </x:c>
      <x:c r="K894" s="12"/>
      <x:c r="L894" s="12"/>
      <x:c r="M894" s="12" t="str">
        <x:f>IF(K894="", "", MAX(0,IF(K894&lt;=20,100,IF(K894&lt;=30,85,IF(K894&lt;=40,70,IF(K894&lt;=50,55,IF(K894&lt;=60,40,20)))))-MIN(L894*5,20)))</x:f>
      </x:c>
      <x:c r="N894" s="12"/>
      <x:c r="O894" s="12"/>
      <x:c r="P894" s="12" t="str">
        <x:f>IF(OR(H894="",J894="",M894=""),"",ROUND(PERCENTRANK.INC($H$2:$H$941,H894)*35+J894*0.35+M894*0.30,0))</x:f>
      </x:c>
      <x:c r="Q894" s="12" t="str">
        <x:f>IF(P894="","",IF(P894&gt;=80,"ATTACK",IF(P894&gt;=65,"GROW",IF(P894&gt;=50,"PARTNER","WATCH"))))</x:f>
      </x:c>
      <x:c r="R894" s="12" t="str">
        <x:f>IF(Q894="","",IF(Q894="ATTACK","Grassroots + family acquisition",IF(Q894="GROW","Test local campaign",IF(Q894="PARTNER","Organisation-first partnership","Low priority / validate"))))</x:f>
      </x:c>
      <x:c r="S894" s="45" t="n">
        <x:v>10.574864758187237</x:v>
      </x:c>
      <x:c r="T894" t="str">
        <x:v>EXTENDED</x:v>
      </x:c>
      <x:c r="U894" s="32" t="n">
        <x:f>PERCENTRANK.INC($G$2:$G$941,G894)</x:f>
        <x:v>0.679</x:v>
      </x:c>
      <x:c r="V894" s="32" t="n">
        <x:f>PERCENTRANK.INC($H$2:$H$941,H894)</x:f>
        <x:v>0.795</x:v>
      </x:c>
      <x:c r="W894" t="n">
        <x:f>ROUND((U894*55+V894*45)*IF(S894&lt;=5,1,IF(S894&lt;=10,0.95,IF(S894&lt;=20,0.85,0.70))),0)</x:f>
        <x:v>62</x:v>
      </x:c>
      <x:c r="X894" t="n">
        <x:v>54</x:v>
      </x:c>
      <x:c r="Y894" t="str">
        <x:v>PARTNER</x:v>
      </x:c>
      <x:c r="Z894" s="12" t="str">
        <x:v>Family + verified grassroots + straight-line geo only; transport not yet routed</x:v>
      </x:c>
      <x:c r="AA894" s="12"/>
      <x:c r="AB894" s="12"/>
      <x:c r="AC894" s="12"/>
      <x:c r="AD894" s="12"/>
      <x:c r="AE894" t="str">
        <x:v>Crystal Palace Women</x:v>
      </x:c>
      <x:c r="AF894" s="45" t="n">
        <x:v>7.288024723273664</x:v>
      </x:c>
      <x:c r="AG894" t="str">
        <x:v>Dulwich Hamlet Women</x:v>
      </x:c>
      <x:c r="AH894" s="45" t="n">
        <x:v>0.36360878618613274</x:v>
      </x:c>
      <x:c r="AI894" t="n">
        <x:v>78</x:v>
      </x:c>
      <x:c r="AJ894" t="str">
        <x:v>HIGH</x:v>
      </x:c>
    </x:row>
    <x:row r="895">
      <x:c r="A895" s="12" t="str">
        <x:v>E01004047</x:v>
      </x:c>
      <x:c r="B895" s="12" t="str">
        <x:v>Southwark 027B</x:v>
      </x:c>
      <x:c r="C895" s="12" t="str">
        <x:v>Southwark</x:v>
      </x:c>
      <x:c r="D895" s="44" t="n">
        <x:v>51.461688964627605</x:v>
      </x:c>
      <x:c r="E895" s="44" t="n">
        <x:v>-0.0903663349698383</x:v>
      </x:c>
      <x:c r="F895" s="33" t="n">
        <x:v>619</x:v>
      </x:c>
      <x:c r="G895" s="33" t="n">
        <x:v>191</x:v>
      </x:c>
      <x:c r="H895" s="26" t="n">
        <x:v>0.308562197092084</x:v>
      </x:c>
      <x:c r="I895" s="12" t="n">
        <x:v>2</x:v>
      </x:c>
      <x:c r="J895" s="12" t="n">
        <x:v>44</x:v>
      </x:c>
      <x:c r="K895" s="12"/>
      <x:c r="L895" s="12"/>
      <x:c r="M895" s="12" t="str">
        <x:f>IF(K895="", "", MAX(0,IF(K895&lt;=20,100,IF(K895&lt;=30,85,IF(K895&lt;=40,70,IF(K895&lt;=50,55,IF(K895&lt;=60,40,20)))))-MIN(L895*5,20)))</x:f>
      </x:c>
      <x:c r="N895" s="12"/>
      <x:c r="O895" s="12"/>
      <x:c r="P895" s="12" t="str">
        <x:f>IF(OR(H895="",J895="",M895=""),"",ROUND(PERCENTRANK.INC($H$2:$H$941,H895)*35+J895*0.35+M895*0.30,0))</x:f>
      </x:c>
      <x:c r="Q895" s="12" t="str">
        <x:f>IF(P895="","",IF(P895&gt;=80,"ATTACK",IF(P895&gt;=65,"GROW",IF(P895&gt;=50,"PARTNER","WATCH"))))</x:f>
      </x:c>
      <x:c r="R895" s="12" t="str">
        <x:f>IF(Q895="","",IF(Q895="ATTACK","Grassroots + family acquisition",IF(Q895="GROW","Test local campaign",IF(Q895="PARTNER","Organisation-first partnership","Low priority / validate"))))</x:f>
      </x:c>
      <x:c r="S895" s="45" t="n">
        <x:v>10.860920455934222</x:v>
      </x:c>
      <x:c r="T895" t="str">
        <x:v>EXTENDED</x:v>
      </x:c>
      <x:c r="U895" s="32" t="n">
        <x:f>PERCENTRANK.INC($G$2:$G$941,G895)</x:f>
        <x:v>0.319</x:v>
      </x:c>
      <x:c r="V895" s="32" t="n">
        <x:f>PERCENTRANK.INC($H$2:$H$941,H895)</x:f>
        <x:v>0.437</x:v>
      </x:c>
      <x:c r="W895" t="n">
        <x:f>ROUND((U895*55+V895*45)*IF(S895&lt;=5,1,IF(S895&lt;=10,0.95,IF(S895&lt;=20,0.85,0.70))),0)</x:f>
        <x:v>32</x:v>
      </x:c>
      <x:c r="X895" t="n">
        <x:v>37</x:v>
      </x:c>
      <x:c r="Y895" t="str">
        <x:v>WATCH</x:v>
      </x:c>
      <x:c r="Z895" s="12" t="str">
        <x:v>Family + verified grassroots + straight-line geo only; transport not yet routed</x:v>
      </x:c>
      <x:c r="AA895" s="12"/>
      <x:c r="AB895" s="12"/>
      <x:c r="AC895" s="12"/>
      <x:c r="AD895" s="12"/>
      <x:c r="AE895" t="str">
        <x:v>Crystal Palace Women</x:v>
      </x:c>
      <x:c r="AF895" s="45" t="n">
        <x:v>7.0600328258514855</x:v>
      </x:c>
      <x:c r="AG895" t="str">
        <x:v>Dulwich Hamlet Women</x:v>
      </x:c>
      <x:c r="AH895" s="45" t="n">
        <x:v>0.44433714315637124</x:v>
      </x:c>
      <x:c r="AI895" t="n">
        <x:v>78</x:v>
      </x:c>
      <x:c r="AJ895" t="str">
        <x:v>HIGH</x:v>
      </x:c>
    </x:row>
    <x:row r="896">
      <x:c r="A896" s="12" t="str">
        <x:v>E01004048</x:v>
      </x:c>
      <x:c r="B896" s="12" t="str">
        <x:v>Southwark 027C</x:v>
      </x:c>
      <x:c r="C896" s="12" t="str">
        <x:v>Southwark</x:v>
      </x:c>
      <x:c r="D896" s="44" t="n">
        <x:v>51.460478591559884</x:v>
      </x:c>
      <x:c r="E896" s="44" t="n">
        <x:v>-0.08622288695663437</x:v>
      </x:c>
      <x:c r="F896" s="33" t="n">
        <x:v>691</x:v>
      </x:c>
      <x:c r="G896" s="33" t="n">
        <x:v>230</x:v>
      </x:c>
      <x:c r="H896" s="26" t="n">
        <x:v>0.33285094066570187</x:v>
      </x:c>
      <x:c r="I896" s="12" t="n">
        <x:v>2</x:v>
      </x:c>
      <x:c r="J896" s="12" t="n">
        <x:v>44</x:v>
      </x:c>
      <x:c r="K896" s="12"/>
      <x:c r="L896" s="12"/>
      <x:c r="M896" s="12" t="str">
        <x:f>IF(K896="", "", MAX(0,IF(K896&lt;=20,100,IF(K896&lt;=30,85,IF(K896&lt;=40,70,IF(K896&lt;=50,55,IF(K896&lt;=60,40,20)))))-MIN(L896*5,20)))</x:f>
      </x:c>
      <x:c r="N896" s="12"/>
      <x:c r="O896" s="12"/>
      <x:c r="P896" s="12" t="str">
        <x:f>IF(OR(H896="",J896="",M896=""),"",ROUND(PERCENTRANK.INC($H$2:$H$941,H896)*35+J896*0.35+M896*0.30,0))</x:f>
      </x:c>
      <x:c r="Q896" s="12" t="str">
        <x:f>IF(P896="","",IF(P896&gt;=80,"ATTACK",IF(P896&gt;=65,"GROW",IF(P896&gt;=50,"PARTNER","WATCH"))))</x:f>
      </x:c>
      <x:c r="R896" s="12" t="str">
        <x:f>IF(Q896="","",IF(Q896="ATTACK","Grassroots + family acquisition",IF(Q896="GROW","Test local campaign",IF(Q896="PARTNER","Organisation-first partnership","Low priority / validate"))))</x:f>
      </x:c>
      <x:c r="S896" s="45" t="n">
        <x:v>10.5659894957281</x:v>
      </x:c>
      <x:c r="T896" t="str">
        <x:v>EXTENDED</x:v>
      </x:c>
      <x:c r="U896" s="32" t="n">
        <x:f>PERCENTRANK.INC($G$2:$G$941,G896)</x:f>
        <x:v>0.632</x:v>
      </x:c>
      <x:c r="V896" s="32" t="n">
        <x:f>PERCENTRANK.INC($H$2:$H$941,H896)</x:f>
        <x:v>0.589</x:v>
      </x:c>
      <x:c r="W896" t="n">
        <x:f>ROUND((U896*55+V896*45)*IF(S896&lt;=5,1,IF(S896&lt;=10,0.95,IF(S896&lt;=20,0.85,0.70))),0)</x:f>
        <x:v>52</x:v>
      </x:c>
      <x:c r="X896" t="n">
        <x:v>49</x:v>
      </x:c>
      <x:c r="Y896" t="str">
        <x:v>WATCH</x:v>
      </x:c>
      <x:c r="Z896" s="12" t="str">
        <x:v>Family + verified grassroots + straight-line geo only; transport not yet routed</x:v>
      </x:c>
      <x:c r="AA896" s="12"/>
      <x:c r="AB896" s="12"/>
      <x:c r="AC896" s="12"/>
      <x:c r="AD896" s="12"/>
      <x:c r="AE896" t="str">
        <x:v>Crystal Palace Women</x:v>
      </x:c>
      <x:c r="AF896" s="45" t="n">
        <x:v>6.916577336102967</x:v>
      </x:c>
      <x:c r="AG896" t="str">
        <x:v>Dulwich Hamlet Women</x:v>
      </x:c>
      <x:c r="AH896" s="45" t="n">
        <x:v>0.18137999635478183</x:v>
      </x:c>
      <x:c r="AI896" t="n">
        <x:v>78</x:v>
      </x:c>
      <x:c r="AJ896" t="str">
        <x:v>HIGH</x:v>
      </x:c>
    </x:row>
    <x:row r="897">
      <x:c r="A897" s="12" t="str">
        <x:v>E01004049</x:v>
      </x:c>
      <x:c r="B897" s="12" t="str">
        <x:v>Southwark 027D</x:v>
      </x:c>
      <x:c r="C897" s="12" t="str">
        <x:v>Southwark</x:v>
      </x:c>
      <x:c r="D897" s="44" t="n">
        <x:v>51.463835301871065</x:v>
      </x:c>
      <x:c r="E897" s="44" t="n">
        <x:v>-0.08405645703663123</x:v>
      </x:c>
      <x:c r="F897" s="33" t="n">
        <x:v>515</x:v>
      </x:c>
      <x:c r="G897" s="33" t="n">
        <x:v>186</x:v>
      </x:c>
      <x:c r="H897" s="26" t="n">
        <x:v>0.3611650485436893</x:v>
      </x:c>
      <x:c r="I897" s="12" t="n">
        <x:v>2</x:v>
      </x:c>
      <x:c r="J897" s="12" t="n">
        <x:v>44</x:v>
      </x:c>
      <x:c r="K897" s="12"/>
      <x:c r="L897" s="12"/>
      <x:c r="M897" s="12" t="str">
        <x:f>IF(K897="", "", MAX(0,IF(K897&lt;=20,100,IF(K897&lt;=30,85,IF(K897&lt;=40,70,IF(K897&lt;=50,55,IF(K897&lt;=60,40,20)))))-MIN(L897*5,20)))</x:f>
      </x:c>
      <x:c r="N897" s="12"/>
      <x:c r="O897" s="12"/>
      <x:c r="P897" s="12" t="str">
        <x:f>IF(OR(H897="",J897="",M897=""),"",ROUND(PERCENTRANK.INC($H$2:$H$941,H897)*35+J897*0.35+M897*0.30,0))</x:f>
      </x:c>
      <x:c r="Q897" s="12" t="str">
        <x:f>IF(P897="","",IF(P897&gt;=80,"ATTACK",IF(P897&gt;=65,"GROW",IF(P897&gt;=50,"PARTNER","WATCH"))))</x:f>
      </x:c>
      <x:c r="R897" s="12" t="str">
        <x:f>IF(Q897="","",IF(Q897="ATTACK","Grassroots + family acquisition",IF(Q897="GROW","Test local campaign",IF(Q897="PARTNER","Organisation-first partnership","Low priority / validate"))))</x:f>
      </x:c>
      <x:c r="S897" s="45" t="n">
        <x:v>10.742538139640684</x:v>
      </x:c>
      <x:c r="T897" t="str">
        <x:v>EXTENDED</x:v>
      </x:c>
      <x:c r="U897" s="32" t="n">
        <x:f>PERCENTRANK.INC($G$2:$G$941,G897)</x:f>
        <x:v>0.277</x:v>
      </x:c>
      <x:c r="V897" s="32" t="n">
        <x:f>PERCENTRANK.INC($H$2:$H$941,H897)</x:f>
        <x:v>0.742</x:v>
      </x:c>
      <x:c r="W897" t="n">
        <x:f>ROUND((U897*55+V897*45)*IF(S897&lt;=5,1,IF(S897&lt;=10,0.95,IF(S897&lt;=20,0.85,0.70))),0)</x:f>
        <x:v>41</x:v>
      </x:c>
      <x:c r="X897" t="n">
        <x:v>43</x:v>
      </x:c>
      <x:c r="Y897" t="str">
        <x:v>WATCH</x:v>
      </x:c>
      <x:c r="Z897" s="12" t="str">
        <x:v>Family + verified grassroots + straight-line geo only; transport not yet routed</x:v>
      </x:c>
      <x:c r="AA897" s="12"/>
      <x:c r="AB897" s="12"/>
      <x:c r="AC897" s="12"/>
      <x:c r="AD897" s="12"/>
      <x:c r="AE897" t="str">
        <x:v>Crystal Palace Women</x:v>
      </x:c>
      <x:c r="AF897" s="45" t="n">
        <x:v>7.289821253343764</x:v>
      </x:c>
      <x:c r="AG897" t="str">
        <x:v>Dulwich Hamlet Women</x:v>
      </x:c>
      <x:c r="AH897" s="45" t="n">
        <x:v>0.2797393436393602</x:v>
      </x:c>
      <x:c r="AI897" t="n">
        <x:v>78</x:v>
      </x:c>
      <x:c r="AJ897" t="str">
        <x:v>HIGH</x:v>
      </x:c>
    </x:row>
    <x:row r="898">
      <x:c r="A898" s="12" t="str">
        <x:v>E01004051</x:v>
      </x:c>
      <x:c r="B898" s="12" t="str">
        <x:v>Southwark 027E</x:v>
      </x:c>
      <x:c r="C898" s="12" t="str">
        <x:v>Southwark</x:v>
      </x:c>
      <x:c r="D898" s="44" t="n">
        <x:v>51.46592910158993</x:v>
      </x:c>
      <x:c r="E898" s="44" t="n">
        <x:v>-0.08784034994289304</x:v>
      </x:c>
      <x:c r="F898" s="33" t="n">
        <x:v>584</x:v>
      </x:c>
      <x:c r="G898" s="33" t="n">
        <x:v>134</x:v>
      </x:c>
      <x:c r="H898" s="26" t="n">
        <x:v>0.22945205479452055</x:v>
      </x:c>
      <x:c r="I898" s="12" t="n">
        <x:v>2</x:v>
      </x:c>
      <x:c r="J898" s="12" t="n">
        <x:v>44</x:v>
      </x:c>
      <x:c r="K898" s="12"/>
      <x:c r="L898" s="12"/>
      <x:c r="M898" s="12" t="str">
        <x:f>IF(K898="", "", MAX(0,IF(K898&lt;=20,100,IF(K898&lt;=30,85,IF(K898&lt;=40,70,IF(K898&lt;=50,55,IF(K898&lt;=60,40,20)))))-MIN(L898*5,20)))</x:f>
      </x:c>
      <x:c r="N898" s="12"/>
      <x:c r="O898" s="12"/>
      <x:c r="P898" s="12" t="str">
        <x:f>IF(OR(H898="",J898="",M898=""),"",ROUND(PERCENTRANK.INC($H$2:$H$941,H898)*35+J898*0.35+M898*0.30,0))</x:f>
      </x:c>
      <x:c r="Q898" s="12" t="str">
        <x:f>IF(P898="","",IF(P898&gt;=80,"ATTACK",IF(P898&gt;=65,"GROW",IF(P898&gt;=50,"PARTNER","WATCH"))))</x:f>
      </x:c>
      <x:c r="R898" s="12" t="str">
        <x:f>IF(Q898="","",IF(Q898="ATTACK","Grassroots + family acquisition",IF(Q898="GROW","Test local campaign",IF(Q898="PARTNER","Organisation-first partnership","Low priority / validate"))))</x:f>
      </x:c>
      <x:c r="S898" s="45" t="n">
        <x:v>11.09038393461088</x:v>
      </x:c>
      <x:c r="T898" t="str">
        <x:v>EXTENDED</x:v>
      </x:c>
      <x:c r="U898" s="32" t="n">
        <x:f>PERCENTRANK.INC($G$2:$G$941,G898)</x:f>
        <x:v>0.056</x:v>
      </x:c>
      <x:c r="V898" s="32" t="n">
        <x:f>PERCENTRANK.INC($H$2:$H$941,H898)</x:f>
        <x:v>0.132</x:v>
      </x:c>
      <x:c r="W898" t="n">
        <x:f>ROUND((U898*55+V898*45)*IF(S898&lt;=5,1,IF(S898&lt;=10,0.95,IF(S898&lt;=20,0.85,0.70))),0)</x:f>
        <x:v>8</x:v>
      </x:c>
      <x:c r="X898" t="n">
        <x:v>24</x:v>
      </x:c>
      <x:c r="Y898" t="str">
        <x:v>WATCH</x:v>
      </x:c>
      <x:c r="Z898" s="12" t="str">
        <x:v>Family + verified grassroots + straight-line geo only; transport not yet routed</x:v>
      </x:c>
      <x:c r="AA898" s="12"/>
      <x:c r="AB898" s="12"/>
      <x:c r="AC898" s="12"/>
      <x:c r="AD898" s="12"/>
      <x:c r="AE898" t="str">
        <x:v>Chelsea Women</x:v>
      </x:c>
      <x:c r="AF898" s="45" t="n">
        <x:v>7.3589500905025895</x:v>
      </x:c>
      <x:c r="AG898" t="str">
        <x:v>Dulwich Hamlet Women</x:v>
      </x:c>
      <x:c r="AH898" s="45" t="n">
        <x:v>0.5780865710498724</x:v>
      </x:c>
      <x:c r="AI898" t="n">
        <x:v>78</x:v>
      </x:c>
      <x:c r="AJ898" t="str">
        <x:v>HIGH</x:v>
      </x:c>
    </x:row>
    <x:row r="899">
      <x:c r="A899" s="12" t="str">
        <x:v>E01003953</x:v>
      </x:c>
      <x:c r="B899" s="12" t="str">
        <x:v>Southwark 028A</x:v>
      </x:c>
      <x:c r="C899" s="12" t="str">
        <x:v>Southwark</x:v>
      </x:c>
      <x:c r="D899" s="44" t="n">
        <x:v>51.46015102968765</x:v>
      </x:c>
      <x:c r="E899" s="44" t="n">
        <x:v>-0.07585245779923093</x:v>
      </x:c>
      <x:c r="F899" s="33" t="n">
        <x:v>945</x:v>
      </x:c>
      <x:c r="G899" s="33" t="n">
        <x:v>193</x:v>
      </x:c>
      <x:c r="H899" s="26" t="n">
        <x:v>0.20423280423280424</x:v>
      </x:c>
      <x:c r="I899" s="12" t="n">
        <x:v>2</x:v>
      </x:c>
      <x:c r="J899" s="12" t="n">
        <x:v>44</x:v>
      </x:c>
      <x:c r="K899" s="12"/>
      <x:c r="L899" s="12"/>
      <x:c r="M899" s="12" t="str">
        <x:f>IF(K899="", "", MAX(0,IF(K899&lt;=20,100,IF(K899&lt;=30,85,IF(K899&lt;=40,70,IF(K899&lt;=50,55,IF(K899&lt;=60,40,20)))))-MIN(L899*5,20)))</x:f>
      </x:c>
      <x:c r="N899" s="12"/>
      <x:c r="O899" s="12"/>
      <x:c r="P899" s="12" t="str">
        <x:f>IF(OR(H899="",J899="",M899=""),"",ROUND(PERCENTRANK.INC($H$2:$H$941,H899)*35+J899*0.35+M899*0.30,0))</x:f>
      </x:c>
      <x:c r="Q899" s="12" t="str">
        <x:f>IF(P899="","",IF(P899&gt;=80,"ATTACK",IF(P899&gt;=65,"GROW",IF(P899&gt;=50,"PARTNER","WATCH"))))</x:f>
      </x:c>
      <x:c r="R899" s="12" t="str">
        <x:f>IF(Q899="","",IF(Q899="ATTACK","Grassroots + family acquisition",IF(Q899="GROW","Test local campaign",IF(Q899="PARTNER","Organisation-first partnership","Low priority / validate"))))</x:f>
      </x:c>
      <x:c r="S899" s="45" t="n">
        <x:v>10.061479106356197</x:v>
      </x:c>
      <x:c r="T899" t="str">
        <x:v>EXTENDED</x:v>
      </x:c>
      <x:c r="U899" s="32" t="n">
        <x:f>PERCENTRANK.INC($G$2:$G$941,G899)</x:f>
        <x:v>0.333</x:v>
      </x:c>
      <x:c r="V899" s="32" t="n">
        <x:f>PERCENTRANK.INC($H$2:$H$941,H899)</x:f>
        <x:v>0.074</x:v>
      </x:c>
      <x:c r="W899" t="n">
        <x:f>ROUND((U899*55+V899*45)*IF(S899&lt;=5,1,IF(S899&lt;=10,0.95,IF(S899&lt;=20,0.85,0.70))),0)</x:f>
        <x:v>18</x:v>
      </x:c>
      <x:c r="X899" t="n">
        <x:v>30</x:v>
      </x:c>
      <x:c r="Y899" t="str">
        <x:v>WATCH</x:v>
      </x:c>
      <x:c r="Z899" s="12" t="str">
        <x:v>Family + verified grassroots + straight-line geo only; transport not yet routed</x:v>
      </x:c>
      <x:c r="AA899" s="12"/>
      <x:c r="AB899" s="12"/>
      <x:c r="AC899" s="12"/>
      <x:c r="AD899" s="12"/>
      <x:c r="AE899" t="str">
        <x:v>Crystal Palace Women</x:v>
      </x:c>
      <x:c r="AF899" s="45" t="n">
        <x:v>6.909884226570973</x:v>
      </x:c>
      <x:c r="AG899" t="str">
        <x:v>Dulwich Hamlet Women</x:v>
      </x:c>
      <x:c r="AH899" s="45" t="n">
        <x:v>0.5778859613383409</x:v>
      </x:c>
      <x:c r="AI899" t="n">
        <x:v>78</x:v>
      </x:c>
      <x:c r="AJ899" t="str">
        <x:v>HIGH</x:v>
      </x:c>
    </x:row>
    <x:row r="900">
      <x:c r="A900" s="12" t="str">
        <x:v>E01003955</x:v>
      </x:c>
      <x:c r="B900" s="12" t="str">
        <x:v>Southwark 028B</x:v>
      </x:c>
      <x:c r="C900" s="12" t="str">
        <x:v>Southwark</x:v>
      </x:c>
      <x:c r="D900" s="44" t="n">
        <x:v>51.45541245784107</x:v>
      </x:c>
      <x:c r="E900" s="44" t="n">
        <x:v>-0.06949571958433504</x:v>
      </x:c>
      <x:c r="F900" s="33" t="n">
        <x:v>815</x:v>
      </x:c>
      <x:c r="G900" s="33" t="n">
        <x:v>225</x:v>
      </x:c>
      <x:c r="H900" s="26" t="n">
        <x:v>0.27607361963190186</x:v>
      </x:c>
      <x:c r="I900" s="12" t="n">
        <x:v>2</x:v>
      </x:c>
      <x:c r="J900" s="12" t="n">
        <x:v>51</x:v>
      </x:c>
      <x:c r="K900" s="12"/>
      <x:c r="L900" s="12"/>
      <x:c r="M900" s="12" t="str">
        <x:f>IF(K900="", "", MAX(0,IF(K900&lt;=20,100,IF(K900&lt;=30,85,IF(K900&lt;=40,70,IF(K900&lt;=50,55,IF(K900&lt;=60,40,20)))))-MIN(L900*5,20)))</x:f>
      </x:c>
      <x:c r="N900" s="12"/>
      <x:c r="O900" s="12"/>
      <x:c r="P900" s="12" t="str">
        <x:f>IF(OR(H900="",J900="",M900=""),"",ROUND(PERCENTRANK.INC($H$2:$H$941,H900)*35+J900*0.35+M900*0.30,0))</x:f>
      </x:c>
      <x:c r="Q900" s="12" t="str">
        <x:f>IF(P900="","",IF(P900&gt;=80,"ATTACK",IF(P900&gt;=65,"GROW",IF(P900&gt;=50,"PARTNER","WATCH"))))</x:f>
      </x:c>
      <x:c r="R900" s="12" t="str">
        <x:f>IF(Q900="","",IF(Q900="ATTACK","Grassroots + family acquisition",IF(Q900="GROW","Test local campaign",IF(Q900="PARTNER","Organisation-first partnership","Low priority / validate"))))</x:f>
      </x:c>
      <x:c r="S900" s="45" t="n">
        <x:v>9.374754509321798</x:v>
      </x:c>
      <x:c r="T900" t="str">
        <x:v>NEAR</x:v>
      </x:c>
      <x:c r="U900" s="32" t="n">
        <x:f>PERCENTRANK.INC($G$2:$G$941,G900)</x:f>
        <x:v>0.586</x:v>
      </x:c>
      <x:c r="V900" s="32" t="n">
        <x:f>PERCENTRANK.INC($H$2:$H$941,H900)</x:f>
        <x:v>0.276</x:v>
      </x:c>
      <x:c r="W900" t="n">
        <x:f>ROUND((U900*55+V900*45)*IF(S900&lt;=5,1,IF(S900&lt;=10,0.95,IF(S900&lt;=20,0.85,0.70))),0)</x:f>
        <x:v>42</x:v>
      </x:c>
      <x:c r="X900" t="n">
        <x:v>47</x:v>
      </x:c>
      <x:c r="Y900" t="str">
        <x:v>WATCH</x:v>
      </x:c>
      <x:c r="Z900" s="12" t="str">
        <x:v>Family + verified grassroots + straight-line geo only; transport not yet routed</x:v>
      </x:c>
      <x:c r="AA900" s="12"/>
      <x:c r="AB900" s="12"/>
      <x:c r="AC900" s="12"/>
      <x:c r="AD900" s="12"/>
      <x:c r="AE900" t="str">
        <x:v>Crystal Palace Women</x:v>
      </x:c>
      <x:c r="AF900" s="45" t="n">
        <x:v>6.444892207630064</x:v>
      </x:c>
      <x:c r="AG900" t="str">
        <x:v>Dulwich Hamlet Women</x:v>
      </x:c>
      <x:c r="AH900" s="45" t="n">
        <x:v>1.1994031125680698</x:v>
      </x:c>
      <x:c r="AI900" t="n">
        <x:v>78</x:v>
      </x:c>
      <x:c r="AJ900" t="str">
        <x:v>HIGH</x:v>
      </x:c>
    </x:row>
    <x:row r="901">
      <x:c r="A901" s="12" t="str">
        <x:v>E01004015</x:v>
      </x:c>
      <x:c r="B901" s="12" t="str">
        <x:v>Southwark 028C</x:v>
      </x:c>
      <x:c r="C901" s="12" t="str">
        <x:v>Southwark</x:v>
      </x:c>
      <x:c r="D901" s="44" t="n">
        <x:v>51.45528154881098</x:v>
      </x:c>
      <x:c r="E901" s="44" t="n">
        <x:v>-0.06554539986310197</x:v>
      </x:c>
      <x:c r="F901" s="33" t="n">
        <x:v>708</x:v>
      </x:c>
      <x:c r="G901" s="33" t="n">
        <x:v>198</x:v>
      </x:c>
      <x:c r="H901" s="26" t="n">
        <x:v>0.2796610169491525</x:v>
      </x:c>
      <x:c r="I901" s="12" t="n">
        <x:v>2</x:v>
      </x:c>
      <x:c r="J901" s="12" t="n">
        <x:v>51</x:v>
      </x:c>
      <x:c r="K901" s="12"/>
      <x:c r="L901" s="12"/>
      <x:c r="M901" s="12" t="str">
        <x:f>IF(K901="", "", MAX(0,IF(K901&lt;=20,100,IF(K901&lt;=30,85,IF(K901&lt;=40,70,IF(K901&lt;=50,55,IF(K901&lt;=60,40,20)))))-MIN(L901*5,20)))</x:f>
      </x:c>
      <x:c r="N901" s="12"/>
      <x:c r="O901" s="12"/>
      <x:c r="P901" s="12" t="str">
        <x:f>IF(OR(H901="",J901="",M901=""),"",ROUND(PERCENTRANK.INC($H$2:$H$941,H901)*35+J901*0.35+M901*0.30,0))</x:f>
      </x:c>
      <x:c r="Q901" s="12" t="str">
        <x:f>IF(P901="","",IF(P901&gt;=80,"ATTACK",IF(P901&gt;=65,"GROW",IF(P901&gt;=50,"PARTNER","WATCH"))))</x:f>
      </x:c>
      <x:c r="R901" s="12" t="str">
        <x:f>IF(Q901="","",IF(Q901="ATTACK","Grassroots + family acquisition",IF(Q901="GROW","Test local campaign",IF(Q901="PARTNER","Organisation-first partnership","Low priority / validate"))))</x:f>
      </x:c>
      <x:c r="S901" s="45" t="n">
        <x:v>9.189146557954167</x:v>
      </x:c>
      <x:c r="T901" t="str">
        <x:v>NEAR</x:v>
      </x:c>
      <x:c r="U901" s="32" t="n">
        <x:f>PERCENTRANK.INC($G$2:$G$941,G901)</x:f>
        <x:v>0.365</x:v>
      </x:c>
      <x:c r="V901" s="32" t="n">
        <x:f>PERCENTRANK.INC($H$2:$H$941,H901)</x:f>
        <x:v>0.292</x:v>
      </x:c>
      <x:c r="W901" t="n">
        <x:f>ROUND((U901*55+V901*45)*IF(S901&lt;=5,1,IF(S901&lt;=10,0.95,IF(S901&lt;=20,0.85,0.70))),0)</x:f>
        <x:v>32</x:v>
      </x:c>
      <x:c r="X901" t="n">
        <x:v>41</x:v>
      </x:c>
      <x:c r="Y901" t="str">
        <x:v>WATCH</x:v>
      </x:c>
      <x:c r="Z901" s="12" t="str">
        <x:v>Family + verified grassroots + straight-line geo only; transport not yet routed</x:v>
      </x:c>
      <x:c r="AA901" s="12"/>
      <x:c r="AB901" s="12"/>
      <x:c r="AC901" s="12"/>
      <x:c r="AD901" s="12"/>
      <x:c r="AE901" t="str">
        <x:v>Crystal Palace Women</x:v>
      </x:c>
      <x:c r="AF901" s="45" t="n">
        <x:v>6.482393269884196</x:v>
      </x:c>
      <x:c r="AG901" t="str">
        <x:v>Dulwich Hamlet Women</x:v>
      </x:c>
      <x:c r="AH901" s="45" t="n">
        <x:v>1.4429595768541825</x:v>
      </x:c>
      <x:c r="AI901" t="n">
        <x:v>78</x:v>
      </x:c>
      <x:c r="AJ901" t="str">
        <x:v>HIGH</x:v>
      </x:c>
    </x:row>
    <x:row r="902">
      <x:c r="A902" s="12" t="str">
        <x:v>E01004021</x:v>
      </x:c>
      <x:c r="B902" s="12" t="str">
        <x:v>Southwark 028D</x:v>
      </x:c>
      <x:c r="C902" s="12" t="str">
        <x:v>Southwark</x:v>
      </x:c>
      <x:c r="D902" s="44" t="n">
        <x:v>51.459945922598855</x:v>
      </x:c>
      <x:c r="E902" s="44" t="n">
        <x:v>-0.06911749661557484</x:v>
      </x:c>
      <x:c r="F902" s="33" t="n">
        <x:v>999</x:v>
      </x:c>
      <x:c r="G902" s="33" t="n">
        <x:v>225</x:v>
      </x:c>
      <x:c r="H902" s="26" t="n">
        <x:v>0.22522522522522523</x:v>
      </x:c>
      <x:c r="I902" s="12" t="n">
        <x:v>2</x:v>
      </x:c>
      <x:c r="J902" s="12" t="n">
        <x:v>51</x:v>
      </x:c>
      <x:c r="K902" s="12"/>
      <x:c r="L902" s="12"/>
      <x:c r="M902" s="12" t="str">
        <x:f>IF(K902="", "", MAX(0,IF(K902&lt;=20,100,IF(K902&lt;=30,85,IF(K902&lt;=40,70,IF(K902&lt;=50,55,IF(K902&lt;=60,40,20)))))-MIN(L902*5,20)))</x:f>
      </x:c>
      <x:c r="N902" s="12"/>
      <x:c r="O902" s="12"/>
      <x:c r="P902" s="12" t="str">
        <x:f>IF(OR(H902="",J902="",M902=""),"",ROUND(PERCENTRANK.INC($H$2:$H$941,H902)*35+J902*0.35+M902*0.30,0))</x:f>
      </x:c>
      <x:c r="Q902" s="12" t="str">
        <x:f>IF(P902="","",IF(P902&gt;=80,"ATTACK",IF(P902&gt;=65,"GROW",IF(P902&gt;=50,"PARTNER","WATCH"))))</x:f>
      </x:c>
      <x:c r="R902" s="12" t="str">
        <x:f>IF(Q902="","",IF(Q902="ATTACK","Grassroots + family acquisition",IF(Q902="GROW","Test local campaign",IF(Q902="PARTNER","Organisation-first partnership","Low priority / validate"))))</x:f>
      </x:c>
      <x:c r="S902" s="45" t="n">
        <x:v>9.748997037073133</x:v>
      </x:c>
      <x:c r="T902" t="str">
        <x:v>NEAR</x:v>
      </x:c>
      <x:c r="U902" s="32" t="n">
        <x:f>PERCENTRANK.INC($G$2:$G$941,G902)</x:f>
        <x:v>0.586</x:v>
      </x:c>
      <x:c r="V902" s="32" t="n">
        <x:f>PERCENTRANK.INC($H$2:$H$941,H902)</x:f>
        <x:v>0.117</x:v>
      </x:c>
      <x:c r="W902" t="n">
        <x:f>ROUND((U902*55+V902*45)*IF(S902&lt;=5,1,IF(S902&lt;=10,0.95,IF(S902&lt;=20,0.85,0.70))),0)</x:f>
        <x:v>36</x:v>
      </x:c>
      <x:c r="X902" t="n">
        <x:v>43</x:v>
      </x:c>
      <x:c r="Y902" t="str">
        <x:v>WATCH</x:v>
      </x:c>
      <x:c r="Z902" s="12" t="str">
        <x:v>Family + verified grassroots + straight-line geo only; transport not yet routed</x:v>
      </x:c>
      <x:c r="AA902" s="12"/>
      <x:c r="AB902" s="12"/>
      <x:c r="AC902" s="12"/>
      <x:c r="AD902" s="12"/>
      <x:c r="AE902" t="str">
        <x:v>Crystal Palace Women</x:v>
      </x:c>
      <x:c r="AF902" s="45" t="n">
        <x:v>6.946449886247563</x:v>
      </x:c>
      <x:c r="AG902" t="str">
        <x:v>Dulwich Hamlet Women</x:v>
      </x:c>
      <x:c r="AH902" s="45" t="n">
        <x:v>1.0409536107640422</x:v>
      </x:c>
      <x:c r="AI902" t="n">
        <x:v>78</x:v>
      </x:c>
      <x:c r="AJ902" t="str">
        <x:v>HIGH</x:v>
      </x:c>
    </x:row>
    <x:row r="903">
      <x:c r="A903" s="12" t="str">
        <x:v>E01004046</x:v>
      </x:c>
      <x:c r="B903" s="12" t="str">
        <x:v>Southwark 028E</x:v>
      </x:c>
      <x:c r="C903" s="12" t="str">
        <x:v>Southwark</x:v>
      </x:c>
      <x:c r="D903" s="44" t="n">
        <x:v>51.463460078241766</x:v>
      </x:c>
      <x:c r="E903" s="44" t="n">
        <x:v>-0.07442219718417553</x:v>
      </x:c>
      <x:c r="F903" s="33" t="n">
        <x:v>642</x:v>
      </x:c>
      <x:c r="G903" s="33" t="n">
        <x:v>186</x:v>
      </x:c>
      <x:c r="H903" s="26" t="n">
        <x:v>0.2897196261682243</x:v>
      </x:c>
      <x:c r="I903" s="12" t="n">
        <x:v>2</x:v>
      </x:c>
      <x:c r="J903" s="12" t="n">
        <x:v>44</x:v>
      </x:c>
      <x:c r="K903" s="12"/>
      <x:c r="L903" s="12"/>
      <x:c r="M903" s="12" t="str">
        <x:f>IF(K903="", "", MAX(0,IF(K903&lt;=20,100,IF(K903&lt;=30,85,IF(K903&lt;=40,70,IF(K903&lt;=50,55,IF(K903&lt;=60,40,20)))))-MIN(L903*5,20)))</x:f>
      </x:c>
      <x:c r="N903" s="12"/>
      <x:c r="O903" s="12"/>
      <x:c r="P903" s="12" t="str">
        <x:f>IF(OR(H903="",J903="",M903=""),"",ROUND(PERCENTRANK.INC($H$2:$H$941,H903)*35+J903*0.35+M903*0.30,0))</x:f>
      </x:c>
      <x:c r="Q903" s="12" t="str">
        <x:f>IF(P903="","",IF(P903&gt;=80,"ATTACK",IF(P903&gt;=65,"GROW",IF(P903&gt;=50,"PARTNER","WATCH"))))</x:f>
      </x:c>
      <x:c r="R903" s="12" t="str">
        <x:f>IF(Q903="","",IF(Q903="ATTACK","Grassroots + family acquisition",IF(Q903="GROW","Test local campaign",IF(Q903="PARTNER","Organisation-first partnership","Low priority / validate"))))</x:f>
      </x:c>
      <x:c r="S903" s="45" t="n">
        <x:v>10.283427716798553</x:v>
      </x:c>
      <x:c r="T903" t="str">
        <x:v>EXTENDED</x:v>
      </x:c>
      <x:c r="U903" s="32" t="n">
        <x:f>PERCENTRANK.INC($G$2:$G$941,G903)</x:f>
        <x:v>0.277</x:v>
      </x:c>
      <x:c r="V903" s="32" t="n">
        <x:f>PERCENTRANK.INC($H$2:$H$941,H903)</x:f>
        <x:v>0.345</x:v>
      </x:c>
      <x:c r="W903" t="n">
        <x:f>ROUND((U903*55+V903*45)*IF(S903&lt;=5,1,IF(S903&lt;=10,0.95,IF(S903&lt;=20,0.85,0.70))),0)</x:f>
        <x:v>26</x:v>
      </x:c>
      <x:c r="X903" t="n">
        <x:v>35</x:v>
      </x:c>
      <x:c r="Y903" t="str">
        <x:v>WATCH</x:v>
      </x:c>
      <x:c r="Z903" s="12" t="str">
        <x:v>Family + verified grassroots + straight-line geo only; transport not yet routed</x:v>
      </x:c>
      <x:c r="AA903" s="12"/>
      <x:c r="AB903" s="12"/>
      <x:c r="AC903" s="12"/>
      <x:c r="AD903" s="12"/>
      <x:c r="AE903" t="str">
        <x:v>Crystal Palace Women</x:v>
      </x:c>
      <x:c r="AF903" s="45" t="n">
        <x:v>7.285761355805452</x:v>
      </x:c>
      <x:c r="AG903" t="str">
        <x:v>Dulwich Hamlet Women</x:v>
      </x:c>
      <x:c r="AH903" s="45" t="n">
        <x:v>0.7036052679981167</x:v>
      </x:c>
      <x:c r="AI903" t="n">
        <x:v>78</x:v>
      </x:c>
      <x:c r="AJ903" t="str">
        <x:v>HIGH</x:v>
      </x:c>
    </x:row>
    <x:row r="904">
      <x:c r="A904" s="12" t="str">
        <x:v>E01004002</x:v>
      </x:c>
      <x:c r="B904" s="12" t="str">
        <x:v>Southwark 029A</x:v>
      </x:c>
      <x:c r="C904" s="12" t="str">
        <x:v>Southwark</x:v>
      </x:c>
      <x:c r="D904" s="44" t="n">
        <x:v>51.460576796050674</x:v>
      </x:c>
      <x:c r="E904" s="44" t="n">
        <x:v>-0.04746929307595714</x:v>
      </x:c>
      <x:c r="F904" s="33" t="n">
        <x:v>656</x:v>
      </x:c>
      <x:c r="G904" s="33" t="n">
        <x:v>242</x:v>
      </x:c>
      <x:c r="H904" s="26" t="n">
        <x:v>0.36890243902439024</x:v>
      </x:c>
      <x:c r="I904" s="12" t="n">
        <x:v>2</x:v>
      </x:c>
      <x:c r="J904" s="12" t="n">
        <x:v>51</x:v>
      </x:c>
      <x:c r="K904" s="12"/>
      <x:c r="L904" s="12"/>
      <x:c r="M904" s="12" t="str">
        <x:f>IF(K904="", "", MAX(0,IF(K904&lt;=20,100,IF(K904&lt;=30,85,IF(K904&lt;=40,70,IF(K904&lt;=50,55,IF(K904&lt;=60,40,20)))))-MIN(L904*5,20)))</x:f>
      </x:c>
      <x:c r="N904" s="12"/>
      <x:c r="O904" s="12"/>
      <x:c r="P904" s="12" t="str">
        <x:f>IF(OR(H904="",J904="",M904=""),"",ROUND(PERCENTRANK.INC($H$2:$H$941,H904)*35+J904*0.35+M904*0.30,0))</x:f>
      </x:c>
      <x:c r="Q904" s="12" t="str">
        <x:f>IF(P904="","",IF(P904&gt;=80,"ATTACK",IF(P904&gt;=65,"GROW",IF(P904&gt;=50,"PARTNER","WATCH"))))</x:f>
      </x:c>
      <x:c r="R904" s="12" t="str">
        <x:f>IF(Q904="","",IF(Q904="ATTACK","Grassroots + family acquisition",IF(Q904="GROW","Test local campaign",IF(Q904="PARTNER","Organisation-first partnership","Low priority / validate"))))</x:f>
      </x:c>
      <x:c r="S904" s="45" t="n">
        <x:v>8.961285648596917</x:v>
      </x:c>
      <x:c r="T904" t="str">
        <x:v>NEAR</x:v>
      </x:c>
      <x:c r="U904" s="32" t="n">
        <x:f>PERCENTRANK.INC($G$2:$G$941,G904)</x:f>
        <x:v>0.725</x:v>
      </x:c>
      <x:c r="V904" s="32" t="n">
        <x:f>PERCENTRANK.INC($H$2:$H$941,H904)</x:f>
        <x:v>0.789</x:v>
      </x:c>
      <x:c r="W904" t="n">
        <x:f>ROUND((U904*55+V904*45)*IF(S904&lt;=5,1,IF(S904&lt;=10,0.95,IF(S904&lt;=20,0.85,0.70))),0)</x:f>
        <x:v>72</x:v>
      </x:c>
      <x:c r="X904" t="n">
        <x:v>62</x:v>
      </x:c>
      <x:c r="Y904" t="str">
        <x:v>PARTNER</x:v>
      </x:c>
      <x:c r="Z904" s="12" t="str">
        <x:v>Family + verified grassroots + straight-line geo only; transport not yet routed</x:v>
      </x:c>
      <x:c r="AA904" s="12"/>
      <x:c r="AB904" s="12"/>
      <x:c r="AC904" s="12"/>
      <x:c r="AD904" s="12"/>
      <x:c r="AE904" t="str">
        <x:v>Charlton Athletic Women</x:v>
      </x:c>
      <x:c r="AF904" s="45" t="n">
        <x:v>6.464283088849244</x:v>
      </x:c>
      <x:c r="AG904" t="str">
        <x:v>Dulwich Hamlet Women</x:v>
      </x:c>
      <x:c r="AH904" s="45" t="n">
        <x:v>2.530806316122287</x:v>
      </x:c>
      <x:c r="AI904" t="n">
        <x:v>78</x:v>
      </x:c>
      <x:c r="AJ904" t="str">
        <x:v>HIGH</x:v>
      </x:c>
    </x:row>
    <x:row r="905">
      <x:c r="A905" s="12" t="str">
        <x:v>E01004016</x:v>
      </x:c>
      <x:c r="B905" s="12" t="str">
        <x:v>Southwark 029B</x:v>
      </x:c>
      <x:c r="C905" s="12" t="str">
        <x:v>Southwark</x:v>
      </x:c>
      <x:c r="D905" s="44" t="n">
        <x:v>51.45687314363805</x:v>
      </x:c>
      <x:c r="E905" s="44" t="n">
        <x:v>-0.04937087809495035</x:v>
      </x:c>
      <x:c r="F905" s="33" t="n">
        <x:v>991</x:v>
      </x:c>
      <x:c r="G905" s="33" t="n">
        <x:v>370</x:v>
      </x:c>
      <x:c r="H905" s="26" t="n">
        <x:v>0.37336024217961655</x:v>
      </x:c>
      <x:c r="I905" s="12" t="n">
        <x:v>2</x:v>
      </x:c>
      <x:c r="J905" s="12" t="n">
        <x:v>51</x:v>
      </x:c>
      <x:c r="K905" s="12"/>
      <x:c r="L905" s="12"/>
      <x:c r="M905" s="12" t="str">
        <x:f>IF(K905="", "", MAX(0,IF(K905&lt;=20,100,IF(K905&lt;=30,85,IF(K905&lt;=40,70,IF(K905&lt;=50,55,IF(K905&lt;=60,40,20)))))-MIN(L905*5,20)))</x:f>
      </x:c>
      <x:c r="N905" s="12"/>
      <x:c r="O905" s="12"/>
      <x:c r="P905" s="12" t="str">
        <x:f>IF(OR(H905="",J905="",M905=""),"",ROUND(PERCENTRANK.INC($H$2:$H$941,H905)*35+J905*0.35+M905*0.30,0))</x:f>
      </x:c>
      <x:c r="Q905" s="12" t="str">
        <x:f>IF(P905="","",IF(P905&gt;=80,"ATTACK",IF(P905&gt;=65,"GROW",IF(P905&gt;=50,"PARTNER","WATCH"))))</x:f>
      </x:c>
      <x:c r="R905" s="12" t="str">
        <x:f>IF(Q905="","",IF(Q905="ATTACK","Grassroots + family acquisition",IF(Q905="GROW","Test local campaign",IF(Q905="PARTNER","Organisation-first partnership","Low priority / validate"))))</x:f>
      </x:c>
      <x:c r="S905" s="45" t="n">
        <x:v>8.678204960259375</x:v>
      </x:c>
      <x:c r="T905" t="str">
        <x:v>NEAR</x:v>
      </x:c>
      <x:c r="U905" s="32" t="n">
        <x:f>PERCENTRANK.INC($G$2:$G$941,G905)</x:f>
        <x:v>0.989</x:v>
      </x:c>
      <x:c r="V905" s="32" t="n">
        <x:f>PERCENTRANK.INC($H$2:$H$941,H905)</x:f>
        <x:v>0.81</x:v>
      </x:c>
      <x:c r="W905" t="n">
        <x:f>ROUND((U905*55+V905*45)*IF(S905&lt;=5,1,IF(S905&lt;=10,0.95,IF(S905&lt;=20,0.85,0.70))),0)</x:f>
        <x:v>86</x:v>
      </x:c>
      <x:c r="X905" t="n">
        <x:v>70</x:v>
      </x:c>
      <x:c r="Y905" t="str">
        <x:v>GROW</x:v>
      </x:c>
      <x:c r="Z905" s="12" t="str">
        <x:v>Family + verified grassroots + straight-line geo only; transport not yet routed</x:v>
      </x:c>
      <x:c r="AA905" s="12"/>
      <x:c r="AB905" s="12"/>
      <x:c r="AC905" s="12"/>
      <x:c r="AD905" s="12"/>
      <x:c r="AE905" t="str">
        <x:v>Charlton Athletic Women</x:v>
      </x:c>
      <x:c r="AF905" s="45" t="n">
        <x:v>6.772544684512776</x:v>
      </x:c>
      <x:c r="AG905" t="str">
        <x:v>Dulwich Hamlet Women</x:v>
      </x:c>
      <x:c r="AH905" s="45" t="n">
        <x:v>2.4482654256894127</x:v>
      </x:c>
      <x:c r="AI905" t="n">
        <x:v>78</x:v>
      </x:c>
      <x:c r="AJ905" t="str">
        <x:v>HIGH</x:v>
      </x:c>
    </x:row>
    <x:row r="906">
      <x:c r="A906" s="12" t="str">
        <x:v>E01004017</x:v>
      </x:c>
      <x:c r="B906" s="12" t="str">
        <x:v>Southwark 029C</x:v>
      </x:c>
      <x:c r="C906" s="12" t="str">
        <x:v>Southwark</x:v>
      </x:c>
      <x:c r="D906" s="44" t="n">
        <x:v>51.45219289151709</x:v>
      </x:c>
      <x:c r="E906" s="44" t="n">
        <x:v>-0.056420881404548595</x:v>
      </x:c>
      <x:c r="F906" s="33" t="n">
        <x:v>650</x:v>
      </x:c>
      <x:c r="G906" s="33" t="n">
        <x:v>231</x:v>
      </x:c>
      <x:c r="H906" s="26" t="n">
        <x:v>0.3553846153846154</x:v>
      </x:c>
      <x:c r="I906" s="12" t="n">
        <x:v>2</x:v>
      </x:c>
      <x:c r="J906" s="12" t="n">
        <x:v>51</x:v>
      </x:c>
      <x:c r="K906" s="12"/>
      <x:c r="L906" s="12"/>
      <x:c r="M906" s="12" t="str">
        <x:f>IF(K906="", "", MAX(0,IF(K906&lt;=20,100,IF(K906&lt;=30,85,IF(K906&lt;=40,70,IF(K906&lt;=50,55,IF(K906&lt;=60,40,20)))))-MIN(L906*5,20)))</x:f>
      </x:c>
      <x:c r="N906" s="12"/>
      <x:c r="O906" s="12"/>
      <x:c r="P906" s="12" t="str">
        <x:f>IF(OR(H906="",J906="",M906=""),"",ROUND(PERCENTRANK.INC($H$2:$H$941,H906)*35+J906*0.35+M906*0.30,0))</x:f>
      </x:c>
      <x:c r="Q906" s="12" t="str">
        <x:f>IF(P906="","",IF(P906&gt;=80,"ATTACK",IF(P906&gt;=65,"GROW",IF(P906&gt;=50,"PARTNER","WATCH"))))</x:f>
      </x:c>
      <x:c r="R906" s="12" t="str">
        <x:f>IF(Q906="","",IF(Q906="ATTACK","Grassroots + family acquisition",IF(Q906="GROW","Test local campaign",IF(Q906="PARTNER","Organisation-first partnership","Low priority / validate"))))</x:f>
      </x:c>
      <x:c r="S906" s="45" t="n">
        <x:v>8.529071789769565</x:v>
      </x:c>
      <x:c r="T906" t="str">
        <x:v>NEAR</x:v>
      </x:c>
      <x:c r="U906" s="32" t="n">
        <x:f>PERCENTRANK.INC($G$2:$G$941,G906)</x:f>
        <x:v>0.638</x:v>
      </x:c>
      <x:c r="V906" s="32" t="n">
        <x:f>PERCENTRANK.INC($H$2:$H$941,H906)</x:f>
        <x:v>0.715</x:v>
      </x:c>
      <x:c r="W906" t="n">
        <x:f>ROUND((U906*55+V906*45)*IF(S906&lt;=5,1,IF(S906&lt;=10,0.95,IF(S906&lt;=20,0.85,0.70))),0)</x:f>
        <x:v>64</x:v>
      </x:c>
      <x:c r="X906" t="n">
        <x:v>58</x:v>
      </x:c>
      <x:c r="Y906" t="str">
        <x:v>PARTNER</x:v>
      </x:c>
      <x:c r="Z906" s="12" t="str">
        <x:v>Family + verified grassroots + straight-line geo only; transport not yet routed</x:v>
      </x:c>
      <x:c r="AA906" s="12"/>
      <x:c r="AB906" s="12"/>
      <x:c r="AC906" s="12"/>
      <x:c r="AD906" s="12"/>
      <x:c r="AE906" t="str">
        <x:v>Crystal Palace Women</x:v>
      </x:c>
      <x:c r="AF906" s="45" t="n">
        <x:v>6.317111323313802</x:v>
      </x:c>
      <x:c r="AG906" t="str">
        <x:v>Dulwich Hamlet Women</x:v>
      </x:c>
      <x:c r="AH906" s="45" t="n">
        <x:v>2.162421333935647</x:v>
      </x:c>
      <x:c r="AI906" t="n">
        <x:v>78</x:v>
      </x:c>
      <x:c r="AJ906" t="str">
        <x:v>HIGH</x:v>
      </x:c>
    </x:row>
    <x:row r="907">
      <x:c r="A907" s="12" t="str">
        <x:v>E01004020</x:v>
      </x:c>
      <x:c r="B907" s="12" t="str">
        <x:v>Southwark 029D</x:v>
      </x:c>
      <x:c r="C907" s="12" t="str">
        <x:v>Southwark</x:v>
      </x:c>
      <x:c r="D907" s="44" t="n">
        <x:v>51.45981433149535</x:v>
      </x:c>
      <x:c r="E907" s="44" t="n">
        <x:v>-0.05616946527376422</x:v>
      </x:c>
      <x:c r="F907" s="33" t="n">
        <x:v>739</x:v>
      </x:c>
      <x:c r="G907" s="33" t="n">
        <x:v>262</x:v>
      </x:c>
      <x:c r="H907" s="26" t="n">
        <x:v>0.35453315290933696</x:v>
      </x:c>
      <x:c r="I907" s="12" t="n">
        <x:v>2</x:v>
      </x:c>
      <x:c r="J907" s="12" t="n">
        <x:v>51</x:v>
      </x:c>
      <x:c r="K907" s="12"/>
      <x:c r="L907" s="12"/>
      <x:c r="M907" s="12" t="str">
        <x:f>IF(K907="", "", MAX(0,IF(K907&lt;=20,100,IF(K907&lt;=30,85,IF(K907&lt;=40,70,IF(K907&lt;=50,55,IF(K907&lt;=60,40,20)))))-MIN(L907*5,20)))</x:f>
      </x:c>
      <x:c r="N907" s="12"/>
      <x:c r="O907" s="12"/>
      <x:c r="P907" s="12" t="str">
        <x:f>IF(OR(H907="",J907="",M907=""),"",ROUND(PERCENTRANK.INC($H$2:$H$941,H907)*35+J907*0.35+M907*0.30,0))</x:f>
      </x:c>
      <x:c r="Q907" s="12" t="str">
        <x:f>IF(P907="","",IF(P907&gt;=80,"ATTACK",IF(P907&gt;=65,"GROW",IF(P907&gt;=50,"PARTNER","WATCH"))))</x:f>
      </x:c>
      <x:c r="R907" s="12" t="str">
        <x:f>IF(Q907="","",IF(Q907="ATTACK","Grassroots + family acquisition",IF(Q907="GROW","Test local campaign",IF(Q907="PARTNER","Organisation-first partnership","Low priority / validate"))))</x:f>
      </x:c>
      <x:c r="S907" s="45" t="n">
        <x:v>9.209554934600588</x:v>
      </x:c>
      <x:c r="T907" t="str">
        <x:v>NEAR</x:v>
      </x:c>
      <x:c r="U907" s="32" t="n">
        <x:f>PERCENTRANK.INC($G$2:$G$941,G907)</x:f>
        <x:v>0.837</x:v>
      </x:c>
      <x:c r="V907" s="32" t="n">
        <x:f>PERCENTRANK.INC($H$2:$H$941,H907)</x:f>
        <x:v>0.712</x:v>
      </x:c>
      <x:c r="W907" t="n">
        <x:f>ROUND((U907*55+V907*45)*IF(S907&lt;=5,1,IF(S907&lt;=10,0.95,IF(S907&lt;=20,0.85,0.70))),0)</x:f>
        <x:v>74</x:v>
      </x:c>
      <x:c r="X907" t="n">
        <x:v>64</x:v>
      </x:c>
      <x:c r="Y907" t="str">
        <x:v>PARTNER</x:v>
      </x:c>
      <x:c r="Z907" s="12" t="str">
        <x:v>Family + verified grassroots + straight-line geo only; transport not yet routed</x:v>
      </x:c>
      <x:c r="AA907" s="12"/>
      <x:c r="AB907" s="12"/>
      <x:c r="AC907" s="12"/>
      <x:c r="AD907" s="12"/>
      <x:c r="AE907" t="str">
        <x:v>Charlton Athletic Women</x:v>
      </x:c>
      <x:c r="AF907" s="45" t="n">
        <x:v>7.044470525505267</x:v>
      </x:c>
      <x:c r="AG907" t="str">
        <x:v>Dulwich Hamlet Women</x:v>
      </x:c>
      <x:c r="AH907" s="45" t="n">
        <x:v>1.9339865040063886</x:v>
      </x:c>
      <x:c r="AI907" t="n">
        <x:v>78</x:v>
      </x:c>
      <x:c r="AJ907" t="str">
        <x:v>HIGH</x:v>
      </x:c>
    </x:row>
    <x:row r="908">
      <x:c r="A908" s="12" t="str">
        <x:v>E01003952</x:v>
      </x:c>
      <x:c r="B908" s="12" t="str">
        <x:v>Southwark 030A</x:v>
      </x:c>
      <x:c r="C908" s="12" t="str">
        <x:v>Southwark</x:v>
      </x:c>
      <x:c r="D908" s="44" t="n">
        <x:v>51.45790431557356</x:v>
      </x:c>
      <x:c r="E908" s="44" t="n">
        <x:v>-0.07609170315255934</x:v>
      </x:c>
      <x:c r="F908" s="33" t="n">
        <x:v>686</x:v>
      </x:c>
      <x:c r="G908" s="33" t="n">
        <x:v>204</x:v>
      </x:c>
      <x:c r="H908" s="26" t="n">
        <x:v>0.29737609329446063</x:v>
      </x:c>
      <x:c r="I908" s="12" t="n">
        <x:v>2</x:v>
      </x:c>
      <x:c r="J908" s="12" t="n">
        <x:v>44</x:v>
      </x:c>
      <x:c r="K908" s="12"/>
      <x:c r="L908" s="12"/>
      <x:c r="M908" s="12" t="str">
        <x:f>IF(K908="", "", MAX(0,IF(K908&lt;=20,100,IF(K908&lt;=30,85,IF(K908&lt;=40,70,IF(K908&lt;=50,55,IF(K908&lt;=60,40,20)))))-MIN(L908*5,20)))</x:f>
      </x:c>
      <x:c r="N908" s="12"/>
      <x:c r="O908" s="12"/>
      <x:c r="P908" s="12" t="str">
        <x:f>IF(OR(H908="",J908="",M908=""),"",ROUND(PERCENTRANK.INC($H$2:$H$941,H908)*35+J908*0.35+M908*0.30,0))</x:f>
      </x:c>
      <x:c r="Q908" s="12" t="str">
        <x:f>IF(P908="","",IF(P908&gt;=80,"ATTACK",IF(P908&gt;=65,"GROW",IF(P908&gt;=50,"PARTNER","WATCH"))))</x:f>
      </x:c>
      <x:c r="R908" s="12" t="str">
        <x:f>IF(Q908="","",IF(Q908="ATTACK","Grassroots + family acquisition",IF(Q908="GROW","Test local campaign",IF(Q908="PARTNER","Organisation-first partnership","Low priority / validate"))))</x:f>
      </x:c>
      <x:c r="S908" s="45" t="n">
        <x:v>9.882840542385036</x:v>
      </x:c>
      <x:c r="T908" t="str">
        <x:v>NEAR</x:v>
      </x:c>
      <x:c r="U908" s="32" t="n">
        <x:f>PERCENTRANK.INC($G$2:$G$941,G908)</x:f>
        <x:v>0.421</x:v>
      </x:c>
      <x:c r="V908" s="32" t="n">
        <x:f>PERCENTRANK.INC($H$2:$H$941,H908)</x:f>
        <x:v>0.379</x:v>
      </x:c>
      <x:c r="W908" t="n">
        <x:f>ROUND((U908*55+V908*45)*IF(S908&lt;=5,1,IF(S908&lt;=10,0.95,IF(S908&lt;=20,0.85,0.70))),0)</x:f>
        <x:v>38</x:v>
      </x:c>
      <x:c r="X908" t="n">
        <x:v>41</x:v>
      </x:c>
      <x:c r="Y908" t="str">
        <x:v>WATCH</x:v>
      </x:c>
      <x:c r="Z908" s="12" t="str">
        <x:v>Family + verified grassroots + straight-line geo only; transport not yet routed</x:v>
      </x:c>
      <x:c r="AA908" s="12"/>
      <x:c r="AB908" s="12"/>
      <x:c r="AC908" s="12"/>
      <x:c r="AD908" s="12"/>
      <x:c r="AE908" t="str">
        <x:v>Crystal Palace Women</x:v>
      </x:c>
      <x:c r="AF908" s="45" t="n">
        <x:v>6.659607687282829</x:v>
      </x:c>
      <x:c r="AG908" t="str">
        <x:v>Dulwich Hamlet Women</x:v>
      </x:c>
      <x:c r="AH908" s="45" t="n">
        <x:v>0.6655324549941205</x:v>
      </x:c>
      <x:c r="AI908" t="n">
        <x:v>78</x:v>
      </x:c>
      <x:c r="AJ908" t="str">
        <x:v>HIGH</x:v>
      </x:c>
    </x:row>
    <x:row r="909">
      <x:c r="A909" s="12" t="str">
        <x:v>E01003954</x:v>
      </x:c>
      <x:c r="B909" s="12" t="str">
        <x:v>Southwark 030B</x:v>
      </x:c>
      <x:c r="C909" s="12" t="str">
        <x:v>Southwark</x:v>
      </x:c>
      <x:c r="D909" s="44" t="n">
        <x:v>51.45561691112052</x:v>
      </x:c>
      <x:c r="E909" s="44" t="n">
        <x:v>-0.07367827195917302</x:v>
      </x:c>
      <x:c r="F909" s="33" t="n">
        <x:v>658</x:v>
      </x:c>
      <x:c r="G909" s="33" t="n">
        <x:v>219</x:v>
      </x:c>
      <x:c r="H909" s="26" t="n">
        <x:v>0.33282674772036475</x:v>
      </x:c>
      <x:c r="I909" s="12" t="n">
        <x:v>2</x:v>
      </x:c>
      <x:c r="J909" s="12" t="n">
        <x:v>51</x:v>
      </x:c>
      <x:c r="K909" s="12"/>
      <x:c r="L909" s="12"/>
      <x:c r="M909" s="12" t="str">
        <x:f>IF(K909="", "", MAX(0,IF(K909&lt;=20,100,IF(K909&lt;=30,85,IF(K909&lt;=40,70,IF(K909&lt;=50,55,IF(K909&lt;=60,40,20)))))-MIN(L909*5,20)))</x:f>
      </x:c>
      <x:c r="N909" s="12"/>
      <x:c r="O909" s="12"/>
      <x:c r="P909" s="12" t="str">
        <x:f>IF(OR(H909="",J909="",M909=""),"",ROUND(PERCENTRANK.INC($H$2:$H$941,H909)*35+J909*0.35+M909*0.30,0))</x:f>
      </x:c>
      <x:c r="Q909" s="12" t="str">
        <x:f>IF(P909="","",IF(P909&gt;=80,"ATTACK",IF(P909&gt;=65,"GROW",IF(P909&gt;=50,"PARTNER","WATCH"))))</x:f>
      </x:c>
      <x:c r="R909" s="12" t="str">
        <x:f>IF(Q909="","",IF(Q909="ATTACK","Grassroots + family acquisition",IF(Q909="GROW","Test local campaign",IF(Q909="PARTNER","Organisation-first partnership","Low priority / validate"))))</x:f>
      </x:c>
      <x:c r="S909" s="45" t="n">
        <x:v>9.581404004319612</x:v>
      </x:c>
      <x:c r="T909" t="str">
        <x:v>NEAR</x:v>
      </x:c>
      <x:c r="U909" s="32" t="n">
        <x:f>PERCENTRANK.INC($G$2:$G$941,G909)</x:f>
        <x:v>0.544</x:v>
      </x:c>
      <x:c r="V909" s="32" t="n">
        <x:f>PERCENTRANK.INC($H$2:$H$941,H909)</x:f>
        <x:v>0.587</x:v>
      </x:c>
      <x:c r="W909" t="n">
        <x:f>ROUND((U909*55+V909*45)*IF(S909&lt;=5,1,IF(S909&lt;=10,0.95,IF(S909&lt;=20,0.85,0.70))),0)</x:f>
        <x:v>54</x:v>
      </x:c>
      <x:c r="X909" t="n">
        <x:v>53</x:v>
      </x:c>
      <x:c r="Y909" t="str">
        <x:v>PARTNER</x:v>
      </x:c>
      <x:c r="Z909" s="12" t="str">
        <x:v>Family + verified grassroots + straight-line geo only; transport not yet routed</x:v>
      </x:c>
      <x:c r="AA909" s="12"/>
      <x:c r="AB909" s="12"/>
      <x:c r="AC909" s="12"/>
      <x:c r="AD909" s="12"/>
      <x:c r="AE909" t="str">
        <x:v>Crystal Palace Women</x:v>
      </x:c>
      <x:c r="AF909" s="45" t="n">
        <x:v>6.425000803266248</x:v>
      </x:c>
      <x:c r="AG909" t="str">
        <x:v>Dulwich Hamlet Women</x:v>
      </x:c>
      <x:c r="AH909" s="45" t="n">
        <x:v>0.9547666821661521</x:v>
      </x:c>
      <x:c r="AI909" t="n">
        <x:v>78</x:v>
      </x:c>
      <x:c r="AJ909" t="str">
        <x:v>HIGH</x:v>
      </x:c>
    </x:row>
    <x:row r="910">
      <x:c r="A910" s="12" t="str">
        <x:v>E01003956</x:v>
      </x:c>
      <x:c r="B910" s="12" t="str">
        <x:v>Southwark 030C</x:v>
      </x:c>
      <x:c r="C910" s="12" t="str">
        <x:v>Southwark</x:v>
      </x:c>
      <x:c r="D910" s="44" t="n">
        <x:v>51.45299404291297</x:v>
      </x:c>
      <x:c r="E910" s="44" t="n">
        <x:v>-0.07497931331975007</x:v>
      </x:c>
      <x:c r="F910" s="33" t="n">
        <x:v>726</x:v>
      </x:c>
      <x:c r="G910" s="33" t="n">
        <x:v>251</x:v>
      </x:c>
      <x:c r="H910" s="26" t="n">
        <x:v>0.34573002754820936</x:v>
      </x:c>
      <x:c r="I910" s="12" t="n">
        <x:v>2</x:v>
      </x:c>
      <x:c r="J910" s="12" t="n">
        <x:v>51</x:v>
      </x:c>
      <x:c r="K910" s="12"/>
      <x:c r="L910" s="12"/>
      <x:c r="M910" s="12" t="str">
        <x:f>IF(K910="", "", MAX(0,IF(K910&lt;=20,100,IF(K910&lt;=30,85,IF(K910&lt;=40,70,IF(K910&lt;=50,55,IF(K910&lt;=60,40,20)))))-MIN(L910*5,20)))</x:f>
      </x:c>
      <x:c r="N910" s="12"/>
      <x:c r="O910" s="12"/>
      <x:c r="P910" s="12" t="str">
        <x:f>IF(OR(H910="",J910="",M910=""),"",ROUND(PERCENTRANK.INC($H$2:$H$941,H910)*35+J910*0.35+M910*0.30,0))</x:f>
      </x:c>
      <x:c r="Q910" s="12" t="str">
        <x:f>IF(P910="","",IF(P910&gt;=80,"ATTACK",IF(P910&gt;=65,"GROW",IF(P910&gt;=50,"PARTNER","WATCH"))))</x:f>
      </x:c>
      <x:c r="R910" s="12" t="str">
        <x:f>IF(Q910="","",IF(Q910="ATTACK","Grassroots + family acquisition",IF(Q910="GROW","Test local campaign",IF(Q910="PARTNER","Organisation-first partnership","Low priority / validate"))))</x:f>
      </x:c>
      <x:c r="S910" s="45" t="n">
        <x:v>9.426029168171082</x:v>
      </x:c>
      <x:c r="T910" t="str">
        <x:v>NEAR</x:v>
      </x:c>
      <x:c r="U910" s="32" t="n">
        <x:f>PERCENTRANK.INC($G$2:$G$941,G910)</x:f>
        <x:v>0.79</x:v>
      </x:c>
      <x:c r="V910" s="32" t="n">
        <x:f>PERCENTRANK.INC($H$2:$H$941,H910)</x:f>
        <x:v>0.661</x:v>
      </x:c>
      <x:c r="W910" t="n">
        <x:f>ROUND((U910*55+V910*45)*IF(S910&lt;=5,1,IF(S910&lt;=10,0.95,IF(S910&lt;=20,0.85,0.70))),0)</x:f>
        <x:v>70</x:v>
      </x:c>
      <x:c r="X910" t="n">
        <x:v>61</x:v>
      </x:c>
      <x:c r="Y910" t="str">
        <x:v>PARTNER</x:v>
      </x:c>
      <x:c r="Z910" s="12" t="str">
        <x:v>Family + verified grassroots + straight-line geo only; transport not yet routed</x:v>
      </x:c>
      <x:c r="AA910" s="12"/>
      <x:c r="AB910" s="12"/>
      <x:c r="AC910" s="12"/>
      <x:c r="AD910" s="12"/>
      <x:c r="AE910" t="str">
        <x:v>Crystal Palace Women</x:v>
      </x:c>
      <x:c r="AF910" s="45" t="n">
        <x:v>6.1246629436109785</x:v>
      </x:c>
      <x:c r="AG910" t="str">
        <x:v>Dulwich Hamlet Women</x:v>
      </x:c>
      <x:c r="AH910" s="45" t="n">
        <x:v>1.1162505650373262</x:v>
      </x:c>
      <x:c r="AI910" t="n">
        <x:v>78</x:v>
      </x:c>
      <x:c r="AJ910" t="str">
        <x:v>HIGH</x:v>
      </x:c>
    </x:row>
    <x:row r="911">
      <x:c r="A911" s="12" t="str">
        <x:v>E01004071</x:v>
      </x:c>
      <x:c r="B911" s="12" t="str">
        <x:v>Southwark 030D</x:v>
      </x:c>
      <x:c r="C911" s="12" t="str">
        <x:v>Southwark</x:v>
      </x:c>
      <x:c r="D911" s="44" t="n">
        <x:v>51.457182496701556</x:v>
      </x:c>
      <x:c r="E911" s="44" t="n">
        <x:v>-0.08077677026386496</x:v>
      </x:c>
      <x:c r="F911" s="33" t="n">
        <x:v>634</x:v>
      </x:c>
      <x:c r="G911" s="33" t="n">
        <x:v>197</x:v>
      </x:c>
      <x:c r="H911" s="26" t="n">
        <x:v>0.3107255520504732</x:v>
      </x:c>
      <x:c r="I911" s="12" t="n">
        <x:v>2</x:v>
      </x:c>
      <x:c r="J911" s="12" t="n">
        <x:v>44</x:v>
      </x:c>
      <x:c r="K911" s="12"/>
      <x:c r="L911" s="12"/>
      <x:c r="M911" s="12" t="str">
        <x:f>IF(K911="", "", MAX(0,IF(K911&lt;=20,100,IF(K911&lt;=30,85,IF(K911&lt;=40,70,IF(K911&lt;=50,55,IF(K911&lt;=60,40,20)))))-MIN(L911*5,20)))</x:f>
      </x:c>
      <x:c r="N911" s="12"/>
      <x:c r="O911" s="12"/>
      <x:c r="P911" s="12" t="str">
        <x:f>IF(OR(H911="",J911="",M911=""),"",ROUND(PERCENTRANK.INC($H$2:$H$941,H911)*35+J911*0.35+M911*0.30,0))</x:f>
      </x:c>
      <x:c r="Q911" s="12" t="str">
        <x:f>IF(P911="","",IF(P911&gt;=80,"ATTACK",IF(P911&gt;=65,"GROW",IF(P911&gt;=50,"PARTNER","WATCH"))))</x:f>
      </x:c>
      <x:c r="R911" s="12" t="str">
        <x:f>IF(Q911="","",IF(Q911="ATTACK","Grassroots + family acquisition",IF(Q911="GROW","Test local campaign",IF(Q911="PARTNER","Organisation-first partnership","Low priority / validate"))))</x:f>
      </x:c>
      <x:c r="S911" s="45" t="n">
        <x:v>10.040622556061937</x:v>
      </x:c>
      <x:c r="T911" t="str">
        <x:v>EXTENDED</x:v>
      </x:c>
      <x:c r="U911" s="32" t="n">
        <x:f>PERCENTRANK.INC($G$2:$G$941,G911)</x:f>
        <x:v>0.356</x:v>
      </x:c>
      <x:c r="V911" s="32" t="n">
        <x:f>PERCENTRANK.INC($H$2:$H$941,H911)</x:f>
        <x:v>0.453</x:v>
      </x:c>
      <x:c r="W911" t="n">
        <x:f>ROUND((U911*55+V911*45)*IF(S911&lt;=5,1,IF(S911&lt;=10,0.95,IF(S911&lt;=20,0.85,0.70))),0)</x:f>
        <x:v>34</x:v>
      </x:c>
      <x:c r="X911" t="n">
        <x:v>39</x:v>
      </x:c>
      <x:c r="Y911" t="str">
        <x:v>WATCH</x:v>
      </x:c>
      <x:c r="Z911" s="12" t="str">
        <x:v>Family + verified grassroots + straight-line geo only; transport not yet routed</x:v>
      </x:c>
      <x:c r="AA911" s="12"/>
      <x:c r="AB911" s="12"/>
      <x:c r="AC911" s="12"/>
      <x:c r="AD911" s="12"/>
      <x:c r="AE911" t="str">
        <x:v>Crystal Palace Women</x:v>
      </x:c>
      <x:c r="AF911" s="45" t="n">
        <x:v>6.556681889918374</x:v>
      </x:c>
      <x:c r="AG911" t="str">
        <x:v>Dulwich Hamlet Women</x:v>
      </x:c>
      <x:c r="AH911" s="45" t="n">
        <x:v>0.5107996269933262</x:v>
      </x:c>
      <x:c r="AI911" t="n">
        <x:v>78</x:v>
      </x:c>
      <x:c r="AJ911" t="str">
        <x:v>HIGH</x:v>
      </x:c>
    </x:row>
    <x:row r="912">
      <x:c r="A912" s="12" t="str">
        <x:v>E01004072</x:v>
      </x:c>
      <x:c r="B912" s="12" t="str">
        <x:v>Southwark 030E</x:v>
      </x:c>
      <x:c r="C912" s="12" t="str">
        <x:v>Southwark</x:v>
      </x:c>
      <x:c r="D912" s="44" t="n">
        <x:v>51.45218881990748</x:v>
      </x:c>
      <x:c r="E912" s="44" t="n">
        <x:v>-0.07863305913580731</x:v>
      </x:c>
      <x:c r="F912" s="33" t="n">
        <x:v>622</x:v>
      </x:c>
      <x:c r="G912" s="33" t="n">
        <x:v>228</x:v>
      </x:c>
      <x:c r="H912" s="26" t="n">
        <x:v>0.3665594855305466</x:v>
      </x:c>
      <x:c r="I912" s="12" t="n">
        <x:v>2</x:v>
      </x:c>
      <x:c r="J912" s="12" t="n">
        <x:v>44</x:v>
      </x:c>
      <x:c r="K912" s="12"/>
      <x:c r="L912" s="12"/>
      <x:c r="M912" s="12" t="str">
        <x:f>IF(K912="", "", MAX(0,IF(K912&lt;=20,100,IF(K912&lt;=30,85,IF(K912&lt;=40,70,IF(K912&lt;=50,55,IF(K912&lt;=60,40,20)))))-MIN(L912*5,20)))</x:f>
      </x:c>
      <x:c r="N912" s="12"/>
      <x:c r="O912" s="12"/>
      <x:c r="P912" s="12" t="str">
        <x:f>IF(OR(H912="",J912="",M912=""),"",ROUND(PERCENTRANK.INC($H$2:$H$941,H912)*35+J912*0.35+M912*0.30,0))</x:f>
      </x:c>
      <x:c r="Q912" s="12" t="str">
        <x:f>IF(P912="","",IF(P912&gt;=80,"ATTACK",IF(P912&gt;=65,"GROW",IF(P912&gt;=50,"PARTNER","WATCH"))))</x:f>
      </x:c>
      <x:c r="R912" s="12" t="str">
        <x:f>IF(Q912="","",IF(Q912="ATTACK","Grassroots + family acquisition",IF(Q912="GROW","Test local campaign",IF(Q912="PARTNER","Organisation-first partnership","Low priority / validate"))))</x:f>
      </x:c>
      <x:c r="S912" s="45" t="n">
        <x:v>9.536496986392232</x:v>
      </x:c>
      <x:c r="T912" t="str">
        <x:v>NEAR</x:v>
      </x:c>
      <x:c r="U912" s="32" t="n">
        <x:f>PERCENTRANK.INC($G$2:$G$941,G912)</x:f>
        <x:v>0.616</x:v>
      </x:c>
      <x:c r="V912" s="32" t="n">
        <x:f>PERCENTRANK.INC($H$2:$H$941,H912)</x:f>
        <x:v>0.781</x:v>
      </x:c>
      <x:c r="W912" t="n">
        <x:f>ROUND((U912*55+V912*45)*IF(S912&lt;=5,1,IF(S912&lt;=10,0.95,IF(S912&lt;=20,0.85,0.70))),0)</x:f>
        <x:v>66</x:v>
      </x:c>
      <x:c r="X912" t="n">
        <x:v>56</x:v>
      </x:c>
      <x:c r="Y912" t="str">
        <x:v>PARTNER</x:v>
      </x:c>
      <x:c r="Z912" s="12" t="str">
        <x:v>Family + verified grassroots + straight-line geo only; transport not yet routed</x:v>
      </x:c>
      <x:c r="AA912" s="12"/>
      <x:c r="AB912" s="12"/>
      <x:c r="AC912" s="12"/>
      <x:c r="AD912" s="12"/>
      <x:c r="AE912" t="str">
        <x:v>Crystal Palace Women</x:v>
      </x:c>
      <x:c r="AF912" s="45" t="n">
        <x:v>6.011401065666545</x:v>
      </x:c>
      <x:c r="AG912" t="str">
        <x:v>Dulwich Hamlet Women</x:v>
      </x:c>
      <x:c r="AH912" s="45" t="n">
        <x:v>1.0808179952055537</x:v>
      </x:c>
      <x:c r="AI912" t="n">
        <x:v>78</x:v>
      </x:c>
      <x:c r="AJ912" t="str">
        <x:v>HIGH</x:v>
      </x:c>
    </x:row>
    <x:row r="913">
      <x:c r="A913" s="12" t="str">
        <x:v>E01004069</x:v>
      </x:c>
      <x:c r="B913" s="12" t="str">
        <x:v>Southwark 031A</x:v>
      </x:c>
      <x:c r="C913" s="12" t="str">
        <x:v>Southwark</x:v>
      </x:c>
      <x:c r="D913" s="44" t="n">
        <x:v>51.44715146665957</x:v>
      </x:c>
      <x:c r="E913" s="44" t="n">
        <x:v>-0.09064817557190473</x:v>
      </x:c>
      <x:c r="F913" s="33" t="n">
        <x:v>481</x:v>
      </x:c>
      <x:c r="G913" s="33" t="n">
        <x:v>167</x:v>
      </x:c>
      <x:c r="H913" s="26" t="n">
        <x:v>0.3471933471933472</x:v>
      </x:c>
      <x:c r="I913" s="12" t="n">
        <x:v>3</x:v>
      </x:c>
      <x:c r="J913" s="12" t="n">
        <x:v>52</x:v>
      </x:c>
      <x:c r="K913" s="12"/>
      <x:c r="L913" s="12"/>
      <x:c r="M913" s="12" t="str">
        <x:f>IF(K913="", "", MAX(0,IF(K913&lt;=20,100,IF(K913&lt;=30,85,IF(K913&lt;=40,70,IF(K913&lt;=50,55,IF(K913&lt;=60,40,20)))))-MIN(L913*5,20)))</x:f>
      </x:c>
      <x:c r="N913" s="12"/>
      <x:c r="O913" s="12"/>
      <x:c r="P913" s="12" t="str">
        <x:f>IF(OR(H913="",J913="",M913=""),"",ROUND(PERCENTRANK.INC($H$2:$H$941,H913)*35+J913*0.35+M913*0.30,0))</x:f>
      </x:c>
      <x:c r="Q913" s="12" t="str">
        <x:f>IF(P913="","",IF(P913&gt;=80,"ATTACK",IF(P913&gt;=65,"GROW",IF(P913&gt;=50,"PARTNER","WATCH"))))</x:f>
      </x:c>
      <x:c r="R913" s="12" t="str">
        <x:f>IF(Q913="","",IF(Q913="ATTACK","Grassroots + family acquisition",IF(Q913="GROW","Test local campaign",IF(Q913="PARTNER","Organisation-first partnership","Low priority / validate"))))</x:f>
      </x:c>
      <x:c r="S913" s="45" t="n">
        <x:v>9.770665055568653</x:v>
      </x:c>
      <x:c r="T913" t="str">
        <x:v>NEAR</x:v>
      </x:c>
      <x:c r="U913" s="32" t="n">
        <x:f>PERCENTRANK.INC($G$2:$G$941,G913)</x:f>
        <x:v>0.156</x:v>
      </x:c>
      <x:c r="V913" s="32" t="n">
        <x:f>PERCENTRANK.INC($H$2:$H$941,H913)</x:f>
        <x:v>0.669</x:v>
      </x:c>
      <x:c r="W913" t="n">
        <x:f>ROUND((U913*55+V913*45)*IF(S913&lt;=5,1,IF(S913&lt;=10,0.95,IF(S913&lt;=20,0.85,0.70))),0)</x:f>
        <x:v>37</x:v>
      </x:c>
      <x:c r="X913" t="n">
        <x:v>44</x:v>
      </x:c>
      <x:c r="Y913" t="str">
        <x:v>WATCH</x:v>
      </x:c>
      <x:c r="Z913" s="12" t="str">
        <x:v>Family + verified grassroots + straight-line geo only; transport not yet routed</x:v>
      </x:c>
      <x:c r="AA913" s="12"/>
      <x:c r="AB913" s="12"/>
      <x:c r="AC913" s="12"/>
      <x:c r="AD913" s="12"/>
      <x:c r="AE913" t="str">
        <x:v>Crystal Palace Women</x:v>
      </x:c>
      <x:c r="AF913" s="45" t="n">
        <x:v>5.447622579548094</x:v>
      </x:c>
      <x:c r="AG913" t="str">
        <x:v>Dulwich Hamlet Women</x:v>
      </x:c>
      <x:c r="AH913" s="45" t="n">
        <x:v>1.6418248447109582</x:v>
      </x:c>
      <x:c r="AI913" t="n">
        <x:v>89</x:v>
      </x:c>
      <x:c r="AJ913" t="str">
        <x:v>HIGH</x:v>
      </x:c>
    </x:row>
    <x:row r="914">
      <x:c r="A914" s="12" t="str">
        <x:v>E01004070</x:v>
      </x:c>
      <x:c r="B914" s="12" t="str">
        <x:v>Southwark 031B</x:v>
      </x:c>
      <x:c r="C914" s="12" t="str">
        <x:v>Southwark</x:v>
      </x:c>
      <x:c r="D914" s="44" t="n">
        <x:v>51.455456198157414</x:v>
      </x:c>
      <x:c r="E914" s="44" t="n">
        <x:v>-0.09140528990184868</x:v>
      </x:c>
      <x:c r="F914" s="33" t="n">
        <x:v>730</x:v>
      </x:c>
      <x:c r="G914" s="33" t="n">
        <x:v>286</x:v>
      </x:c>
      <x:c r="H914" s="26" t="n">
        <x:v>0.3917808219178082</x:v>
      </x:c>
      <x:c r="I914" s="12" t="n">
        <x:v>2</x:v>
      </x:c>
      <x:c r="J914" s="12" t="n">
        <x:v>44</x:v>
      </x:c>
      <x:c r="K914" s="12"/>
      <x:c r="L914" s="12"/>
      <x:c r="M914" s="12" t="str">
        <x:f>IF(K914="", "", MAX(0,IF(K914&lt;=20,100,IF(K914&lt;=30,85,IF(K914&lt;=40,70,IF(K914&lt;=50,55,IF(K914&lt;=60,40,20)))))-MIN(L914*5,20)))</x:f>
      </x:c>
      <x:c r="N914" s="12"/>
      <x:c r="O914" s="12"/>
      <x:c r="P914" s="12" t="str">
        <x:f>IF(OR(H914="",J914="",M914=""),"",ROUND(PERCENTRANK.INC($H$2:$H$941,H914)*35+J914*0.35+M914*0.30,0))</x:f>
      </x:c>
      <x:c r="Q914" s="12" t="str">
        <x:f>IF(P914="","",IF(P914&gt;=80,"ATTACK",IF(P914&gt;=65,"GROW",IF(P914&gt;=50,"PARTNER","WATCH"))))</x:f>
      </x:c>
      <x:c r="R914" s="12" t="str">
        <x:f>IF(Q914="","",IF(Q914="ATTACK","Grassroots + family acquisition",IF(Q914="GROW","Test local campaign",IF(Q914="PARTNER","Organisation-first partnership","Low priority / validate"))))</x:f>
      </x:c>
      <x:c r="S914" s="45" t="n">
        <x:v>10.422802306672008</x:v>
      </x:c>
      <x:c r="T914" t="str">
        <x:v>EXTENDED</x:v>
      </x:c>
      <x:c r="U914" s="32" t="n">
        <x:f>PERCENTRANK.INC($G$2:$G$941,G914)</x:f>
        <x:v>0.919</x:v>
      </x:c>
      <x:c r="V914" s="32" t="n">
        <x:f>PERCENTRANK.INC($H$2:$H$941,H914)</x:f>
        <x:v>0.88</x:v>
      </x:c>
      <x:c r="W914" t="n">
        <x:f>ROUND((U914*55+V914*45)*IF(S914&lt;=5,1,IF(S914&lt;=10,0.95,IF(S914&lt;=20,0.85,0.70))),0)</x:f>
        <x:v>77</x:v>
      </x:c>
      <x:c r="X914" t="n">
        <x:v>62</x:v>
      </x:c>
      <x:c r="Y914" t="str">
        <x:v>PARTNER</x:v>
      </x:c>
      <x:c r="Z914" s="12" t="str">
        <x:v>Family + verified grassroots + straight-line geo only; transport not yet routed</x:v>
      </x:c>
      <x:c r="AA914" s="12"/>
      <x:c r="AB914" s="12"/>
      <x:c r="AC914" s="12"/>
      <x:c r="AD914" s="12"/>
      <x:c r="AE914" t="str">
        <x:v>Crystal Palace Women</x:v>
      </x:c>
      <x:c r="AF914" s="45" t="n">
        <x:v>6.372486745553594</x:v>
      </x:c>
      <x:c r="AG914" t="str">
        <x:v>Dulwich Hamlet Women</x:v>
      </x:c>
      <x:c r="AH914" s="45" t="n">
        <x:v>0.8305411278476877</x:v>
      </x:c>
      <x:c r="AI914" t="n">
        <x:v>78</x:v>
      </x:c>
      <x:c r="AJ914" t="str">
        <x:v>HIGH</x:v>
      </x:c>
    </x:row>
    <x:row r="915">
      <x:c r="A915" s="12" t="str">
        <x:v>E01004073</x:v>
      </x:c>
      <x:c r="B915" s="12" t="str">
        <x:v>Southwark 031C</x:v>
      </x:c>
      <x:c r="C915" s="12" t="str">
        <x:v>Southwark</x:v>
      </x:c>
      <x:c r="D915" s="44" t="n">
        <x:v>51.45504943477062</x:v>
      </x:c>
      <x:c r="E915" s="44" t="n">
        <x:v>-0.09484858661236607</x:v>
      </x:c>
      <x:c r="F915" s="33" t="n">
        <x:v>701</x:v>
      </x:c>
      <x:c r="G915" s="33" t="n">
        <x:v>285</x:v>
      </x:c>
      <x:c r="H915" s="26" t="n">
        <x:v>0.4065620542082739</x:v>
      </x:c>
      <x:c r="I915" s="12" t="n">
        <x:v>2</x:v>
      </x:c>
      <x:c r="J915" s="12" t="n">
        <x:v>44</x:v>
      </x:c>
      <x:c r="K915" s="12"/>
      <x:c r="L915" s="12"/>
      <x:c r="M915" s="12" t="str">
        <x:f>IF(K915="", "", MAX(0,IF(K915&lt;=20,100,IF(K915&lt;=30,85,IF(K915&lt;=40,70,IF(K915&lt;=50,55,IF(K915&lt;=60,40,20)))))-MIN(L915*5,20)))</x:f>
      </x:c>
      <x:c r="N915" s="12"/>
      <x:c r="O915" s="12"/>
      <x:c r="P915" s="12" t="str">
        <x:f>IF(OR(H915="",J915="",M915=""),"",ROUND(PERCENTRANK.INC($H$2:$H$941,H915)*35+J915*0.35+M915*0.30,0))</x:f>
      </x:c>
      <x:c r="Q915" s="12" t="str">
        <x:f>IF(P915="","",IF(P915&gt;=80,"ATTACK",IF(P915&gt;=65,"GROW",IF(P915&gt;=50,"PARTNER","WATCH"))))</x:f>
      </x:c>
      <x:c r="R915" s="12" t="str">
        <x:f>IF(Q915="","",IF(Q915="ATTACK","Grassroots + family acquisition",IF(Q915="GROW","Test local campaign",IF(Q915="PARTNER","Organisation-first partnership","Low priority / validate"))))</x:f>
      </x:c>
      <x:c r="S915" s="45" t="n">
        <x:v>10.566858556120666</x:v>
      </x:c>
      <x:c r="T915" t="str">
        <x:v>EXTENDED</x:v>
      </x:c>
      <x:c r="U915" s="32" t="n">
        <x:f>PERCENTRANK.INC($G$2:$G$941,G915)</x:f>
        <x:v>0.915</x:v>
      </x:c>
      <x:c r="V915" s="32" t="n">
        <x:f>PERCENTRANK.INC($H$2:$H$941,H915)</x:f>
        <x:v>0.928</x:v>
      </x:c>
      <x:c r="W915" t="n">
        <x:f>ROUND((U915*55+V915*45)*IF(S915&lt;=5,1,IF(S915&lt;=10,0.95,IF(S915&lt;=20,0.85,0.70))),0)</x:f>
        <x:v>78</x:v>
      </x:c>
      <x:c r="X915" t="n">
        <x:v>63</x:v>
      </x:c>
      <x:c r="Y915" t="str">
        <x:v>PARTNER</x:v>
      </x:c>
      <x:c r="Z915" s="12" t="str">
        <x:v>Family + verified grassroots + straight-line geo only; transport not yet routed</x:v>
      </x:c>
      <x:c r="AA915" s="12"/>
      <x:c r="AB915" s="12"/>
      <x:c r="AC915" s="12"/>
      <x:c r="AD915" s="12"/>
      <x:c r="AE915" t="str">
        <x:v>Crystal Palace Women</x:v>
      </x:c>
      <x:c r="AF915" s="45" t="n">
        <x:v>6.3481948163270845</x:v>
      </x:c>
      <x:c r="AG915" t="str">
        <x:v>Dulwich Hamlet Women</x:v>
      </x:c>
      <x:c r="AH915" s="45" t="n">
        <x:v>1.026257620649893</x:v>
      </x:c>
      <x:c r="AI915" t="n">
        <x:v>78</x:v>
      </x:c>
      <x:c r="AJ915" t="str">
        <x:v>HIGH</x:v>
      </x:c>
    </x:row>
    <x:row r="916">
      <x:c r="A916" s="12" t="str">
        <x:v>E01004074</x:v>
      </x:c>
      <x:c r="B916" s="12" t="str">
        <x:v>Southwark 031D</x:v>
      </x:c>
      <x:c r="C916" s="12" t="str">
        <x:v>Southwark</x:v>
      </x:c>
      <x:c r="D916" s="44" t="n">
        <x:v>51.45222400533379</x:v>
      </x:c>
      <x:c r="E916" s="44" t="n">
        <x:v>-0.09766388139907232</x:v>
      </x:c>
      <x:c r="F916" s="33" t="n">
        <x:v>616</x:v>
      </x:c>
      <x:c r="G916" s="33" t="n">
        <x:v>223</x:v>
      </x:c>
      <x:c r="H916" s="26" t="n">
        <x:v>0.362012987012987</x:v>
      </x:c>
      <x:c r="I916" s="12" t="n">
        <x:v>2</x:v>
      </x:c>
      <x:c r="J916" s="12" t="n">
        <x:v>44</x:v>
      </x:c>
      <x:c r="K916" s="12"/>
      <x:c r="L916" s="12"/>
      <x:c r="M916" s="12" t="str">
        <x:f>IF(K916="", "", MAX(0,IF(K916&lt;=20,100,IF(K916&lt;=30,85,IF(K916&lt;=40,70,IF(K916&lt;=50,55,IF(K916&lt;=60,40,20)))))-MIN(L916*5,20)))</x:f>
      </x:c>
      <x:c r="N916" s="12"/>
      <x:c r="O916" s="12"/>
      <x:c r="P916" s="12" t="str">
        <x:f>IF(OR(H916="",J916="",M916=""),"",ROUND(PERCENTRANK.INC($H$2:$H$941,H916)*35+J916*0.35+M916*0.30,0))</x:f>
      </x:c>
      <x:c r="Q916" s="12" t="str">
        <x:f>IF(P916="","",IF(P916&gt;=80,"ATTACK",IF(P916&gt;=65,"GROW",IF(P916&gt;=50,"PARTNER","WATCH"))))</x:f>
      </x:c>
      <x:c r="R916" s="12" t="str">
        <x:f>IF(Q916="","",IF(Q916="ATTACK","Grassroots + family acquisition",IF(Q916="GROW","Test local campaign",IF(Q916="PARTNER","Organisation-first partnership","Low priority / validate"))))</x:f>
      </x:c>
      <x:c r="S916" s="45" t="n">
        <x:v>10.505714450792127</x:v>
      </x:c>
      <x:c r="T916" t="str">
        <x:v>EXTENDED</x:v>
      </x:c>
      <x:c r="U916" s="32" t="n">
        <x:f>PERCENTRANK.INC($G$2:$G$941,G916)</x:f>
        <x:v>0.567</x:v>
      </x:c>
      <x:c r="V916" s="32" t="n">
        <x:f>PERCENTRANK.INC($H$2:$H$941,H916)</x:f>
        <x:v>0.747</x:v>
      </x:c>
      <x:c r="W916" t="n">
        <x:f>ROUND((U916*55+V916*45)*IF(S916&lt;=5,1,IF(S916&lt;=10,0.95,IF(S916&lt;=20,0.85,0.70))),0)</x:f>
        <x:v>55</x:v>
      </x:c>
      <x:c r="X916" t="n">
        <x:v>50</x:v>
      </x:c>
      <x:c r="Y916" t="str">
        <x:v>PARTNER</x:v>
      </x:c>
      <x:c r="Z916" s="12" t="str">
        <x:v>Family + verified grassroots + straight-line geo only; transport not yet routed</x:v>
      </x:c>
      <x:c r="AA916" s="12"/>
      <x:c r="AB916" s="12"/>
      <x:c r="AC916" s="12"/>
      <x:c r="AD916" s="12"/>
      <x:c r="AE916" t="str">
        <x:v>Crystal Palace Women</x:v>
      </x:c>
      <x:c r="AF916" s="45" t="n">
        <x:v>6.060733789599226</x:v>
      </x:c>
      <x:c r="AG916" t="str">
        <x:v>Dulwich Hamlet Women</x:v>
      </x:c>
      <x:c r="AH916" s="45" t="n">
        <x:v>1.3863231344886142</x:v>
      </x:c>
      <x:c r="AI916" t="n">
        <x:v>78</x:v>
      </x:c>
      <x:c r="AJ916" t="str">
        <x:v>HIGH</x:v>
      </x:c>
    </x:row>
    <x:row r="917">
      <x:c r="A917" s="12" t="str">
        <x:v>E01004075</x:v>
      </x:c>
      <x:c r="B917" s="12" t="str">
        <x:v>Southwark 031E</x:v>
      </x:c>
      <x:c r="C917" s="12" t="str">
        <x:v>Southwark</x:v>
      </x:c>
      <x:c r="D917" s="44" t="n">
        <x:v>51.44963724950026</x:v>
      </x:c>
      <x:c r="E917" s="44" t="n">
        <x:v>-0.08171730862834468</x:v>
      </x:c>
      <x:c r="F917" s="33" t="n">
        <x:v>623</x:v>
      </x:c>
      <x:c r="G917" s="33" t="n">
        <x:v>266</x:v>
      </x:c>
      <x:c r="H917" s="26" t="n">
        <x:v>0.42696629213483145</x:v>
      </x:c>
      <x:c r="I917" s="12" t="n">
        <x:v>3</x:v>
      </x:c>
      <x:c r="J917" s="12" t="n">
        <x:v>59</x:v>
      </x:c>
      <x:c r="K917" s="12"/>
      <x:c r="L917" s="12"/>
      <x:c r="M917" s="12" t="str">
        <x:f>IF(K917="", "", MAX(0,IF(K917&lt;=20,100,IF(K917&lt;=30,85,IF(K917&lt;=40,70,IF(K917&lt;=50,55,IF(K917&lt;=60,40,20)))))-MIN(L917*5,20)))</x:f>
      </x:c>
      <x:c r="N917" s="12"/>
      <x:c r="O917" s="12"/>
      <x:c r="P917" s="12" t="str">
        <x:f>IF(OR(H917="",J917="",M917=""),"",ROUND(PERCENTRANK.INC($H$2:$H$941,H917)*35+J917*0.35+M917*0.30,0))</x:f>
      </x:c>
      <x:c r="Q917" s="12" t="str">
        <x:f>IF(P917="","",IF(P917&gt;=80,"ATTACK",IF(P917&gt;=65,"GROW",IF(P917&gt;=50,"PARTNER","WATCH"))))</x:f>
      </x:c>
      <x:c r="R917" s="12" t="str">
        <x:f>IF(Q917="","",IF(Q917="ATTACK","Grassroots + family acquisition",IF(Q917="GROW","Test local campaign",IF(Q917="PARTNER","Organisation-first partnership","Low priority / validate"))))</x:f>
      </x:c>
      <x:c r="S917" s="45" t="n">
        <x:v>9.490477667708157</x:v>
      </x:c>
      <x:c r="T917" t="str">
        <x:v>NEAR</x:v>
      </x:c>
      <x:c r="U917" s="32" t="n">
        <x:f>PERCENTRANK.INC($G$2:$G$941,G917)</x:f>
        <x:v>0.854</x:v>
      </x:c>
      <x:c r="V917" s="32" t="n">
        <x:f>PERCENTRANK.INC($H$2:$H$941,H917)</x:f>
        <x:v>0.953</x:v>
      </x:c>
      <x:c r="W917" t="n">
        <x:f>ROUND((U917*55+V917*45)*IF(S917&lt;=5,1,IF(S917&lt;=10,0.95,IF(S917&lt;=20,0.85,0.70))),0)</x:f>
        <x:v>85</x:v>
      </x:c>
      <x:c r="X917" t="n">
        <x:v>74</x:v>
      </x:c>
      <x:c r="Y917" t="str">
        <x:v>GROW</x:v>
      </x:c>
      <x:c r="Z917" s="12" t="str">
        <x:v>Family + verified grassroots + straight-line geo only; transport not yet routed</x:v>
      </x:c>
      <x:c r="AA917" s="12"/>
      <x:c r="AB917" s="12"/>
      <x:c r="AC917" s="12"/>
      <x:c r="AD917" s="12"/>
      <x:c r="AE917" t="str">
        <x:v>Crystal Palace Women</x:v>
      </x:c>
      <x:c r="AF917" s="45" t="n">
        <x:v>5.715631188367773</x:v>
      </x:c>
      <x:c r="AG917" t="str">
        <x:v>Dulwich Hamlet Women</x:v>
      </x:c>
      <x:c r="AH917" s="45" t="n">
        <x:v>1.3084905493511452</x:v>
      </x:c>
      <x:c r="AI917" t="n">
        <x:v>89</x:v>
      </x:c>
      <x:c r="AJ917" t="str">
        <x:v>HIGH</x:v>
      </x:c>
    </x:row>
    <x:row r="918">
      <x:c r="A918" s="12" t="str">
        <x:v>E01003949</x:v>
      </x:c>
      <x:c r="B918" s="12" t="str">
        <x:v>Southwark 032A</x:v>
      </x:c>
      <x:c r="C918" s="12" t="str">
        <x:v>Southwark</x:v>
      </x:c>
      <x:c r="D918" s="44" t="n">
        <x:v>51.44512714720121</x:v>
      </x:c>
      <x:c r="E918" s="44" t="n">
        <x:v>-0.06571597205316687</x:v>
      </x:c>
      <x:c r="F918" s="33" t="n">
        <x:v>863</x:v>
      </x:c>
      <x:c r="G918" s="33" t="n">
        <x:v>227</x:v>
      </x:c>
      <x:c r="H918" s="26" t="n">
        <x:v>0.2630359212050985</x:v>
      </x:c>
      <x:c r="I918" s="12" t="n">
        <x:v>3</x:v>
      </x:c>
      <x:c r="J918" s="12" t="n">
        <x:v>59</x:v>
      </x:c>
      <x:c r="K918" s="12"/>
      <x:c r="L918" s="12"/>
      <x:c r="M918" s="12" t="str">
        <x:f>IF(K918="", "", MAX(0,IF(K918&lt;=20,100,IF(K918&lt;=30,85,IF(K918&lt;=40,70,IF(K918&lt;=50,55,IF(K918&lt;=60,40,20)))))-MIN(L918*5,20)))</x:f>
      </x:c>
      <x:c r="N918" s="12"/>
      <x:c r="O918" s="12"/>
      <x:c r="P918" s="12" t="str">
        <x:f>IF(OR(H918="",J918="",M918=""),"",ROUND(PERCENTRANK.INC($H$2:$H$941,H918)*35+J918*0.35+M918*0.30,0))</x:f>
      </x:c>
      <x:c r="Q918" s="12" t="str">
        <x:f>IF(P918="","",IF(P918&gt;=80,"ATTACK",IF(P918&gt;=65,"GROW",IF(P918&gt;=50,"PARTNER","WATCH"))))</x:f>
      </x:c>
      <x:c r="R918" s="12" t="str">
        <x:f>IF(Q918="","",IF(Q918="ATTACK","Grassroots + family acquisition",IF(Q918="GROW","Test local campaign",IF(Q918="PARTNER","Organisation-first partnership","Low priority / validate"))))</x:f>
      </x:c>
      <x:c r="S918" s="45" t="n">
        <x:v>8.349491783711208</x:v>
      </x:c>
      <x:c r="T918" t="str">
        <x:v>NEAR</x:v>
      </x:c>
      <x:c r="U918" s="32" t="n">
        <x:f>PERCENTRANK.INC($G$2:$G$941,G918)</x:f>
        <x:v>0.605</x:v>
      </x:c>
      <x:c r="V918" s="32" t="n">
        <x:f>PERCENTRANK.INC($H$2:$H$941,H918)</x:f>
        <x:v>0.236</x:v>
      </x:c>
      <x:c r="W918" t="n">
        <x:f>ROUND((U918*55+V918*45)*IF(S918&lt;=5,1,IF(S918&lt;=10,0.95,IF(S918&lt;=20,0.85,0.70))),0)</x:f>
        <x:v>42</x:v>
      </x:c>
      <x:c r="X918" t="n">
        <x:v>50</x:v>
      </x:c>
      <x:c r="Y918" t="str">
        <x:v>PARTNER</x:v>
      </x:c>
      <x:c r="Z918" s="12" t="str">
        <x:v>Family + verified grassroots + straight-line geo only; transport not yet routed</x:v>
      </x:c>
      <x:c r="AA918" s="12"/>
      <x:c r="AB918" s="12"/>
      <x:c r="AC918" s="12"/>
      <x:c r="AD918" s="12"/>
      <x:c r="AE918" t="str">
        <x:v>Crystal Palace Women</x:v>
      </x:c>
      <x:c r="AF918" s="45" t="n">
        <x:v>5.380645941918395</x:v>
      </x:c>
      <x:c r="AG918" t="str">
        <x:v>Dulwich Hamlet Women</x:v>
      </x:c>
      <x:c r="AH918" s="45" t="n">
        <x:v>2.200826343319675</x:v>
      </x:c>
      <x:c r="AI918" t="n">
        <x:v>89</x:v>
      </x:c>
      <x:c r="AJ918" t="str">
        <x:v>HIGH</x:v>
      </x:c>
    </x:row>
    <x:row r="919">
      <x:c r="A919" s="12" t="str">
        <x:v>E01003950</x:v>
      </x:c>
      <x:c r="B919" s="12" t="str">
        <x:v>Southwark 032B</x:v>
      </x:c>
      <x:c r="C919" s="12" t="str">
        <x:v>Southwark</x:v>
      </x:c>
      <x:c r="D919" s="44" t="n">
        <x:v>51.44570574463679</x:v>
      </x:c>
      <x:c r="E919" s="44" t="n">
        <x:v>-0.06923306017283291</x:v>
      </x:c>
      <x:c r="F919" s="33" t="n">
        <x:v>811</x:v>
      </x:c>
      <x:c r="G919" s="33" t="n">
        <x:v>278</x:v>
      </x:c>
      <x:c r="H919" s="26" t="n">
        <x:v>0.34278668310727495</x:v>
      </x:c>
      <x:c r="I919" s="12" t="n">
        <x:v>3</x:v>
      </x:c>
      <x:c r="J919" s="12" t="n">
        <x:v>59</x:v>
      </x:c>
      <x:c r="K919" s="12"/>
      <x:c r="L919" s="12"/>
      <x:c r="M919" s="12" t="str">
        <x:f>IF(K919="", "", MAX(0,IF(K919&lt;=20,100,IF(K919&lt;=30,85,IF(K919&lt;=40,70,IF(K919&lt;=50,55,IF(K919&lt;=60,40,20)))))-MIN(L919*5,20)))</x:f>
      </x:c>
      <x:c r="N919" s="12"/>
      <x:c r="O919" s="12"/>
      <x:c r="P919" s="12" t="str">
        <x:f>IF(OR(H919="",J919="",M919=""),"",ROUND(PERCENTRANK.INC($H$2:$H$941,H919)*35+J919*0.35+M919*0.30,0))</x:f>
      </x:c>
      <x:c r="Q919" s="12" t="str">
        <x:f>IF(P919="","",IF(P919&gt;=80,"ATTACK",IF(P919&gt;=65,"GROW",IF(P919&gt;=50,"PARTNER","WATCH"))))</x:f>
      </x:c>
      <x:c r="R919" s="12" t="str">
        <x:f>IF(Q919="","",IF(Q919="ATTACK","Grassroots + family acquisition",IF(Q919="GROW","Test local campaign",IF(Q919="PARTNER","Organisation-first partnership","Low priority / validate"))))</x:f>
      </x:c>
      <x:c r="S919" s="45" t="n">
        <x:v>8.565848955922908</x:v>
      </x:c>
      <x:c r="T919" t="str">
        <x:v>NEAR</x:v>
      </x:c>
      <x:c r="U919" s="32" t="n">
        <x:f>PERCENTRANK.INC($G$2:$G$941,G919)</x:f>
        <x:v>0.893</x:v>
      </x:c>
      <x:c r="V919" s="32" t="n">
        <x:f>PERCENTRANK.INC($H$2:$H$941,H919)</x:f>
        <x:v>0.634</x:v>
      </x:c>
      <x:c r="W919" t="n">
        <x:f>ROUND((U919*55+V919*45)*IF(S919&lt;=5,1,IF(S919&lt;=10,0.95,IF(S919&lt;=20,0.85,0.70))),0)</x:f>
        <x:v>74</x:v>
      </x:c>
      <x:c r="X919" t="n">
        <x:v>67</x:v>
      </x:c>
      <x:c r="Y919" t="str">
        <x:v>GROW</x:v>
      </x:c>
      <x:c r="Z919" s="12" t="str">
        <x:v>Family + verified grassroots + straight-line geo only; transport not yet routed</x:v>
      </x:c>
      <x:c r="AA919" s="12"/>
      <x:c r="AB919" s="12"/>
      <x:c r="AC919" s="12"/>
      <x:c r="AD919" s="12"/>
      <x:c r="AE919" t="str">
        <x:v>Crystal Palace Women</x:v>
      </x:c>
      <x:c r="AF919" s="45" t="n">
        <x:v>5.387761768548038</x:v>
      </x:c>
      <x:c r="AG919" t="str">
        <x:v>Dulwich Hamlet Women</x:v>
      </x:c>
      <x:c r="AH919" s="45" t="n">
        <x:v>2.0146042714920176</x:v>
      </x:c>
      <x:c r="AI919" t="n">
        <x:v>89</x:v>
      </x:c>
      <x:c r="AJ919" t="str">
        <x:v>HIGH</x:v>
      </x:c>
    </x:row>
    <x:row r="920">
      <x:c r="A920" s="12" t="str">
        <x:v>E01003957</x:v>
      </x:c>
      <x:c r="B920" s="12" t="str">
        <x:v>Southwark 032C</x:v>
      </x:c>
      <x:c r="C920" s="12" t="str">
        <x:v>Southwark</x:v>
      </x:c>
      <x:c r="D920" s="44" t="n">
        <x:v>51.451821130944225</x:v>
      </x:c>
      <x:c r="E920" s="44" t="n">
        <x:v>-0.06844705870031198</x:v>
      </x:c>
      <x:c r="F920" s="33" t="n">
        <x:v>699</x:v>
      </x:c>
      <x:c r="G920" s="33" t="n">
        <x:v>236</x:v>
      </x:c>
      <x:c r="H920" s="26" t="n">
        <x:v>0.3376251788268956</x:v>
      </x:c>
      <x:c r="I920" s="12" t="n">
        <x:v>2</x:v>
      </x:c>
      <x:c r="J920" s="12" t="n">
        <x:v>51</x:v>
      </x:c>
      <x:c r="K920" s="12"/>
      <x:c r="L920" s="12"/>
      <x:c r="M920" s="12" t="str">
        <x:f>IF(K920="", "", MAX(0,IF(K920&lt;=20,100,IF(K920&lt;=30,85,IF(K920&lt;=40,70,IF(K920&lt;=50,55,IF(K920&lt;=60,40,20)))))-MIN(L920*5,20)))</x:f>
      </x:c>
      <x:c r="N920" s="12"/>
      <x:c r="O920" s="12"/>
      <x:c r="P920" s="12" t="str">
        <x:f>IF(OR(H920="",J920="",M920=""),"",ROUND(PERCENTRANK.INC($H$2:$H$941,H920)*35+J920*0.35+M920*0.30,0))</x:f>
      </x:c>
      <x:c r="Q920" s="12" t="str">
        <x:f>IF(P920="","",IF(P920&gt;=80,"ATTACK",IF(P920&gt;=65,"GROW",IF(P920&gt;=50,"PARTNER","WATCH"))))</x:f>
      </x:c>
      <x:c r="R920" s="12" t="str">
        <x:f>IF(Q920="","",IF(Q920="ATTACK","Grassroots + family acquisition",IF(Q920="GROW","Test local campaign",IF(Q920="PARTNER","Organisation-first partnership","Low priority / validate"))))</x:f>
      </x:c>
      <x:c r="S920" s="45" t="n">
        <x:v>9.025101784872735</x:v>
      </x:c>
      <x:c r="T920" t="str">
        <x:v>NEAR</x:v>
      </x:c>
      <x:c r="U920" s="32" t="n">
        <x:f>PERCENTRANK.INC($G$2:$G$941,G920)</x:f>
        <x:v>0.679</x:v>
      </x:c>
      <x:c r="V920" s="32" t="n">
        <x:f>PERCENTRANK.INC($H$2:$H$941,H920)</x:f>
        <x:v>0.612</x:v>
      </x:c>
      <x:c r="W920" t="n">
        <x:f>ROUND((U920*55+V920*45)*IF(S920&lt;=5,1,IF(S920&lt;=10,0.95,IF(S920&lt;=20,0.85,0.70))),0)</x:f>
        <x:v>62</x:v>
      </x:c>
      <x:c r="X920" t="n">
        <x:v>57</x:v>
      </x:c>
      <x:c r="Y920" t="str">
        <x:v>PARTNER</x:v>
      </x:c>
      <x:c r="Z920" s="12" t="str">
        <x:v>Family + verified grassroots + straight-line geo only; transport not yet routed</x:v>
      </x:c>
      <x:c r="AA920" s="12"/>
      <x:c r="AB920" s="12"/>
      <x:c r="AC920" s="12"/>
      <x:c r="AD920" s="12"/>
      <x:c r="AE920" t="str">
        <x:v>Crystal Palace Women</x:v>
      </x:c>
      <x:c r="AF920" s="45" t="n">
        <x:v>6.065101105109139</x:v>
      </x:c>
      <x:c r="AG920" t="str">
        <x:v>Dulwich Hamlet Women</x:v>
      </x:c>
      <x:c r="AH920" s="45" t="n">
        <x:v>1.5079366673349086</x:v>
      </x:c>
      <x:c r="AI920" t="n">
        <x:v>78</x:v>
      </x:c>
      <x:c r="AJ920" t="str">
        <x:v>HIGH</x:v>
      </x:c>
    </x:row>
    <x:row r="921">
      <x:c r="A921" s="12" t="str">
        <x:v>E01003958</x:v>
      </x:c>
      <x:c r="B921" s="12" t="str">
        <x:v>Southwark 032D</x:v>
      </x:c>
      <x:c r="C921" s="12" t="str">
        <x:v>Southwark</x:v>
      </x:c>
      <x:c r="D921" s="44" t="n">
        <x:v>51.44956499104645</x:v>
      </x:c>
      <x:c r="E921" s="44" t="n">
        <x:v>-0.07214046266069102</x:v>
      </x:c>
      <x:c r="F921" s="33" t="n">
        <x:v>773</x:v>
      </x:c>
      <x:c r="G921" s="33" t="n">
        <x:v>225</x:v>
      </x:c>
      <x:c r="H921" s="26" t="n">
        <x:v>0.2910737386804657</x:v>
      </x:c>
      <x:c r="I921" s="12" t="n">
        <x:v>3</x:v>
      </x:c>
      <x:c r="J921" s="12" t="n">
        <x:v>58</x:v>
      </x:c>
      <x:c r="K921" s="12"/>
      <x:c r="L921" s="12"/>
      <x:c r="M921" s="12" t="str">
        <x:f>IF(K921="", "", MAX(0,IF(K921&lt;=20,100,IF(K921&lt;=30,85,IF(K921&lt;=40,70,IF(K921&lt;=50,55,IF(K921&lt;=60,40,20)))))-MIN(L921*5,20)))</x:f>
      </x:c>
      <x:c r="N921" s="12"/>
      <x:c r="O921" s="12"/>
      <x:c r="P921" s="12" t="str">
        <x:f>IF(OR(H921="",J921="",M921=""),"",ROUND(PERCENTRANK.INC($H$2:$H$941,H921)*35+J921*0.35+M921*0.30,0))</x:f>
      </x:c>
      <x:c r="Q921" s="12" t="str">
        <x:f>IF(P921="","",IF(P921&gt;=80,"ATTACK",IF(P921&gt;=65,"GROW",IF(P921&gt;=50,"PARTNER","WATCH"))))</x:f>
      </x:c>
      <x:c r="R921" s="12" t="str">
        <x:f>IF(Q921="","",IF(Q921="ATTACK","Grassroots + family acquisition",IF(Q921="GROW","Test local campaign",IF(Q921="PARTNER","Organisation-first partnership","Low priority / validate"))))</x:f>
      </x:c>
      <x:c r="S921" s="45" t="n">
        <x:v>9.013803831082726</x:v>
      </x:c>
      <x:c r="T921" t="str">
        <x:v>NEAR</x:v>
      </x:c>
      <x:c r="U921" s="32" t="n">
        <x:f>PERCENTRANK.INC($G$2:$G$941,G921)</x:f>
        <x:v>0.586</x:v>
      </x:c>
      <x:c r="V921" s="32" t="n">
        <x:f>PERCENTRANK.INC($H$2:$H$941,H921)</x:f>
        <x:v>0.351</x:v>
      </x:c>
      <x:c r="W921" t="n">
        <x:f>ROUND((U921*55+V921*45)*IF(S921&lt;=5,1,IF(S921&lt;=10,0.95,IF(S921&lt;=20,0.85,0.70))),0)</x:f>
        <x:v>46</x:v>
      </x:c>
      <x:c r="X921" t="n">
        <x:v>51</x:v>
      </x:c>
      <x:c r="Y921" t="str">
        <x:v>PARTNER</x:v>
      </x:c>
      <x:c r="Z921" s="12" t="str">
        <x:v>Family + verified grassroots + straight-line geo only; transport not yet routed</x:v>
      </x:c>
      <x:c r="AA921" s="12"/>
      <x:c r="AB921" s="12"/>
      <x:c r="AC921" s="12"/>
      <x:c r="AD921" s="12"/>
      <x:c r="AE921" t="str">
        <x:v>Crystal Palace Women</x:v>
      </x:c>
      <x:c r="AF921" s="45" t="n">
        <x:v>5.7735384135725285</x:v>
      </x:c>
      <x:c r="AG921" t="str">
        <x:v>Dulwich Hamlet Women</x:v>
      </x:c>
      <x:c r="AH921" s="45" t="n">
        <x:v>1.5432001402689022</x:v>
      </x:c>
      <x:c r="AI921" t="n">
        <x:v>89</x:v>
      </x:c>
      <x:c r="AJ921" t="str">
        <x:v>HIGH</x:v>
      </x:c>
    </x:row>
    <x:row r="922">
      <x:c r="A922" s="12" t="str">
        <x:v>E01004018</x:v>
      </x:c>
      <x:c r="B922" s="12" t="str">
        <x:v>Southwark 032E</x:v>
      </x:c>
      <x:c r="C922" s="12" t="str">
        <x:v>Southwark</x:v>
      </x:c>
      <x:c r="D922" s="44" t="n">
        <x:v>51.45196931867599</x:v>
      </x:c>
      <x:c r="E922" s="44" t="n">
        <x:v>-0.06296352442781748</x:v>
      </x:c>
      <x:c r="F922" s="33" t="n">
        <x:v>781</x:v>
      </x:c>
      <x:c r="G922" s="33" t="n">
        <x:v>262</x:v>
      </x:c>
      <x:c r="H922" s="26" t="n">
        <x:v>0.3354673495518566</x:v>
      </x:c>
      <x:c r="I922" s="12" t="n">
        <x:v>2</x:v>
      </x:c>
      <x:c r="J922" s="12" t="n">
        <x:v>51</x:v>
      </x:c>
      <x:c r="K922" s="12"/>
      <x:c r="L922" s="12"/>
      <x:c r="M922" s="12" t="str">
        <x:f>IF(K922="", "", MAX(0,IF(K922&lt;=20,100,IF(K922&lt;=30,85,IF(K922&lt;=40,70,IF(K922&lt;=50,55,IF(K922&lt;=60,40,20)))))-MIN(L922*5,20)))</x:f>
      </x:c>
      <x:c r="N922" s="12"/>
      <x:c r="O922" s="12"/>
      <x:c r="P922" s="12" t="str">
        <x:f>IF(OR(H922="",J922="",M922=""),"",ROUND(PERCENTRANK.INC($H$2:$H$941,H922)*35+J922*0.35+M922*0.30,0))</x:f>
      </x:c>
      <x:c r="Q922" s="12" t="str">
        <x:f>IF(P922="","",IF(P922&gt;=80,"ATTACK",IF(P922&gt;=65,"GROW",IF(P922&gt;=50,"PARTNER","WATCH"))))</x:f>
      </x:c>
      <x:c r="R922" s="12" t="str">
        <x:f>IF(Q922="","",IF(Q922="ATTACK","Grassroots + family acquisition",IF(Q922="GROW","Test local campaign",IF(Q922="PARTNER","Organisation-first partnership","Low priority / validate"))))</x:f>
      </x:c>
      <x:c r="S922" s="45" t="n">
        <x:v>8.79073917853055</x:v>
      </x:c>
      <x:c r="T922" t="str">
        <x:v>NEAR</x:v>
      </x:c>
      <x:c r="U922" s="32" t="n">
        <x:f>PERCENTRANK.INC($G$2:$G$941,G922)</x:f>
        <x:v>0.837</x:v>
      </x:c>
      <x:c r="V922" s="32" t="n">
        <x:f>PERCENTRANK.INC($H$2:$H$941,H922)</x:f>
        <x:v>0.601</x:v>
      </x:c>
      <x:c r="W922" t="n">
        <x:f>ROUND((U922*55+V922*45)*IF(S922&lt;=5,1,IF(S922&lt;=10,0.95,IF(S922&lt;=20,0.85,0.70))),0)</x:f>
        <x:v>69</x:v>
      </x:c>
      <x:c r="X922" t="n">
        <x:v>61</x:v>
      </x:c>
      <x:c r="Y922" t="str">
        <x:v>PARTNER</x:v>
      </x:c>
      <x:c r="Z922" s="12" t="str">
        <x:v>Family + verified grassroots + straight-line geo only; transport not yet routed</x:v>
      </x:c>
      <x:c r="AA922" s="12"/>
      <x:c r="AB922" s="12"/>
      <x:c r="AC922" s="12"/>
      <x:c r="AD922" s="12"/>
      <x:c r="AE922" t="str">
        <x:v>Crystal Palace Women</x:v>
      </x:c>
      <x:c r="AF922" s="45" t="n">
        <x:v>6.164987338934319</x:v>
      </x:c>
      <x:c r="AG922" t="str">
        <x:v>Dulwich Hamlet Women</x:v>
      </x:c>
      <x:c r="AH922" s="45" t="n">
        <x:v>1.7892650088353372</x:v>
      </x:c>
      <x:c r="AI922" t="n">
        <x:v>78</x:v>
      </x:c>
      <x:c r="AJ922" t="str">
        <x:v>HIGH</x:v>
      </x:c>
    </x:row>
    <x:row r="923">
      <x:c r="A923" s="12" t="str">
        <x:v>E01003945</x:v>
      </x:c>
      <x:c r="B923" s="12" t="str">
        <x:v>Southwark 033A</x:v>
      </x:c>
      <x:c r="C923" s="12" t="str">
        <x:v>Southwark</x:v>
      </x:c>
      <x:c r="D923" s="44" t="n">
        <x:v>51.4347246588814</x:v>
      </x:c>
      <x:c r="E923" s="44" t="n">
        <x:v>-0.0705254625827354</x:v>
      </x:c>
      <x:c r="F923" s="33" t="n">
        <x:v>727</x:v>
      </x:c>
      <x:c r="G923" s="33" t="n">
        <x:v>241</x:v>
      </x:c>
      <x:c r="H923" s="26" t="n">
        <x:v>0.3314993122420908</x:v>
      </x:c>
      <x:c r="I923" s="12" t="n">
        <x:v>3</x:v>
      </x:c>
      <x:c r="J923" s="12" t="n">
        <x:v>67</x:v>
      </x:c>
      <x:c r="K923" s="12"/>
      <x:c r="L923" s="12"/>
      <x:c r="M923" s="12" t="str">
        <x:f>IF(K923="", "", MAX(0,IF(K923&lt;=20,100,IF(K923&lt;=30,85,IF(K923&lt;=40,70,IF(K923&lt;=50,55,IF(K923&lt;=60,40,20)))))-MIN(L923*5,20)))</x:f>
      </x:c>
      <x:c r="N923" s="12"/>
      <x:c r="O923" s="12"/>
      <x:c r="P923" s="12" t="str">
        <x:f>IF(OR(H923="",J923="",M923=""),"",ROUND(PERCENTRANK.INC($H$2:$H$941,H923)*35+J923*0.35+M923*0.30,0))</x:f>
      </x:c>
      <x:c r="Q923" s="12" t="str">
        <x:f>IF(P923="","",IF(P923&gt;=80,"ATTACK",IF(P923&gt;=65,"GROW",IF(P923&gt;=50,"PARTNER","WATCH"))))</x:f>
      </x:c>
      <x:c r="R923" s="12" t="str">
        <x:f>IF(Q923="","",IF(Q923="ATTACK","Grassroots + family acquisition",IF(Q923="GROW","Test local campaign",IF(Q923="PARTNER","Organisation-first partnership","Low priority / validate"))))</x:f>
      </x:c>
      <x:c r="S923" s="45" t="n">
        <x:v>7.81682963822219</x:v>
      </x:c>
      <x:c r="T923" t="str">
        <x:v>NEAR</x:v>
      </x:c>
      <x:c r="U923" s="32" t="n">
        <x:f>PERCENTRANK.INC($G$2:$G$941,G923)</x:f>
        <x:v>0.714</x:v>
      </x:c>
      <x:c r="V923" s="32" t="n">
        <x:f>PERCENTRANK.INC($H$2:$H$941,H923)</x:f>
        <x:v>0.579</x:v>
      </x:c>
      <x:c r="W923" t="n">
        <x:f>ROUND((U923*55+V923*45)*IF(S923&lt;=5,1,IF(S923&lt;=10,0.95,IF(S923&lt;=20,0.85,0.70))),0)</x:f>
        <x:v>62</x:v>
      </x:c>
      <x:c r="X923" t="n">
        <x:v>65</x:v>
      </x:c>
      <x:c r="Y923" t="str">
        <x:v>GROW</x:v>
      </x:c>
      <x:c r="Z923" s="12" t="str">
        <x:v>Family + verified grassroots + straight-line geo only; transport not yet routed</x:v>
      </x:c>
      <x:c r="AA923" s="12"/>
      <x:c r="AB923" s="12"/>
      <x:c r="AC923" s="12"/>
      <x:c r="AD923" s="12"/>
      <x:c r="AE923" t="str">
        <x:v>Crystal Palace Women</x:v>
      </x:c>
      <x:c r="AF923" s="45" t="n">
        <x:v>4.17744326252183</x:v>
      </x:c>
      <x:c r="AG923" t="str">
        <x:v>Dulwich Hamlet Women</x:v>
      </x:c>
      <x:c r="AH923" s="45" t="n">
        <x:v>3.1007753730899865</x:v>
      </x:c>
      <x:c r="AI923" t="n">
        <x:v>85</x:v>
      </x:c>
      <x:c r="AJ923" t="str">
        <x:v>HIGH</x:v>
      </x:c>
    </x:row>
    <x:row r="924">
      <x:c r="A924" s="12" t="str">
        <x:v>E01003946</x:v>
      </x:c>
      <x:c r="B924" s="12" t="str">
        <x:v>Southwark 033B</x:v>
      </x:c>
      <x:c r="C924" s="12" t="str">
        <x:v>Southwark</x:v>
      </x:c>
      <x:c r="D924" s="44" t="n">
        <x:v>51.4284114667605</x:v>
      </x:c>
      <x:c r="E924" s="44" t="n">
        <x:v>-0.08277632689312416</x:v>
      </x:c>
      <x:c r="F924" s="33" t="n">
        <x:v>753</x:v>
      </x:c>
      <x:c r="G924" s="33" t="n">
        <x:v>268</x:v>
      </x:c>
      <x:c r="H924" s="26" t="n">
        <x:v>0.3559096945551129</x:v>
      </x:c>
      <x:c r="I924" s="12" t="n">
        <x:v>3</x:v>
      </x:c>
      <x:c r="J924" s="12" t="n">
        <x:v>67</x:v>
      </x:c>
      <x:c r="K924" s="12"/>
      <x:c r="L924" s="12"/>
      <x:c r="M924" s="12" t="str">
        <x:f>IF(K924="", "", MAX(0,IF(K924&lt;=20,100,IF(K924&lt;=30,85,IF(K924&lt;=40,70,IF(K924&lt;=50,55,IF(K924&lt;=60,40,20)))))-MIN(L924*5,20)))</x:f>
      </x:c>
      <x:c r="N924" s="12"/>
      <x:c r="O924" s="12"/>
      <x:c r="P924" s="12" t="str">
        <x:f>IF(OR(H924="",J924="",M924=""),"",ROUND(PERCENTRANK.INC($H$2:$H$941,H924)*35+J924*0.35+M924*0.30,0))</x:f>
      </x:c>
      <x:c r="Q924" s="12" t="str">
        <x:f>IF(P924="","",IF(P924&gt;=80,"ATTACK",IF(P924&gt;=65,"GROW",IF(P924&gt;=50,"PARTNER","WATCH"))))</x:f>
      </x:c>
      <x:c r="R924" s="12" t="str">
        <x:f>IF(Q924="","",IF(Q924="ATTACK","Grassroots + family acquisition",IF(Q924="GROW","Test local campaign",IF(Q924="PARTNER","Organisation-first partnership","Low priority / validate"))))</x:f>
      </x:c>
      <x:c r="S924" s="45" t="n">
        <x:v>8.117511280082775</x:v>
      </x:c>
      <x:c r="T924" t="str">
        <x:v>NEAR</x:v>
      </x:c>
      <x:c r="U924" s="32" t="n">
        <x:f>PERCENTRANK.INC($G$2:$G$941,G924)</x:f>
        <x:v>0.861</x:v>
      </x:c>
      <x:c r="V924" s="32" t="n">
        <x:f>PERCENTRANK.INC($H$2:$H$941,H924)</x:f>
        <x:v>0.719</x:v>
      </x:c>
      <x:c r="W924" t="n">
        <x:f>ROUND((U924*55+V924*45)*IF(S924&lt;=5,1,IF(S924&lt;=10,0.95,IF(S924&lt;=20,0.85,0.70))),0)</x:f>
        <x:v>76</x:v>
      </x:c>
      <x:c r="X924" t="n">
        <x:v>72</x:v>
      </x:c>
      <x:c r="Y924" t="str">
        <x:v>GROW</x:v>
      </x:c>
      <x:c r="Z924" s="12" t="str">
        <x:v>Family + verified grassroots + straight-line geo only; transport not yet routed</x:v>
      </x:c>
      <x:c r="AA924" s="12"/>
      <x:c r="AB924" s="12"/>
      <x:c r="AC924" s="12"/>
      <x:c r="AD924" s="12"/>
      <x:c r="AE924" t="str">
        <x:v>Crystal Palace Women</x:v>
      </x:c>
      <x:c r="AF924" s="45" t="n">
        <x:v>3.3545125564476517</x:v>
      </x:c>
      <x:c r="AG924" t="str">
        <x:v>Dulwich Hamlet Women</x:v>
      </x:c>
      <x:c r="AH924" s="45" t="n">
        <x:v>3.6602177225184263</x:v>
      </x:c>
      <x:c r="AI924" t="n">
        <x:v>85</x:v>
      </x:c>
      <x:c r="AJ924" t="str">
        <x:v>HIGH</x:v>
      </x:c>
    </x:row>
    <x:row r="925">
      <x:c r="A925" s="12" t="str">
        <x:v>E01003947</x:v>
      </x:c>
      <x:c r="B925" s="12" t="str">
        <x:v>Southwark 033C</x:v>
      </x:c>
      <x:c r="C925" s="12" t="str">
        <x:v>Southwark</x:v>
      </x:c>
      <x:c r="D925" s="44" t="n">
        <x:v>51.43069701076306</x:v>
      </x:c>
      <x:c r="E925" s="44" t="n">
        <x:v>-0.08193978584050719</x:v>
      </x:c>
      <x:c r="F925" s="33" t="n">
        <x:v>601</x:v>
      </x:c>
      <x:c r="G925" s="33" t="n">
        <x:v>278</x:v>
      </x:c>
      <x:c r="H925" s="26" t="n">
        <x:v>0.46256239600665555</x:v>
      </x:c>
      <x:c r="I925" s="12" t="n">
        <x:v>3</x:v>
      </x:c>
      <x:c r="J925" s="12" t="n">
        <x:v>67</x:v>
      </x:c>
      <x:c r="K925" s="12"/>
      <x:c r="L925" s="12"/>
      <x:c r="M925" s="12" t="str">
        <x:f>IF(K925="", "", MAX(0,IF(K925&lt;=20,100,IF(K925&lt;=30,85,IF(K925&lt;=40,70,IF(K925&lt;=50,55,IF(K925&lt;=60,40,20)))))-MIN(L925*5,20)))</x:f>
      </x:c>
      <x:c r="N925" s="12"/>
      <x:c r="O925" s="12"/>
      <x:c r="P925" s="12" t="str">
        <x:f>IF(OR(H925="",J925="",M925=""),"",ROUND(PERCENTRANK.INC($H$2:$H$941,H925)*35+J925*0.35+M925*0.30,0))</x:f>
      </x:c>
      <x:c r="Q925" s="12" t="str">
        <x:f>IF(P925="","",IF(P925&gt;=80,"ATTACK",IF(P925&gt;=65,"GROW",IF(P925&gt;=50,"PARTNER","WATCH"))))</x:f>
      </x:c>
      <x:c r="R925" s="12" t="str">
        <x:f>IF(Q925="","",IF(Q925="ATTACK","Grassroots + family acquisition",IF(Q925="GROW","Test local campaign",IF(Q925="PARTNER","Organisation-first partnership","Low priority / validate"))))</x:f>
      </x:c>
      <x:c r="S925" s="45" t="n">
        <x:v>8.201594515457652</x:v>
      </x:c>
      <x:c r="T925" t="str">
        <x:v>NEAR</x:v>
      </x:c>
      <x:c r="U925" s="32" t="n">
        <x:f>PERCENTRANK.INC($G$2:$G$941,G925)</x:f>
        <x:v>0.893</x:v>
      </x:c>
      <x:c r="V925" s="32" t="n">
        <x:f>PERCENTRANK.INC($H$2:$H$941,H925)</x:f>
        <x:v>0.981</x:v>
      </x:c>
      <x:c r="W925" t="n">
        <x:f>ROUND((U925*55+V925*45)*IF(S925&lt;=5,1,IF(S925&lt;=10,0.95,IF(S925&lt;=20,0.85,0.70))),0)</x:f>
        <x:v>89</x:v>
      </x:c>
      <x:c r="X925" t="n">
        <x:v>79</x:v>
      </x:c>
      <x:c r="Y925" t="str">
        <x:v>GROW</x:v>
      </x:c>
      <x:c r="Z925" s="12" t="str">
        <x:v>Family + verified grassroots + straight-line geo only; transport not yet routed</x:v>
      </x:c>
      <x:c r="AA925" s="12"/>
      <x:c r="AB925" s="12"/>
      <x:c r="AC925" s="12"/>
      <x:c r="AD925" s="12"/>
      <x:c r="AE925" t="str">
        <x:v>Crystal Palace Women</x:v>
      </x:c>
      <x:c r="AF925" s="45" t="n">
        <x:v>3.611480635426665</x:v>
      </x:c>
      <x:c r="AG925" t="str">
        <x:v>Dulwich Hamlet Women</x:v>
      </x:c>
      <x:c r="AH925" s="45" t="n">
        <x:v>3.4080600113319637</x:v>
      </x:c>
      <x:c r="AI925" t="n">
        <x:v>85</x:v>
      </x:c>
      <x:c r="AJ925" t="str">
        <x:v>HIGH</x:v>
      </x:c>
    </x:row>
    <x:row r="926">
      <x:c r="A926" s="12" t="str">
        <x:v>E01003948</x:v>
      </x:c>
      <x:c r="B926" s="12" t="str">
        <x:v>Southwark 033D</x:v>
      </x:c>
      <x:c r="C926" s="12" t="str">
        <x:v>Southwark</x:v>
      </x:c>
      <x:c r="D926" s="44" t="n">
        <x:v>51.42513781834495</x:v>
      </x:c>
      <x:c r="E926" s="44" t="n">
        <x:v>-0.07845219374805422</x:v>
      </x:c>
      <x:c r="F926" s="33" t="n">
        <x:v>800</x:v>
      </x:c>
      <x:c r="G926" s="33" t="n">
        <x:v>235</x:v>
      </x:c>
      <x:c r="H926" s="26" t="n">
        <x:v>0.29375</x:v>
      </x:c>
      <x:c r="I926" s="12" t="n">
        <x:v>3</x:v>
      </x:c>
      <x:c r="J926" s="12" t="n">
        <x:v>76</x:v>
      </x:c>
      <x:c r="K926" s="12"/>
      <x:c r="L926" s="12"/>
      <x:c r="M926" s="12" t="str">
        <x:f>IF(K926="", "", MAX(0,IF(K926&lt;=20,100,IF(K926&lt;=30,85,IF(K926&lt;=40,70,IF(K926&lt;=50,55,IF(K926&lt;=60,40,20)))))-MIN(L926*5,20)))</x:f>
      </x:c>
      <x:c r="N926" s="12"/>
      <x:c r="O926" s="12"/>
      <x:c r="P926" s="12" t="str">
        <x:f>IF(OR(H926="",J926="",M926=""),"",ROUND(PERCENTRANK.INC($H$2:$H$941,H926)*35+J926*0.35+M926*0.30,0))</x:f>
      </x:c>
      <x:c r="Q926" s="12" t="str">
        <x:f>IF(P926="","",IF(P926&gt;=80,"ATTACK",IF(P926&gt;=65,"GROW",IF(P926&gt;=50,"PARTNER","WATCH"))))</x:f>
      </x:c>
      <x:c r="R926" s="12" t="str">
        <x:f>IF(Q926="","",IF(Q926="ATTACK","Grassroots + family acquisition",IF(Q926="GROW","Test local campaign",IF(Q926="PARTNER","Organisation-first partnership","Low priority / validate"))))</x:f>
      </x:c>
      <x:c r="S926" s="45" t="n">
        <x:v>7.67523934144382</x:v>
      </x:c>
      <x:c r="T926" t="str">
        <x:v>NEAR</x:v>
      </x:c>
      <x:c r="U926" s="32" t="n">
        <x:f>PERCENTRANK.INC($G$2:$G$941,G926)</x:f>
        <x:v>0.667</x:v>
      </x:c>
      <x:c r="V926" s="32" t="n">
        <x:f>PERCENTRANK.INC($H$2:$H$941,H926)</x:f>
        <x:v>0.362</x:v>
      </x:c>
      <x:c r="W926" t="n">
        <x:f>ROUND((U926*55+V926*45)*IF(S926&lt;=5,1,IF(S926&lt;=10,0.95,IF(S926&lt;=20,0.85,0.70))),0)</x:f>
        <x:v>50</x:v>
      </x:c>
      <x:c r="X926" t="n">
        <x:v>62</x:v>
      </x:c>
      <x:c r="Y926" t="str">
        <x:v>PARTNER</x:v>
      </x:c>
      <x:c r="Z926" s="12" t="str">
        <x:v>Family + verified grassroots + straight-line geo only; transport not yet routed</x:v>
      </x:c>
      <x:c r="AA926" s="12"/>
      <x:c r="AB926" s="12"/>
      <x:c r="AC926" s="12"/>
      <x:c r="AD926" s="12"/>
      <x:c r="AE926" t="str">
        <x:v>Crystal Palace Women</x:v>
      </x:c>
      <x:c r="AF926" s="45" t="n">
        <x:v>3.022368128548433</x:v>
      </x:c>
      <x:c r="AG926" t="str">
        <x:v>Dulwich Hamlet Women</x:v>
      </x:c>
      <x:c r="AH926" s="45" t="n">
        <x:v>4.041480332475576</x:v>
      </x:c>
      <x:c r="AI926" t="n">
        <x:v>85</x:v>
      </x:c>
      <x:c r="AJ926" t="str">
        <x:v>HIGH</x:v>
      </x:c>
    </x:row>
    <x:row r="927">
      <x:c r="A927" s="12" t="str">
        <x:v>E01003951</x:v>
      </x:c>
      <x:c r="B927" s="12" t="str">
        <x:v>Southwark 033E</x:v>
      </x:c>
      <x:c r="C927" s="12" t="str">
        <x:v>Southwark</x:v>
      </x:c>
      <x:c r="D927" s="44" t="n">
        <x:v>51.43746770748656</x:v>
      </x:c>
      <x:c r="E927" s="44" t="n">
        <x:v>-0.08892426156521109</x:v>
      </x:c>
      <x:c r="F927" s="33" t="n">
        <x:v>554</x:v>
      </x:c>
      <x:c r="G927" s="33" t="n">
        <x:v>159</x:v>
      </x:c>
      <x:c r="H927" s="26" t="n">
        <x:v>0.2870036101083033</x:v>
      </x:c>
      <x:c r="I927" s="12" t="n">
        <x:v>3</x:v>
      </x:c>
      <x:c r="J927" s="12" t="n">
        <x:v>52</x:v>
      </x:c>
      <x:c r="K927" s="12"/>
      <x:c r="L927" s="12"/>
      <x:c r="M927" s="12" t="str">
        <x:f>IF(K927="", "", MAX(0,IF(K927&lt;=20,100,IF(K927&lt;=30,85,IF(K927&lt;=40,70,IF(K927&lt;=50,55,IF(K927&lt;=60,40,20)))))-MIN(L927*5,20)))</x:f>
      </x:c>
      <x:c r="N927" s="12"/>
      <x:c r="O927" s="12"/>
      <x:c r="P927" s="12" t="str">
        <x:f>IF(OR(H927="",J927="",M927=""),"",ROUND(PERCENTRANK.INC($H$2:$H$941,H927)*35+J927*0.35+M927*0.30,0))</x:f>
      </x:c>
      <x:c r="Q927" s="12" t="str">
        <x:f>IF(P927="","",IF(P927&gt;=80,"ATTACK",IF(P927&gt;=65,"GROW",IF(P927&gt;=50,"PARTNER","WATCH"))))</x:f>
      </x:c>
      <x:c r="R927" s="12" t="str">
        <x:f>IF(Q927="","",IF(Q927="ATTACK","Grassroots + family acquisition",IF(Q927="GROW","Test local campaign",IF(Q927="PARTNER","Organisation-first partnership","Low priority / validate"))))</x:f>
      </x:c>
      <x:c r="S927" s="45" t="n">
        <x:v>9.022447005778087</x:v>
      </x:c>
      <x:c r="T927" t="str">
        <x:v>NEAR</x:v>
      </x:c>
      <x:c r="U927" s="32" t="n">
        <x:f>PERCENTRANK.INC($G$2:$G$941,G927)</x:f>
        <x:v>0.123</x:v>
      </x:c>
      <x:c r="V927" s="32" t="n">
        <x:f>PERCENTRANK.INC($H$2:$H$941,H927)</x:f>
        <x:v>0.33</x:v>
      </x:c>
      <x:c r="W927" t="n">
        <x:f>ROUND((U927*55+V927*45)*IF(S927&lt;=5,1,IF(S927&lt;=10,0.95,IF(S927&lt;=20,0.85,0.70))),0)</x:f>
        <x:v>21</x:v>
      </x:c>
      <x:c r="X927" t="n">
        <x:v>35</x:v>
      </x:c>
      <x:c r="Y927" t="str">
        <x:v>WATCH</x:v>
      </x:c>
      <x:c r="Z927" s="12" t="str">
        <x:v>Family + verified grassroots + straight-line geo only; transport not yet routed</x:v>
      </x:c>
      <x:c r="AA927" s="12"/>
      <x:c r="AB927" s="12"/>
      <x:c r="AC927" s="12"/>
      <x:c r="AD927" s="12"/>
      <x:c r="AE927" t="str">
        <x:v>Crystal Palace Women</x:v>
      </x:c>
      <x:c r="AF927" s="45" t="n">
        <x:v>4.365333366252491</x:v>
      </x:c>
      <x:c r="AG927" t="str">
        <x:v>Dulwich Hamlet Women</x:v>
      </x:c>
      <x:c r="AH927" s="45" t="n">
        <x:v>2.674296503263655</x:v>
      </x:c>
      <x:c r="AI927" t="n">
        <x:v>89</x:v>
      </x:c>
      <x:c r="AJ927" t="str">
        <x:v>HIGH</x:v>
      </x:c>
    </x:row>
    <x:row r="928">
      <x:c r="A928" s="12" t="str">
        <x:v>E01003930</x:v>
      </x:c>
      <x:c r="B928" s="12" t="str">
        <x:v>Southwark 034A</x:v>
      </x:c>
      <x:c r="C928" s="12" t="str">
        <x:v>Southwark</x:v>
      </x:c>
      <x:c r="D928" s="44" t="n">
        <x:v>51.49955401438761</x:v>
      </x:c>
      <x:c r="E928" s="44" t="n">
        <x:v>-0.104242313276179</x:v>
      </x:c>
      <x:c r="F928" s="33" t="n">
        <x:v>746</x:v>
      </x:c>
      <x:c r="G928" s="33" t="n">
        <x:v>171</x:v>
      </x:c>
      <x:c r="H928" s="26" t="n">
        <x:v>0.2292225201072386</x:v>
      </x:c>
      <x:c r="I928" s="12" t="n">
        <x:v>1</x:v>
      </x:c>
      <x:c r="J928" s="12" t="n">
        <x:v>22</x:v>
      </x:c>
      <x:c r="K928" s="12"/>
      <x:c r="L928" s="12"/>
      <x:c r="M928" s="12" t="str">
        <x:f>IF(K928="", "", MAX(0,IF(K928&lt;=20,100,IF(K928&lt;=30,85,IF(K928&lt;=40,70,IF(K928&lt;=50,55,IF(K928&lt;=60,40,20)))))-MIN(L928*5,20)))</x:f>
      </x:c>
      <x:c r="N928" s="12"/>
      <x:c r="O928" s="12"/>
      <x:c r="P928" s="12" t="str">
        <x:f>IF(OR(H928="",J928="",M928=""),"",ROUND(PERCENTRANK.INC($H$2:$H$941,H928)*35+J928*0.35+M928*0.30,0))</x:f>
      </x:c>
      <x:c r="Q928" s="12" t="str">
        <x:f>IF(P928="","",IF(P928&gt;=80,"ATTACK",IF(P928&gt;=65,"GROW",IF(P928&gt;=50,"PARTNER","WATCH"))))</x:f>
      </x:c>
      <x:c r="R928" s="12" t="str">
        <x:f>IF(Q928="","",IF(Q928="ATTACK","Grassroots + family acquisition",IF(Q928="GROW","Test local campaign",IF(Q928="PARTNER","Organisation-first partnership","Low priority / validate"))))</x:f>
      </x:c>
      <x:c r="S928" s="45" t="n">
        <x:v>14.73688849999976</x:v>
      </x:c>
      <x:c r="T928" t="str">
        <x:v>EXTENDED</x:v>
      </x:c>
      <x:c r="U928" s="32" t="n">
        <x:f>PERCENTRANK.INC($G$2:$G$941,G928)</x:f>
        <x:v>0.177</x:v>
      </x:c>
      <x:c r="V928" s="32" t="n">
        <x:f>PERCENTRANK.INC($H$2:$H$941,H928)</x:f>
        <x:v>0.129</x:v>
      </x:c>
      <x:c r="W928" t="n">
        <x:f>ROUND((U928*55+V928*45)*IF(S928&lt;=5,1,IF(S928&lt;=10,0.95,IF(S928&lt;=20,0.85,0.70))),0)</x:f>
        <x:v>13</x:v>
      </x:c>
      <x:c r="X928" t="n">
        <x:v>17</x:v>
      </x:c>
      <x:c r="Y928" t="str">
        <x:v>WATCH</x:v>
      </x:c>
      <x:c r="Z928" s="12" t="str">
        <x:v>Family + verified grassroots + straight-line geo only; transport not yet routed</x:v>
      </x:c>
      <x:c r="AA928" s="12"/>
      <x:c r="AB928" s="12"/>
      <x:c r="AC928" s="12"/>
      <x:c r="AD928" s="12"/>
      <x:c r="AE928" t="str">
        <x:v>Arsenal Women</x:v>
      </x:c>
      <x:c r="AF928" s="45" t="n">
        <x:v>6.177580039022984</x:v>
      </x:c>
      <x:c r="AG928" t="str">
        <x:v>Dulwich Hamlet Women</x:v>
      </x:c>
      <x:c r="AH928" s="45" t="n">
        <x:v>4.477005838541544</x:v>
      </x:c>
      <x:c r="AI928" t="n">
        <x:v>74</x:v>
      </x:c>
      <x:c r="AJ928" t="str">
        <x:v>MEDIUM</x:v>
      </x:c>
    </x:row>
    <x:row r="929">
      <x:c r="A929" s="12" t="str">
        <x:v>E01003932</x:v>
      </x:c>
      <x:c r="B929" s="12" t="str">
        <x:v>Southwark 034B</x:v>
      </x:c>
      <x:c r="C929" s="12" t="str">
        <x:v>Southwark</x:v>
      </x:c>
      <x:c r="D929" s="44" t="n">
        <x:v>51.496252315973635</x:v>
      </x:c>
      <x:c r="E929" s="44" t="n">
        <x:v>-0.10293890843548774</x:v>
      </x:c>
      <x:c r="F929" s="33" t="n">
        <x:v>690</x:v>
      </x:c>
      <x:c r="G929" s="33" t="n">
        <x:v>161</x:v>
      </x:c>
      <x:c r="H929" s="26" t="n">
        <x:v>0.23333333333333334</x:v>
      </x:c>
      <x:c r="I929" s="12" t="n">
        <x:v>1</x:v>
      </x:c>
      <x:c r="J929" s="12" t="n">
        <x:v>22</x:v>
      </x:c>
      <x:c r="K929" s="12"/>
      <x:c r="L929" s="12"/>
      <x:c r="M929" s="12" t="str">
        <x:f>IF(K929="", "", MAX(0,IF(K929&lt;=20,100,IF(K929&lt;=30,85,IF(K929&lt;=40,70,IF(K929&lt;=50,55,IF(K929&lt;=60,40,20)))))-MIN(L929*5,20)))</x:f>
      </x:c>
      <x:c r="N929" s="12"/>
      <x:c r="O929" s="12"/>
      <x:c r="P929" s="12" t="str">
        <x:f>IF(OR(H929="",J929="",M929=""),"",ROUND(PERCENTRANK.INC($H$2:$H$941,H929)*35+J929*0.35+M929*0.30,0))</x:f>
      </x:c>
      <x:c r="Q929" s="12" t="str">
        <x:f>IF(P929="","",IF(P929&gt;=80,"ATTACK",IF(P929&gt;=65,"GROW",IF(P929&gt;=50,"PARTNER","WATCH"))))</x:f>
      </x:c>
      <x:c r="R929" s="12" t="str">
        <x:f>IF(Q929="","",IF(Q929="ATTACK","Grassroots + family acquisition",IF(Q929="GROW","Test local campaign",IF(Q929="PARTNER","Organisation-first partnership","Low priority / validate"))))</x:f>
      </x:c>
      <x:c r="S929" s="45" t="n">
        <x:v>14.3851523706424</x:v>
      </x:c>
      <x:c r="T929" t="str">
        <x:v>EXTENDED</x:v>
      </x:c>
      <x:c r="U929" s="32" t="n">
        <x:f>PERCENTRANK.INC($G$2:$G$941,G929)</x:f>
        <x:v>0.129</x:v>
      </x:c>
      <x:c r="V929" s="32" t="n">
        <x:f>PERCENTRANK.INC($H$2:$H$941,H929)</x:f>
        <x:v>0.142</x:v>
      </x:c>
      <x:c r="W929" t="n">
        <x:f>ROUND((U929*55+V929*45)*IF(S929&lt;=5,1,IF(S929&lt;=10,0.95,IF(S929&lt;=20,0.85,0.70))),0)</x:f>
        <x:v>11</x:v>
      </x:c>
      <x:c r="X929" t="n">
        <x:v>16</x:v>
      </x:c>
      <x:c r="Y929" t="str">
        <x:v>WATCH</x:v>
      </x:c>
      <x:c r="Z929" s="12" t="str">
        <x:v>Family + verified grassroots + straight-line geo only; transport not yet routed</x:v>
      </x:c>
      <x:c r="AA929" s="12"/>
      <x:c r="AB929" s="12"/>
      <x:c r="AC929" s="12"/>
      <x:c r="AD929" s="12"/>
      <x:c r="AE929" t="str">
        <x:v>Chelsea Women</x:v>
      </x:c>
      <x:c r="AF929" s="45" t="n">
        <x:v>6.310190857911353</x:v>
      </x:c>
      <x:c r="AG929" t="str">
        <x:v>Dulwich Hamlet Women</x:v>
      </x:c>
      <x:c r="AH929" s="45" t="n">
        <x:v>4.100201898228069</x:v>
      </x:c>
      <x:c r="AI929" t="n">
        <x:v>74</x:v>
      </x:c>
      <x:c r="AJ929" t="str">
        <x:v>MEDIUM</x:v>
      </x:c>
    </x:row>
    <x:row r="930">
      <x:c r="A930" s="12" t="str">
        <x:v>E01003933</x:v>
      </x:c>
      <x:c r="B930" s="12" t="str">
        <x:v>Southwark 034C</x:v>
      </x:c>
      <x:c r="C930" s="12" t="str">
        <x:v>Southwark</x:v>
      </x:c>
      <x:c r="D930" s="44" t="n">
        <x:v>51.493271739100194</x:v>
      </x:c>
      <x:c r="E930" s="44" t="n">
        <x:v>-0.10330330167069109</x:v>
      </x:c>
      <x:c r="F930" s="33" t="n">
        <x:v>1015</x:v>
      </x:c>
      <x:c r="G930" s="33" t="n">
        <x:v>149</x:v>
      </x:c>
      <x:c r="H930" s="26" t="n">
        <x:v>0.14679802955665025</x:v>
      </x:c>
      <x:c r="I930" s="12" t="n">
        <x:v>1</x:v>
      </x:c>
      <x:c r="J930" s="12" t="n">
        <x:v>29</x:v>
      </x:c>
      <x:c r="K930" s="12"/>
      <x:c r="L930" s="12"/>
      <x:c r="M930" s="12" t="str">
        <x:f>IF(K930="", "", MAX(0,IF(K930&lt;=20,100,IF(K930&lt;=30,85,IF(K930&lt;=40,70,IF(K930&lt;=50,55,IF(K930&lt;=60,40,20)))))-MIN(L930*5,20)))</x:f>
      </x:c>
      <x:c r="N930" s="12"/>
      <x:c r="O930" s="12"/>
      <x:c r="P930" s="12" t="str">
        <x:f>IF(OR(H930="",J930="",M930=""),"",ROUND(PERCENTRANK.INC($H$2:$H$941,H930)*35+J930*0.35+M930*0.30,0))</x:f>
      </x:c>
      <x:c r="Q930" s="12" t="str">
        <x:f>IF(P930="","",IF(P930&gt;=80,"ATTACK",IF(P930&gt;=65,"GROW",IF(P930&gt;=50,"PARTNER","WATCH"))))</x:f>
      </x:c>
      <x:c r="R930" s="12" t="str">
        <x:f>IF(Q930="","",IF(Q930="ATTACK","Grassroots + family acquisition",IF(Q930="GROW","Test local campaign",IF(Q930="PARTNER","Organisation-first partnership","Low priority / validate"))))</x:f>
      </x:c>
      <x:c r="S930" s="45" t="n">
        <x:v>14.131919507992103</x:v>
      </x:c>
      <x:c r="T930" t="str">
        <x:v>EXTENDED</x:v>
      </x:c>
      <x:c r="U930" s="32" t="n">
        <x:f>PERCENTRANK.INC($G$2:$G$941,G930)</x:f>
        <x:v>0.09</x:v>
      </x:c>
      <x:c r="V930" s="32" t="n">
        <x:f>PERCENTRANK.INC($H$2:$H$941,H930)</x:f>
        <x:v>0.023</x:v>
      </x:c>
      <x:c r="W930" t="n">
        <x:f>ROUND((U930*55+V930*45)*IF(S930&lt;=5,1,IF(S930&lt;=10,0.95,IF(S930&lt;=20,0.85,0.70))),0)</x:f>
        <x:v>5</x:v>
      </x:c>
      <x:c r="X930" t="n">
        <x:v>16</x:v>
      </x:c>
      <x:c r="Y930" t="str">
        <x:v>WATCH</x:v>
      </x:c>
      <x:c r="Z930" s="12" t="str">
        <x:v>Family + verified grassroots + straight-line geo only; transport not yet routed</x:v>
      </x:c>
      <x:c r="AA930" s="12"/>
      <x:c r="AB930" s="12"/>
      <x:c r="AC930" s="12"/>
      <x:c r="AD930" s="12"/>
      <x:c r="AE930" t="str">
        <x:v>Chelsea Women</x:v>
      </x:c>
      <x:c r="AF930" s="45" t="n">
        <x:v>6.20894922318815</x:v>
      </x:c>
      <x:c r="AG930" t="str">
        <x:v>Dulwich Hamlet Women</x:v>
      </x:c>
      <x:c r="AH930" s="45" t="n">
        <x:v>3.7965516982945497</x:v>
      </x:c>
      <x:c r="AI930" t="n">
        <x:v>74</x:v>
      </x:c>
      <x:c r="AJ930" t="str">
        <x:v>MEDIUM</x:v>
      </x:c>
    </x:row>
    <x:row r="931">
      <x:c r="A931" s="12" t="str">
        <x:v>E01032583</x:v>
      </x:c>
      <x:c r="B931" s="12" t="str">
        <x:v>Southwark 034D</x:v>
      </x:c>
      <x:c r="C931" s="12" t="str">
        <x:v>Southwark</x:v>
      </x:c>
      <x:c r="D931" s="44" t="n">
        <x:v>51.501880904705466</x:v>
      </x:c>
      <x:c r="E931" s="44" t="n">
        <x:v>-0.10351381769023846</x:v>
      </x:c>
      <x:c r="F931" s="33" t="n">
        <x:v>919</x:v>
      </x:c>
      <x:c r="G931" s="33" t="n">
        <x:v>193</x:v>
      </x:c>
      <x:c r="H931" s="26" t="n">
        <x:v>0.2100108813928183</x:v>
      </x:c>
      <x:c r="I931" s="12" t="n">
        <x:v>1</x:v>
      </x:c>
      <x:c r="J931" s="12" t="n">
        <x:v>22</x:v>
      </x:c>
      <x:c r="K931" s="12"/>
      <x:c r="L931" s="12"/>
      <x:c r="M931" s="12" t="str">
        <x:f>IF(K931="", "", MAX(0,IF(K931&lt;=20,100,IF(K931&lt;=30,85,IF(K931&lt;=40,70,IF(K931&lt;=50,55,IF(K931&lt;=60,40,20)))))-MIN(L931*5,20)))</x:f>
      </x:c>
      <x:c r="N931" s="12"/>
      <x:c r="O931" s="12"/>
      <x:c r="P931" s="12" t="str">
        <x:f>IF(OR(H931="",J931="",M931=""),"",ROUND(PERCENTRANK.INC($H$2:$H$941,H931)*35+J931*0.35+M931*0.30,0))</x:f>
      </x:c>
      <x:c r="Q931" s="12" t="str">
        <x:f>IF(P931="","",IF(P931&gt;=80,"ATTACK",IF(P931&gt;=65,"GROW",IF(P931&gt;=50,"PARTNER","WATCH"))))</x:f>
      </x:c>
      <x:c r="R931" s="12" t="str">
        <x:f>IF(Q931="","",IF(Q931="ATTACK","Grassroots + family acquisition",IF(Q931="GROW","Test local campaign",IF(Q931="PARTNER","Organisation-first partnership","Low priority / validate"))))</x:f>
      </x:c>
      <x:c r="S931" s="45" t="n">
        <x:v>14.920978067917718</x:v>
      </x:c>
      <x:c r="T931" t="str">
        <x:v>EXTENDED</x:v>
      </x:c>
      <x:c r="U931" s="32" t="n">
        <x:f>PERCENTRANK.INC($G$2:$G$941,G931)</x:f>
        <x:v>0.333</x:v>
      </x:c>
      <x:c r="V931" s="32" t="n">
        <x:f>PERCENTRANK.INC($H$2:$H$941,H931)</x:f>
        <x:v>0.083</x:v>
      </x:c>
      <x:c r="W931" t="n">
        <x:f>ROUND((U931*55+V931*45)*IF(S931&lt;=5,1,IF(S931&lt;=10,0.95,IF(S931&lt;=20,0.85,0.70))),0)</x:f>
        <x:v>19</x:v>
      </x:c>
      <x:c r="X931" t="n">
        <x:v>20</x:v>
      </x:c>
      <x:c r="Y931" t="str">
        <x:v>WATCH</x:v>
      </x:c>
      <x:c r="Z931" s="12" t="str">
        <x:v>Family + verified grassroots + straight-line geo only; transport not yet routed</x:v>
      </x:c>
      <x:c r="AA931" s="12"/>
      <x:c r="AB931" s="12"/>
      <x:c r="AC931" s="12"/>
      <x:c r="AD931" s="12"/>
      <x:c r="AE931" t="str">
        <x:v>Arsenal Women</x:v>
      </x:c>
      <x:c r="AF931" s="45" t="n">
        <x:v>5.921796485361491</x:v>
      </x:c>
      <x:c r="AG931" t="str">
        <x:v>Millwall Lionesses</x:v>
      </x:c>
      <x:c r="AH931" s="45" t="n">
        <x:v>4.406611082495811</x:v>
      </x:c>
      <x:c r="AI931" t="n">
        <x:v>85</x:v>
      </x:c>
      <x:c r="AJ931" t="str">
        <x:v>HIGH</x:v>
      </x:c>
    </x:row>
    <x:row r="932">
      <x:c r="A932" s="12" t="str">
        <x:v>E01032584</x:v>
      </x:c>
      <x:c r="B932" s="12" t="str">
        <x:v>Southwark 034E</x:v>
      </x:c>
      <x:c r="C932" s="12" t="str">
        <x:v>Southwark</x:v>
      </x:c>
      <x:c r="D932" s="44" t="n">
        <x:v>51.49963150891392</x:v>
      </x:c>
      <x:c r="E932" s="44" t="n">
        <x:v>-0.10732517242919347</x:v>
      </x:c>
      <x:c r="F932" s="33" t="n">
        <x:v>566</x:v>
      </x:c>
      <x:c r="G932" s="33" t="n">
        <x:v>121</x:v>
      </x:c>
      <x:c r="H932" s="26" t="n">
        <x:v>0.2137809187279152</x:v>
      </x:c>
      <x:c r="I932" s="12" t="n">
        <x:v>1</x:v>
      </x:c>
      <x:c r="J932" s="12" t="n">
        <x:v>22</x:v>
      </x:c>
      <x:c r="K932" s="12"/>
      <x:c r="L932" s="12"/>
      <x:c r="M932" s="12" t="str">
        <x:f>IF(K932="", "", MAX(0,IF(K932&lt;=20,100,IF(K932&lt;=30,85,IF(K932&lt;=40,70,IF(K932&lt;=50,55,IF(K932&lt;=60,40,20)))))-MIN(L932*5,20)))</x:f>
      </x:c>
      <x:c r="N932" s="12"/>
      <x:c r="O932" s="12"/>
      <x:c r="P932" s="12" t="str">
        <x:f>IF(OR(H932="",J932="",M932=""),"",ROUND(PERCENTRANK.INC($H$2:$H$941,H932)*35+J932*0.35+M932*0.30,0))</x:f>
      </x:c>
      <x:c r="Q932" s="12" t="str">
        <x:f>IF(P932="","",IF(P932&gt;=80,"ATTACK",IF(P932&gt;=65,"GROW",IF(P932&gt;=50,"PARTNER","WATCH"))))</x:f>
      </x:c>
      <x:c r="R932" s="12" t="str">
        <x:f>IF(Q932="","",IF(Q932="ATTACK","Grassroots + family acquisition",IF(Q932="GROW","Test local campaign",IF(Q932="PARTNER","Organisation-first partnership","Low priority / validate"))))</x:f>
      </x:c>
      <x:c r="S932" s="45" t="n">
        <x:v>14.867448101006657</x:v>
      </x:c>
      <x:c r="T932" t="str">
        <x:v>EXTENDED</x:v>
      </x:c>
      <x:c r="U932" s="32" t="n">
        <x:f>PERCENTRANK.INC($G$2:$G$941,G932)</x:f>
        <x:v>0.033</x:v>
      </x:c>
      <x:c r="V932" s="32" t="n">
        <x:f>PERCENTRANK.INC($H$2:$H$941,H932)</x:f>
        <x:v>0.088</x:v>
      </x:c>
      <x:c r="W932" t="n">
        <x:f>ROUND((U932*55+V932*45)*IF(S932&lt;=5,1,IF(S932&lt;=10,0.95,IF(S932&lt;=20,0.85,0.70))),0)</x:f>
        <x:v>5</x:v>
      </x:c>
      <x:c r="X932" t="n">
        <x:v>13</x:v>
      </x:c>
      <x:c r="Y932" t="str">
        <x:v>WATCH</x:v>
      </x:c>
      <x:c r="Z932" s="12" t="str">
        <x:v>Family + verified grassroots + straight-line geo only; transport not yet routed</x:v>
      </x:c>
      <x:c r="AA932" s="12"/>
      <x:c r="AB932" s="12"/>
      <x:c r="AC932" s="12"/>
      <x:c r="AD932" s="12"/>
      <x:c r="AE932" t="str">
        <x:v>Chelsea Women</x:v>
      </x:c>
      <x:c r="AF932" s="45" t="n">
        <x:v>6.128695502597635</x:v>
      </x:c>
      <x:c r="AG932" t="str">
        <x:v>Dulwich Hamlet Women</x:v>
      </x:c>
      <x:c r="AH932" s="45" t="n">
        <x:v>4.5564921065853765</x:v>
      </x:c>
      <x:c r="AI932" t="n">
        <x:v>74</x:v>
      </x:c>
      <x:c r="AJ932" t="str">
        <x:v>MEDIUM</x:v>
      </x:c>
    </x:row>
    <x:row r="933">
      <x:c r="A933" s="12" t="str">
        <x:v>E01033884</x:v>
      </x:c>
      <x:c r="B933" s="12" t="str">
        <x:v>Southwark 035A</x:v>
      </x:c>
      <x:c r="C933" s="12" t="str">
        <x:v>Southwark</x:v>
      </x:c>
      <x:c r="D933" s="44" t="n">
        <x:v>51.50326638355861</x:v>
      </x:c>
      <x:c r="E933" s="44" t="n">
        <x:v>-0.0792554156160773</x:v>
      </x:c>
      <x:c r="F933" s="33" t="n">
        <x:v>593</x:v>
      </x:c>
      <x:c r="G933" s="33" t="n">
        <x:v>69</x:v>
      </x:c>
      <x:c r="H933" s="26" t="n">
        <x:v>0.1163575042158516</x:v>
      </x:c>
      <x:c r="I933" s="12" t="n">
        <x:v>1</x:v>
      </x:c>
      <x:c r="J933" s="12" t="n">
        <x:v>29</x:v>
      </x:c>
      <x:c r="K933" s="12"/>
      <x:c r="L933" s="12"/>
      <x:c r="M933" s="12" t="str">
        <x:f>IF(K933="", "", MAX(0,IF(K933&lt;=20,100,IF(K933&lt;=30,85,IF(K933&lt;=40,70,IF(K933&lt;=50,55,IF(K933&lt;=60,40,20)))))-MIN(L933*5,20)))</x:f>
      </x:c>
      <x:c r="N933" s="12"/>
      <x:c r="O933" s="12"/>
      <x:c r="P933" s="12" t="str">
        <x:f>IF(OR(H933="",J933="",M933=""),"",ROUND(PERCENTRANK.INC($H$2:$H$941,H933)*35+J933*0.35+M933*0.30,0))</x:f>
      </x:c>
      <x:c r="Q933" s="12" t="str">
        <x:f>IF(P933="","",IF(P933&gt;=80,"ATTACK",IF(P933&gt;=65,"GROW",IF(P933&gt;=50,"PARTNER","WATCH"))))</x:f>
      </x:c>
      <x:c r="R933" s="12" t="str">
        <x:f>IF(Q933="","",IF(Q933="ATTACK","Grassroots + family acquisition",IF(Q933="GROW","Test local campaign",IF(Q933="PARTNER","Organisation-first partnership","Low priority / validate"))))</x:f>
      </x:c>
      <x:c r="S933" s="45" t="n">
        <x:v>14.17874661347833</x:v>
      </x:c>
      <x:c r="T933" t="str">
        <x:v>EXTENDED</x:v>
      </x:c>
      <x:c r="U933" s="32" t="n">
        <x:f>PERCENTRANK.INC($G$2:$G$941,G933)</x:f>
        <x:v>0.007</x:v>
      </x:c>
      <x:c r="V933" s="32" t="n">
        <x:f>PERCENTRANK.INC($H$2:$H$941,H933)</x:f>
        <x:v>0.01</x:v>
      </x:c>
      <x:c r="W933" t="n">
        <x:f>ROUND((U933*55+V933*45)*IF(S933&lt;=5,1,IF(S933&lt;=10,0.95,IF(S933&lt;=20,0.85,0.70))),0)</x:f>
        <x:v>1</x:v>
      </x:c>
      <x:c r="X933" t="n">
        <x:v>13</x:v>
      </x:c>
      <x:c r="Y933" t="str">
        <x:v>WATCH</x:v>
      </x:c>
      <x:c r="Z933" s="12" t="str">
        <x:v>Family + verified grassroots + straight-line geo only; transport not yet routed</x:v>
      </x:c>
      <x:c r="AA933" s="12"/>
      <x:c r="AB933" s="12"/>
      <x:c r="AC933" s="12"/>
      <x:c r="AD933" s="12"/>
      <x:c r="AE933" t="str">
        <x:v>Arsenal Women</x:v>
      </x:c>
      <x:c r="AF933" s="45" t="n">
        <x:v>6.100839025054269</x:v>
      </x:c>
      <x:c r="AG933" t="str">
        <x:v>Millwall Lionesses</x:v>
      </x:c>
      <x:c r="AH933" s="45" t="n">
        <x:v>2.7208656444734323</x:v>
      </x:c>
      <x:c r="AI933" t="n">
        <x:v>78</x:v>
      </x:c>
      <x:c r="AJ933" t="str">
        <x:v>HIGH</x:v>
      </x:c>
    </x:row>
    <x:row r="934">
      <x:c r="A934" s="12" t="str">
        <x:v>E01032640</x:v>
      </x:c>
      <x:c r="B934" s="12" t="str">
        <x:v>Southwark 035B</x:v>
      </x:c>
      <x:c r="C934" s="12" t="str">
        <x:v>Southwark</x:v>
      </x:c>
      <x:c r="D934" s="44" t="n">
        <x:v>51.503263817699136</x:v>
      </x:c>
      <x:c r="E934" s="44" t="n">
        <x:v>-0.07475018133393359</x:v>
      </x:c>
      <x:c r="F934" s="33" t="n">
        <x:v>611</x:v>
      </x:c>
      <x:c r="G934" s="33" t="n">
        <x:v>43</x:v>
      </x:c>
      <x:c r="H934" s="26" t="n">
        <x:v>0.07037643207855974</x:v>
      </x:c>
      <x:c r="I934" s="12" t="n">
        <x:v>1</x:v>
      </x:c>
      <x:c r="J934" s="12" t="n">
        <x:v>29</x:v>
      </x:c>
      <x:c r="K934" s="12"/>
      <x:c r="L934" s="12"/>
      <x:c r="M934" s="12" t="str">
        <x:f>IF(K934="", "", MAX(0,IF(K934&lt;=20,100,IF(K934&lt;=30,85,IF(K934&lt;=40,70,IF(K934&lt;=50,55,IF(K934&lt;=60,40,20)))))-MIN(L934*5,20)))</x:f>
      </x:c>
      <x:c r="N934" s="12"/>
      <x:c r="O934" s="12"/>
      <x:c r="P934" s="12" t="str">
        <x:f>IF(OR(H934="",J934="",M934=""),"",ROUND(PERCENTRANK.INC($H$2:$H$941,H934)*35+J934*0.35+M934*0.30,0))</x:f>
      </x:c>
      <x:c r="Q934" s="12" t="str">
        <x:f>IF(P934="","",IF(P934&gt;=80,"ATTACK",IF(P934&gt;=65,"GROW",IF(P934&gt;=50,"PARTNER","WATCH"))))</x:f>
      </x:c>
      <x:c r="R934" s="12" t="str">
        <x:f>IF(Q934="","",IF(Q934="ATTACK","Grassroots + family acquisition",IF(Q934="GROW","Test local campaign",IF(Q934="PARTNER","Organisation-first partnership","Low priority / validate"))))</x:f>
      </x:c>
      <x:c r="S934" s="45" t="n">
        <x:v>14.033216502059224</x:v>
      </x:c>
      <x:c r="T934" t="str">
        <x:v>EXTENDED</x:v>
      </x:c>
      <x:c r="U934" s="32" t="n">
        <x:f>PERCENTRANK.INC($G$2:$G$941,G934)</x:f>
        <x:v>0.003</x:v>
      </x:c>
      <x:c r="V934" s="32" t="n">
        <x:f>PERCENTRANK.INC($H$2:$H$941,H934)</x:f>
        <x:v>0.003</x:v>
      </x:c>
      <x:c r="W934" t="n">
        <x:f>ROUND((U934*55+V934*45)*IF(S934&lt;=5,1,IF(S934&lt;=10,0.95,IF(S934&lt;=20,0.85,0.70))),0)</x:f>
        <x:v>0</x:v>
      </x:c>
      <x:c r="X934" t="n">
        <x:v>13</x:v>
      </x:c>
      <x:c r="Y934" t="str">
        <x:v>WATCH</x:v>
      </x:c>
      <x:c r="Z934" s="12" t="str">
        <x:v>Family + verified grassroots + straight-line geo only; transport not yet routed</x:v>
      </x:c>
      <x:c r="AA934" s="12"/>
      <x:c r="AB934" s="12"/>
      <x:c r="AC934" s="12"/>
      <x:c r="AD934" s="12"/>
      <x:c r="AE934" t="str">
        <x:v>Arsenal Women</x:v>
      </x:c>
      <x:c r="AF934" s="45" t="n">
        <x:v>6.2110640271633795</x:v>
      </x:c>
      <x:c r="AG934" t="str">
        <x:v>Millwall Lionesses</x:v>
      </x:c>
      <x:c r="AH934" s="45" t="n">
        <x:v>2.4115511142135433</x:v>
      </x:c>
      <x:c r="AI934" t="n">
        <x:v>78</x:v>
      </x:c>
      <x:c r="AJ934" t="str">
        <x:v>HIGH</x:v>
      </x:c>
    </x:row>
    <x:row r="935">
      <x:c r="A935" s="12" t="str">
        <x:v>E01032834</x:v>
      </x:c>
      <x:c r="B935" s="12" t="str">
        <x:v>Southwark 035C</x:v>
      </x:c>
      <x:c r="C935" s="12" t="str">
        <x:v>Southwark</x:v>
      </x:c>
      <x:c r="D935" s="44" t="n">
        <x:v>51.50169276973024</x:v>
      </x:c>
      <x:c r="E935" s="44" t="n">
        <x:v>-0.07227695649536063</x:v>
      </x:c>
      <x:c r="F935" s="33" t="n">
        <x:v>620</x:v>
      </x:c>
      <x:c r="G935" s="33" t="n">
        <x:v>33</x:v>
      </x:c>
      <x:c r="H935" s="26" t="n">
        <x:v>0.0532258064516129</x:v>
      </x:c>
      <x:c r="I935" s="12" t="n">
        <x:v>1</x:v>
      </x:c>
      <x:c r="J935" s="12" t="n">
        <x:v>36</x:v>
      </x:c>
      <x:c r="K935" s="12"/>
      <x:c r="L935" s="12"/>
      <x:c r="M935" s="12" t="str">
        <x:f>IF(K935="", "", MAX(0,IF(K935&lt;=20,100,IF(K935&lt;=30,85,IF(K935&lt;=40,70,IF(K935&lt;=50,55,IF(K935&lt;=60,40,20)))))-MIN(L935*5,20)))</x:f>
      </x:c>
      <x:c r="N935" s="12"/>
      <x:c r="O935" s="12"/>
      <x:c r="P935" s="12" t="str">
        <x:f>IF(OR(H935="",J935="",M935=""),"",ROUND(PERCENTRANK.INC($H$2:$H$941,H935)*35+J935*0.35+M935*0.30,0))</x:f>
      </x:c>
      <x:c r="Q935" s="12" t="str">
        <x:f>IF(P935="","",IF(P935&gt;=80,"ATTACK",IF(P935&gt;=65,"GROW",IF(P935&gt;=50,"PARTNER","WATCH"))))</x:f>
      </x:c>
      <x:c r="R935" s="12" t="str">
        <x:f>IF(Q935="","",IF(Q935="ATTACK","Grassroots + family acquisition",IF(Q935="GROW","Test local campaign",IF(Q935="PARTNER","Organisation-first partnership","Low priority / validate"))))</x:f>
      </x:c>
      <x:c r="S935" s="45" t="n">
        <x:v>13.799777795070247</x:v>
      </x:c>
      <x:c r="T935" t="str">
        <x:v>EXTENDED</x:v>
      </x:c>
      <x:c r="U935" s="32" t="n">
        <x:f>PERCENTRANK.INC($G$2:$G$941,G935)</x:f>
        <x:v>0.001</x:v>
      </x:c>
      <x:c r="V935" s="32" t="n">
        <x:f>PERCENTRANK.INC($H$2:$H$941,H935)</x:f>
        <x:v>0.001</x:v>
      </x:c>
      <x:c r="W935" t="n">
        <x:f>ROUND((U935*55+V935*45)*IF(S935&lt;=5,1,IF(S935&lt;=10,0.95,IF(S935&lt;=20,0.85,0.70))),0)</x:f>
        <x:v>0</x:v>
      </x:c>
      <x:c r="X935" t="n">
        <x:v>16</x:v>
      </x:c>
      <x:c r="Y935" t="str">
        <x:v>WATCH</x:v>
      </x:c>
      <x:c r="Z935" s="12" t="str">
        <x:v>Family + verified grassroots + straight-line geo only; transport not yet routed</x:v>
      </x:c>
      <x:c r="AA935" s="12"/>
      <x:c r="AB935" s="12"/>
      <x:c r="AC935" s="12"/>
      <x:c r="AD935" s="12"/>
      <x:c r="AE935" t="str">
        <x:v>Arsenal Women</x:v>
      </x:c>
      <x:c r="AF935" s="45" t="n">
        <x:v>6.437835056357262</x:v>
      </x:c>
      <x:c r="AG935" t="str">
        <x:v>Millwall Lionesses</x:v>
      </x:c>
      <x:c r="AH935" s="45" t="n">
        <x:v>2.273732622020941</x:v>
      </x:c>
      <x:c r="AI935" t="n">
        <x:v>78</x:v>
      </x:c>
      <x:c r="AJ935" t="str">
        <x:v>HIGH</x:v>
      </x:c>
    </x:row>
    <x:row r="936">
      <x:c r="A936" s="12" t="str">
        <x:v>E01032638</x:v>
      </x:c>
      <x:c r="B936" s="12" t="str">
        <x:v>Southwark 035D</x:v>
      </x:c>
      <x:c r="C936" s="12" t="str">
        <x:v>Southwark</x:v>
      </x:c>
      <x:c r="D936" s="44" t="n">
        <x:v>51.50128736332372</x:v>
      </x:c>
      <x:c r="E936" s="44" t="n">
        <x:v>-0.0695224707247822</x:v>
      </x:c>
      <x:c r="F936" s="33" t="n">
        <x:v>596</x:v>
      </x:c>
      <x:c r="G936" s="33" t="n">
        <x:v>55</x:v>
      </x:c>
      <x:c r="H936" s="26" t="n">
        <x:v>0.09228187919463088</x:v>
      </x:c>
      <x:c r="I936" s="12" t="n">
        <x:v>1</x:v>
      </x:c>
      <x:c r="J936" s="12" t="n">
        <x:v>36</x:v>
      </x:c>
      <x:c r="K936" s="12"/>
      <x:c r="L936" s="12"/>
      <x:c r="M936" s="12" t="str">
        <x:f>IF(K936="", "", MAX(0,IF(K936&lt;=20,100,IF(K936&lt;=30,85,IF(K936&lt;=40,70,IF(K936&lt;=50,55,IF(K936&lt;=60,40,20)))))-MIN(L936*5,20)))</x:f>
      </x:c>
      <x:c r="N936" s="12"/>
      <x:c r="O936" s="12"/>
      <x:c r="P936" s="12" t="str">
        <x:f>IF(OR(H936="",J936="",M936=""),"",ROUND(PERCENTRANK.INC($H$2:$H$941,H936)*35+J936*0.35+M936*0.30,0))</x:f>
      </x:c>
      <x:c r="Q936" s="12" t="str">
        <x:f>IF(P936="","",IF(P936&gt;=80,"ATTACK",IF(P936&gt;=65,"GROW",IF(P936&gt;=50,"PARTNER","WATCH"))))</x:f>
      </x:c>
      <x:c r="R936" s="12" t="str">
        <x:f>IF(Q936="","",IF(Q936="ATTACK","Grassroots + family acquisition",IF(Q936="GROW","Test local campaign",IF(Q936="PARTNER","Organisation-first partnership","Low priority / validate"))))</x:f>
      </x:c>
      <x:c r="S936" s="45" t="n">
        <x:v>13.674132118200264</x:v>
      </x:c>
      <x:c r="T936" t="str">
        <x:v>EXTENDED</x:v>
      </x:c>
      <x:c r="U936" s="32" t="n">
        <x:f>PERCENTRANK.INC($G$2:$G$941,G936)</x:f>
        <x:v>0.004</x:v>
      </x:c>
      <x:c r="V936" s="32" t="n">
        <x:f>PERCENTRANK.INC($H$2:$H$941,H936)</x:f>
        <x:v>0.006</x:v>
      </x:c>
      <x:c r="W936" t="n">
        <x:f>ROUND((U936*55+V936*45)*IF(S936&lt;=5,1,IF(S936&lt;=10,0.95,IF(S936&lt;=20,0.85,0.70))),0)</x:f>
        <x:v>0</x:v>
      </x:c>
      <x:c r="X936" t="n">
        <x:v>16</x:v>
      </x:c>
      <x:c r="Y936" t="str">
        <x:v>WATCH</x:v>
      </x:c>
      <x:c r="Z936" s="12" t="str">
        <x:v>Family + verified grassroots + straight-line geo only; transport not yet routed</x:v>
      </x:c>
      <x:c r="AA936" s="12"/>
      <x:c r="AB936" s="12"/>
      <x:c r="AC936" s="12"/>
      <x:c r="AD936" s="12"/>
      <x:c r="AE936" t="str">
        <x:v>Arsenal Women</x:v>
      </x:c>
      <x:c r="AF936" s="45" t="n">
        <x:v>6.555254607615022</x:v>
      </x:c>
      <x:c r="AG936" t="str">
        <x:v>Millwall Lionesses</x:v>
      </x:c>
      <x:c r="AH936" s="45" t="n">
        <x:v>2.0992918648018755</x:v>
      </x:c>
      <x:c r="AI936" t="n">
        <x:v>78</x:v>
      </x:c>
      <x:c r="AJ936" t="str">
        <x:v>HIGH</x:v>
      </x:c>
    </x:row>
    <x:row r="937">
      <x:c r="A937" s="12" t="str">
        <x:v>E01032637</x:v>
      </x:c>
      <x:c r="B937" s="12" t="str">
        <x:v>Southwark 035E</x:v>
      </x:c>
      <x:c r="C937" s="12" t="str">
        <x:v>Southwark</x:v>
      </x:c>
      <x:c r="D937" s="44" t="n">
        <x:v>51.501656465608335</x:v>
      </x:c>
      <x:c r="E937" s="44" t="n">
        <x:v>-0.07401823455591587</x:v>
      </x:c>
      <x:c r="F937" s="33" t="n">
        <x:v>567</x:v>
      </x:c>
      <x:c r="G937" s="33" t="n">
        <x:v>30</x:v>
      </x:c>
      <x:c r="H937" s="26" t="n">
        <x:v>0.05291005291005291</x:v>
      </x:c>
      <x:c r="I937" s="12" t="n">
        <x:v>1</x:v>
      </x:c>
      <x:c r="J937" s="12" t="n">
        <x:v>36</x:v>
      </x:c>
      <x:c r="K937" s="12"/>
      <x:c r="L937" s="12"/>
      <x:c r="M937" s="12" t="str">
        <x:f>IF(K937="", "", MAX(0,IF(K937&lt;=20,100,IF(K937&lt;=30,85,IF(K937&lt;=40,70,IF(K937&lt;=50,55,IF(K937&lt;=60,40,20)))))-MIN(L937*5,20)))</x:f>
      </x:c>
      <x:c r="N937" s="12"/>
      <x:c r="O937" s="12"/>
      <x:c r="P937" s="12" t="str">
        <x:f>IF(OR(H937="",J937="",M937=""),"",ROUND(PERCENTRANK.INC($H$2:$H$941,H937)*35+J937*0.35+M937*0.30,0))</x:f>
      </x:c>
      <x:c r="Q937" s="12" t="str">
        <x:f>IF(P937="","",IF(P937&gt;=80,"ATTACK",IF(P937&gt;=65,"GROW",IF(P937&gt;=50,"PARTNER","WATCH"))))</x:f>
      </x:c>
      <x:c r="R937" s="12" t="str">
        <x:f>IF(Q937="","",IF(Q937="ATTACK","Grassroots + family acquisition",IF(Q937="GROW","Test local campaign",IF(Q937="PARTNER","Organisation-first partnership","Low priority / validate"))))</x:f>
      </x:c>
      <x:c r="S937" s="45" t="n">
        <x:v>13.851144380532542</x:v>
      </x:c>
      <x:c r="T937" t="str">
        <x:v>EXTENDED</x:v>
      </x:c>
      <x:c r="U937" s="32" t="n">
        <x:f>PERCENTRANK.INC($G$2:$G$941,G937)</x:f>
        <x:v>0</x:v>
      </x:c>
      <x:c r="V937" s="32" t="n">
        <x:f>PERCENTRANK.INC($H$2:$H$941,H937)</x:f>
        <x:v>0</x:v>
      </x:c>
      <x:c r="W937" t="n">
        <x:f>ROUND((U937*55+V937*45)*IF(S937&lt;=5,1,IF(S937&lt;=10,0.95,IF(S937&lt;=20,0.85,0.70))),0)</x:f>
        <x:v>0</x:v>
      </x:c>
      <x:c r="X937" t="n">
        <x:v>16</x:v>
      </x:c>
      <x:c r="Y937" t="str">
        <x:v>WATCH</x:v>
      </x:c>
      <x:c r="Z937" s="12" t="str">
        <x:v>Family + verified grassroots + straight-line geo only; transport not yet routed</x:v>
      </x:c>
      <x:c r="AA937" s="12"/>
      <x:c r="AB937" s="12"/>
      <x:c r="AC937" s="12"/>
      <x:c r="AD937" s="12"/>
      <x:c r="AE937" t="str">
        <x:v>Arsenal Women</x:v>
      </x:c>
      <x:c r="AF937" s="45" t="n">
        <x:v>6.395790155106739</x:v>
      </x:c>
      <x:c r="AG937" t="str">
        <x:v>Millwall Lionesses</x:v>
      </x:c>
      <x:c r="AH937" s="45" t="n">
        <x:v>2.3923308259194775</x:v>
      </x:c>
      <x:c r="AI937" t="n">
        <x:v>78</x:v>
      </x:c>
      <x:c r="AJ937" t="str">
        <x:v>HIGH</x:v>
      </x:c>
    </x:row>
    <x:row r="938">
      <x:c r="A938" s="12" t="str">
        <x:v>E01033885</x:v>
      </x:c>
      <x:c r="B938" s="12" t="str">
        <x:v>Southwark 036A</x:v>
      </x:c>
      <x:c r="C938" s="12" t="str">
        <x:v>Southwark</x:v>
      </x:c>
      <x:c r="D938" s="44" t="n">
        <x:v>51.50081732879131</x:v>
      </x:c>
      <x:c r="E938" s="44" t="n">
        <x:v>-0.0753815135560951</x:v>
      </x:c>
      <x:c r="F938" s="33" t="n">
        <x:v>628</x:v>
      </x:c>
      <x:c r="G938" s="33" t="n">
        <x:v>126</x:v>
      </x:c>
      <x:c r="H938" s="26" t="n">
        <x:v>0.20063694267515925</x:v>
      </x:c>
      <x:c r="I938" s="12" t="n">
        <x:v>1</x:v>
      </x:c>
      <x:c r="J938" s="12" t="n">
        <x:v>36</x:v>
      </x:c>
      <x:c r="K938" s="12"/>
      <x:c r="L938" s="12"/>
      <x:c r="M938" s="12" t="str">
        <x:f>IF(K938="", "", MAX(0,IF(K938&lt;=20,100,IF(K938&lt;=30,85,IF(K938&lt;=40,70,IF(K938&lt;=50,55,IF(K938&lt;=60,40,20)))))-MIN(L938*5,20)))</x:f>
      </x:c>
      <x:c r="N938" s="12"/>
      <x:c r="O938" s="12"/>
      <x:c r="P938" s="12" t="str">
        <x:f>IF(OR(H938="",J938="",M938=""),"",ROUND(PERCENTRANK.INC($H$2:$H$941,H938)*35+J938*0.35+M938*0.30,0))</x:f>
      </x:c>
      <x:c r="Q938" s="12" t="str">
        <x:f>IF(P938="","",IF(P938&gt;=80,"ATTACK",IF(P938&gt;=65,"GROW",IF(P938&gt;=50,"PARTNER","WATCH"))))</x:f>
      </x:c>
      <x:c r="R938" s="12" t="str">
        <x:f>IF(Q938="","",IF(Q938="ATTACK","Grassroots + family acquisition",IF(Q938="GROW","Test local campaign",IF(Q938="PARTNER","Organisation-first partnership","Low priority / validate"))))</x:f>
      </x:c>
      <x:c r="S938" s="45" t="n">
        <x:v>13.812213614840406</x:v>
      </x:c>
      <x:c r="T938" t="str">
        <x:v>EXTENDED</x:v>
      </x:c>
      <x:c r="U938" s="32" t="n">
        <x:f>PERCENTRANK.INC($G$2:$G$941,G938)</x:f>
        <x:v>0.042</x:v>
      </x:c>
      <x:c r="V938" s="32" t="n">
        <x:f>PERCENTRANK.INC($H$2:$H$941,H938)</x:f>
        <x:v>0.07</x:v>
      </x:c>
      <x:c r="W938" t="n">
        <x:f>ROUND((U938*55+V938*45)*IF(S938&lt;=5,1,IF(S938&lt;=10,0.95,IF(S938&lt;=20,0.85,0.70))),0)</x:f>
        <x:v>5</x:v>
      </x:c>
      <x:c r="X938" t="n">
        <x:v>19</x:v>
      </x:c>
      <x:c r="Y938" t="str">
        <x:v>WATCH</x:v>
      </x:c>
      <x:c r="Z938" s="12" t="str">
        <x:v>Family + verified grassroots + straight-line geo only; transport not yet routed</x:v>
      </x:c>
      <x:c r="AA938" s="12"/>
      <x:c r="AB938" s="12"/>
      <x:c r="AC938" s="12"/>
      <x:c r="AD938" s="12"/>
      <x:c r="AE938" t="str">
        <x:v>Arsenal Women</x:v>
      </x:c>
      <x:c r="AF938" s="45" t="n">
        <x:v>6.44850144349174</x:v>
      </x:c>
      <x:c r="AG938" t="str">
        <x:v>Millwall Lionesses</x:v>
      </x:c>
      <x:c r="AH938" s="45" t="n">
        <x:v>2.505172833124463</x:v>
      </x:c>
      <x:c r="AI938" t="n">
        <x:v>78</x:v>
      </x:c>
      <x:c r="AJ938" t="str">
        <x:v>HIGH</x:v>
      </x:c>
    </x:row>
    <x:row r="939">
      <x:c r="A939" s="12" t="str">
        <x:v>E01032646</x:v>
      </x:c>
      <x:c r="B939" s="12" t="str">
        <x:v>Southwark 036B</x:v>
      </x:c>
      <x:c r="C939" s="12" t="str">
        <x:v>Southwark</x:v>
      </x:c>
      <x:c r="D939" s="44" t="n">
        <x:v>51.5003571477248</x:v>
      </x:c>
      <x:c r="E939" s="44" t="n">
        <x:v>-0.08092676401045569</x:v>
      </x:c>
      <x:c r="F939" s="33" t="n">
        <x:v>807</x:v>
      </x:c>
      <x:c r="G939" s="33" t="n">
        <x:v>94</x:v>
      </x:c>
      <x:c r="H939" s="26" t="n">
        <x:v>0.11648079306071871</x:v>
      </x:c>
      <x:c r="I939" s="12" t="n">
        <x:v>1</x:v>
      </x:c>
      <x:c r="J939" s="12" t="n">
        <x:v>36</x:v>
      </x:c>
      <x:c r="K939" s="12"/>
      <x:c r="L939" s="12"/>
      <x:c r="M939" s="12" t="str">
        <x:f>IF(K939="", "", MAX(0,IF(K939&lt;=20,100,IF(K939&lt;=30,85,IF(K939&lt;=40,70,IF(K939&lt;=50,55,IF(K939&lt;=60,40,20)))))-MIN(L939*5,20)))</x:f>
      </x:c>
      <x:c r="N939" s="12"/>
      <x:c r="O939" s="12"/>
      <x:c r="P939" s="12" t="str">
        <x:f>IF(OR(H939="",J939="",M939=""),"",ROUND(PERCENTRANK.INC($H$2:$H$941,H939)*35+J939*0.35+M939*0.30,0))</x:f>
      </x:c>
      <x:c r="Q939" s="12" t="str">
        <x:f>IF(P939="","",IF(P939&gt;=80,"ATTACK",IF(P939&gt;=65,"GROW",IF(P939&gt;=50,"PARTNER","WATCH"))))</x:f>
      </x:c>
      <x:c r="R939" s="12" t="str">
        <x:f>IF(Q939="","",IF(Q939="ATTACK","Grassroots + family acquisition",IF(Q939="GROW","Test local campaign",IF(Q939="PARTNER","Organisation-first partnership","Low priority / validate"))))</x:f>
      </x:c>
      <x:c r="S939" s="45" t="n">
        <x:v>13.951228352788071</x:v>
      </x:c>
      <x:c r="T939" t="str">
        <x:v>EXTENDED</x:v>
      </x:c>
      <x:c r="U939" s="32" t="n">
        <x:f>PERCENTRANK.INC($G$2:$G$941,G939)</x:f>
        <x:v>0.015</x:v>
      </x:c>
      <x:c r="V939" s="32" t="n">
        <x:f>PERCENTRANK.INC($H$2:$H$941,H939)</x:f>
        <x:v>0.011</x:v>
      </x:c>
      <x:c r="W939" t="n">
        <x:f>ROUND((U939*55+V939*45)*IF(S939&lt;=5,1,IF(S939&lt;=10,0.95,IF(S939&lt;=20,0.85,0.70))),0)</x:f>
        <x:v>1</x:v>
      </x:c>
      <x:c r="X939" t="n">
        <x:v>17</x:v>
      </x:c>
      <x:c r="Y939" t="str">
        <x:v>WATCH</x:v>
      </x:c>
      <x:c r="Z939" s="12" t="str">
        <x:v>Family + verified grassroots + straight-line geo only; transport not yet routed</x:v>
      </x:c>
      <x:c r="AA939" s="12"/>
      <x:c r="AB939" s="12"/>
      <x:c r="AC939" s="12"/>
      <x:c r="AD939" s="12"/>
      <x:c r="AE939" t="str">
        <x:v>Arsenal Women</x:v>
      </x:c>
      <x:c r="AF939" s="45" t="n">
        <x:v>6.371631031494929</x:v>
      </x:c>
      <x:c r="AG939" t="str">
        <x:v>Millwall Lionesses</x:v>
      </x:c>
      <x:c r="AH939" s="45" t="n">
        <x:v>2.890484081878159</x:v>
      </x:c>
      <x:c r="AI939" t="n">
        <x:v>78</x:v>
      </x:c>
      <x:c r="AJ939" t="str">
        <x:v>HIGH</x:v>
      </x:c>
    </x:row>
    <x:row r="940">
      <x:c r="A940" s="12" t="str">
        <x:v>E01032803</x:v>
      </x:c>
      <x:c r="B940" s="12" t="str">
        <x:v>Southwark 036C</x:v>
      </x:c>
      <x:c r="C940" s="12" t="str">
        <x:v>Southwark</x:v>
      </x:c>
      <x:c r="D940" s="44" t="n">
        <x:v>51.499390207312814</x:v>
      </x:c>
      <x:c r="E940" s="44" t="n">
        <x:v>-0.08410097445870166</x:v>
      </x:c>
      <x:c r="F940" s="33" t="n">
        <x:v>788</x:v>
      </x:c>
      <x:c r="G940" s="33" t="n">
        <x:v>104</x:v>
      </x:c>
      <x:c r="H940" s="26" t="n">
        <x:v>0.1319796954314721</x:v>
      </x:c>
      <x:c r="I940" s="12" t="n">
        <x:v>1</x:v>
      </x:c>
      <x:c r="J940" s="12" t="n">
        <x:v>36</x:v>
      </x:c>
      <x:c r="K940" s="12"/>
      <x:c r="L940" s="12"/>
      <x:c r="M940" s="12" t="str">
        <x:f>IF(K940="", "", MAX(0,IF(K940&lt;=20,100,IF(K940&lt;=30,85,IF(K940&lt;=40,70,IF(K940&lt;=50,55,IF(K940&lt;=60,40,20)))))-MIN(L940*5,20)))</x:f>
      </x:c>
      <x:c r="N940" s="12"/>
      <x:c r="O940" s="12"/>
      <x:c r="P940" s="12" t="str">
        <x:f>IF(OR(H940="",J940="",M940=""),"",ROUND(PERCENTRANK.INC($H$2:$H$941,H940)*35+J940*0.35+M940*0.30,0))</x:f>
      </x:c>
      <x:c r="Q940" s="12" t="str">
        <x:f>IF(P940="","",IF(P940&gt;=80,"ATTACK",IF(P940&gt;=65,"GROW",IF(P940&gt;=50,"PARTNER","WATCH"))))</x:f>
      </x:c>
      <x:c r="R940" s="12" t="str">
        <x:f>IF(Q940="","",IF(Q940="ATTACK","Grassroots + family acquisition",IF(Q940="GROW","Test local campaign",IF(Q940="PARTNER","Organisation-first partnership","Low priority / validate"))))</x:f>
      </x:c>
      <x:c r="S940" s="45" t="n">
        <x:v>13.967464317516312</x:v>
      </x:c>
      <x:c r="T940" t="str">
        <x:v>EXTENDED</x:v>
      </x:c>
      <x:c r="U940" s="32" t="n">
        <x:f>PERCENTRANK.INC($G$2:$G$941,G940)</x:f>
        <x:v>0.022</x:v>
      </x:c>
      <x:c r="V940" s="32" t="n">
        <x:f>PERCENTRANK.INC($H$2:$H$941,H940)</x:f>
        <x:v>0.02</x:v>
      </x:c>
      <x:c r="W940" t="n">
        <x:f>ROUND((U940*55+V940*45)*IF(S940&lt;=5,1,IF(S940&lt;=10,0.95,IF(S940&lt;=20,0.85,0.70))),0)</x:f>
        <x:v>2</x:v>
      </x:c>
      <x:c r="X940" t="n">
        <x:v>17</x:v>
      </x:c>
      <x:c r="Y940" t="str">
        <x:v>WATCH</x:v>
      </x:c>
      <x:c r="Z940" s="12" t="str">
        <x:v>Family + verified grassroots + straight-line geo only; transport not yet routed</x:v>
      </x:c>
      <x:c r="AA940" s="12"/>
      <x:c r="AB940" s="12"/>
      <x:c r="AC940" s="12"/>
      <x:c r="AD940" s="12"/>
      <x:c r="AE940" t="str">
        <x:v>Arsenal Women</x:v>
      </x:c>
      <x:c r="AF940" s="45" t="n">
        <x:v>6.413315523753823</x:v>
      </x:c>
      <x:c r="AG940" t="str">
        <x:v>Millwall Lionesses</x:v>
      </x:c>
      <x:c r="AH940" s="45" t="n">
        <x:v>3.129174646000986</x:v>
      </x:c>
      <x:c r="AI940" t="n">
        <x:v>74</x:v>
      </x:c>
      <x:c r="AJ940" t="str">
        <x:v>MEDIUM</x:v>
      </x:c>
    </x:row>
    <x:row r="941">
      <x:c r="A941" s="12" t="str">
        <x:v>E01003976</x:v>
      </x:c>
      <x:c r="B941" s="12" t="str">
        <x:v>Southwark 036D</x:v>
      </x:c>
      <x:c r="C941" s="12" t="str">
        <x:v>Southwark</x:v>
      </x:c>
      <x:c r="D941" s="44" t="n">
        <x:v>51.49841519542917</x:v>
      </x:c>
      <x:c r="E941" s="44" t="n">
        <x:v>-0.07778549517345165</x:v>
      </x:c>
      <x:c r="F941" s="33" t="n">
        <x:v>1145</x:v>
      </x:c>
      <x:c r="G941" s="33" t="n">
        <x:v>243</x:v>
      </x:c>
      <x:c r="H941" s="26" t="n">
        <x:v>0.21222707423580786</x:v>
      </x:c>
      <x:c r="I941" s="12" t="n">
        <x:v>1</x:v>
      </x:c>
      <x:c r="J941" s="12" t="n">
        <x:v>36</x:v>
      </x:c>
      <x:c r="K941" s="12"/>
      <x:c r="L941" s="12"/>
      <x:c r="M941" s="12" t="str">
        <x:f>IF(K941="", "", MAX(0,IF(K941&lt;=20,100,IF(K941&lt;=30,85,IF(K941&lt;=40,70,IF(K941&lt;=50,55,IF(K941&lt;=60,40,20)))))-MIN(L941*5,20)))</x:f>
      </x:c>
      <x:c r="N941" s="12"/>
      <x:c r="O941" s="12"/>
      <x:c r="P941" s="12" t="str">
        <x:f>IF(OR(H941="",J941="",M941=""),"",ROUND(PERCENTRANK.INC($H$2:$H$941,H941)*35+J941*0.35+M941*0.30,0))</x:f>
      </x:c>
      <x:c r="Q941" s="12" t="str">
        <x:f>IF(P941="","",IF(P941&gt;=80,"ATTACK",IF(P941&gt;=65,"GROW",IF(P941&gt;=50,"PARTNER","WATCH"))))</x:f>
      </x:c>
      <x:c r="R941" s="12" t="str">
        <x:f>IF(Q941="","",IF(Q941="ATTACK","Grassroots + family acquisition",IF(Q941="GROW","Test local campaign",IF(Q941="PARTNER","Organisation-first partnership","Low priority / validate"))))</x:f>
      </x:c>
      <x:c r="S941" s="45" t="n">
        <x:v>13.656648243573832</x:v>
      </x:c>
      <x:c r="T941" t="str">
        <x:v>EXTENDED</x:v>
      </x:c>
      <x:c r="U941" s="32" t="n">
        <x:f>PERCENTRANK.INC($G$2:$G$941,G941)</x:f>
        <x:v>0.73</x:v>
      </x:c>
      <x:c r="V941" s="32" t="n">
        <x:f>PERCENTRANK.INC($H$2:$H$941,H941)</x:f>
        <x:v>0.087</x:v>
      </x:c>
      <x:c r="W941" t="n">
        <x:f>ROUND((U941*55+V941*45)*IF(S941&lt;=5,1,IF(S941&lt;=10,0.95,IF(S941&lt;=20,0.85,0.70))),0)</x:f>
        <x:v>37</x:v>
      </x:c>
      <x:c r="X941" t="n">
        <x:v>37</x:v>
      </x:c>
      <x:c r="Y941" t="str">
        <x:v>WATCH</x:v>
      </x:c>
      <x:c r="Z941" s="12" t="str">
        <x:v>Family + verified grassroots + straight-line geo only; transport not yet routed</x:v>
      </x:c>
      <x:c r="AA941" s="12"/>
      <x:c r="AB941" s="12"/>
      <x:c r="AC941" s="12"/>
      <x:c r="AD941" s="12"/>
      <x:c r="AE941" t="str">
        <x:v>Arsenal Women</x:v>
      </x:c>
      <x:c r="AF941" s="45" t="n">
        <x:v>6.6441097041546335</x:v>
      </x:c>
      <x:c r="AG941" t="str">
        <x:v>Millwall Lionesses</x:v>
      </x:c>
      <x:c r="AH941" s="45" t="n">
        <x:v>2.739077259337174</x:v>
      </x:c>
      <x:c r="AI941" t="n">
        <x:v>78</x:v>
      </x:c>
      <x:c r="AJ941" t="str">
        <x:v>HIGH</x:v>
      </x:c>
    </x:row>
  </x:sheetData>
  <x:conditionalFormatting sqref="P2:P5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2:J94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X2:X94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I2:AI941">
    <x:cfRule type="colorScale" priority="4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36" t="str">
        <x:v>Census 2021 TS003 — observed family layer</x:v>
      </x:c>
    </x:row>
    <x:row r="3">
      <x:c r="A3" s="38" t="str">
        <x:v>Borough</x:v>
      </x:c>
      <x:c r="B3" s="38" t="str">
        <x:v>LSOAs loaded</x:v>
      </x:c>
      <x:c r="C3" s="38" t="str">
        <x:v>All households</x:v>
      </x:c>
      <x:c r="D3" s="38" t="str">
        <x:v>Households with dependent children</x:v>
      </x:c>
      <x:c r="E3" s="38" t="str">
        <x:v>Family density</x:v>
      </x:c>
      <x:c r="F3" s="38" t="str">
        <x:v>Top LSOA by family density</x:v>
      </x:c>
    </x:row>
    <x:row r="4">
      <x:c r="A4" t="str">
        <x:v>Bromley</x:v>
      </x:c>
      <x:c r="B4" t="n">
        <x:v>199</x:v>
      </x:c>
      <x:c r="C4" t="n">
        <x:v>135786</x:v>
      </x:c>
      <x:c r="D4" t="n">
        <x:v>43278</x:v>
      </x:c>
      <x:c r="E4" s="32" t="n">
        <x:v>0.3187221068445937</x:v>
      </x:c>
      <x:c r="F4" t="str">
        <x:v>Bromley 041A (50.4%)</x:v>
      </x:c>
    </x:row>
    <x:row r="5">
      <x:c r="A5" t="str">
        <x:v>Croydon</x:v>
      </x:c>
      <x:c r="B5" t="n">
        <x:v>229</x:v>
      </x:c>
      <x:c r="C5" t="n">
        <x:v>152998</x:v>
      </x:c>
      <x:c r="D5" t="n">
        <x:v>51725</x:v>
      </x:c>
      <x:c r="E5" s="32" t="n">
        <x:v>0.33807631472306826</x:v>
      </x:c>
      <x:c r="F5" t="str">
        <x:v>Croydon 025C (58.8%)</x:v>
      </x:c>
    </x:row>
    <x:row r="6">
      <x:c r="A6" t="str">
        <x:v>Greenwich</x:v>
      </x:c>
      <x:c r="B6" t="n">
        <x:v>164</x:v>
      </x:c>
      <x:c r="C6" t="n">
        <x:v>114029</x:v>
      </x:c>
      <x:c r="D6" t="n">
        <x:v>36822</x:v>
      </x:c>
      <x:c r="E6" s="32" t="n">
        <x:v>0.3229178542300643</x:v>
      </x:c>
      <x:c r="F6" t="str">
        <x:v>Greenwich 002I (50.3%)</x:v>
      </x:c>
    </x:row>
    <x:row r="7">
      <x:c r="A7" t="str">
        <x:v>Lewisham</x:v>
      </x:c>
      <x:c r="B7" t="n">
        <x:v>175</x:v>
      </x:c>
      <x:c r="C7" t="n">
        <x:v>122399</x:v>
      </x:c>
      <x:c r="D7" t="n">
        <x:v>37353</x:v>
      </x:c>
      <x:c r="E7" s="32" t="n">
        <x:v>0.3051740618795905</x:v>
      </x:c>
      <x:c r="F7" t="str">
        <x:v>Lewisham 030A (47.4%)</x:v>
      </x:c>
    </x:row>
    <x:row r="8">
      <x:c r="A8" t="str">
        <x:v>Southwark</x:v>
      </x:c>
      <x:c r="B8" t="n">
        <x:v>173</x:v>
      </x:c>
      <x:c r="C8" t="n">
        <x:v>130806</x:v>
      </x:c>
      <x:c r="D8" t="n">
        <x:v>32955</x:v>
      </x:c>
      <x:c r="E8" s="32" t="n">
        <x:v>0.25193798449612403</x:v>
      </x:c>
      <x:c r="F8" t="str">
        <x:v>Southwark 033C (46.3%)</x:v>
      </x:c>
    </x:row>
    <x:row r="10">
      <x:c r="A10" s="12" t="str">
        <x:v>Dataset</x:v>
      </x:c>
      <x:c r="B10" s="12" t="str">
        <x:v>Census 2021 TS003 – Household composition</x:v>
      </x:c>
    </x:row>
    <x:row r="11">
      <x:c r="A11" s="12" t="str">
        <x:v>Geography</x:v>
      </x:c>
      <x:c r="B11" s="12" t="str">
        <x:v>LSOA</x:v>
      </x:c>
    </x:row>
    <x:row r="12">
      <x:c r="A12" s="12" t="str">
        <x:v>Observed metric</x:v>
      </x:c>
      <x:c r="B12" s="12" t="str">
        <x:v>Households with dependent children</x:v>
      </x:c>
    </x:row>
    <x:row r="13">
      <x:c r="A13" s="12" t="str">
        <x:v>Formula</x:v>
      </x:c>
      <x:c r="B13" s="12" t="str">
        <x:v>Married/civil partnership + cohabiting + lone parent + other household types, all with dependent children</x:v>
      </x:c>
    </x:row>
    <x:row r="14">
      <x:c r="A14" s="12" t="str">
        <x:v>Source</x:v>
      </x:c>
      <x:c r="B14" s="12" t="str">
        <x:v>Uploaded official Nomis/ONS bulk file: census2021-ts003-lsoa.csv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0" hidden="0" customWidth="1"/>
    <x:col min="4" max="4" width="8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22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</x:cols>
  <x:sheetData>
    <x:row r="1">
      <x:c r="A1" s="47" t="str">
        <x:v>Fan Opportunity Engine — Geographic Layer</x:v>
      </x:c>
    </x:row>
    <x:row r="3">
      <x:c r="A3" s="50" t="str">
        <x:v>Metric</x:v>
      </x:c>
      <x:c r="B3" s="50" t="str">
        <x:v>Status / rule</x:v>
      </x:c>
      <x:c r="D3" s="43" t="str">
        <x:v>Rank</x:v>
      </x:c>
      <x:c r="E3" s="43" t="str">
        <x:v>LSOA</x:v>
      </x:c>
      <x:c r="F3" s="43" t="str">
        <x:v>Name</x:v>
      </x:c>
      <x:c r="G3" s="43" t="str">
        <x:v>Borough</x:v>
      </x:c>
      <x:c r="H3" s="43" t="str">
        <x:v>All households</x:v>
      </x:c>
      <x:c r="I3" s="43" t="str">
        <x:v>Dependent-child households</x:v>
      </x:c>
      <x:c r="J3" s="43" t="str">
        <x:v>Family density</x:v>
      </x:c>
      <x:c r="K3" s="43" t="str">
        <x:v>Latitude</x:v>
      </x:c>
      <x:c r="L3" s="43" t="str">
        <x:v>Longitude</x:v>
      </x:c>
      <x:c r="M3" s="43" t="str">
        <x:v>Distance km</x:v>
      </x:c>
      <x:c r="N3" s="43" t="str">
        <x:v>Volume pct</x:v>
      </x:c>
      <x:c r="O3" s="43" t="str">
        <x:v>Density pct</x:v>
      </x:c>
      <x:c r="P3" s="43" t="str">
        <x:v>Family-first score</x:v>
      </x:c>
    </x:row>
    <x:row r="4">
      <x:c r="A4" s="12" t="str">
        <x:v>LSOA centroids joined</x:v>
      </x:c>
      <x:c r="B4" s="12" t="n">
        <x:v>940</x:v>
      </x:c>
      <x:c r="D4" t="n">
        <x:v>1</x:v>
      </x:c>
      <x:c r="E4" t="str">
        <x:v>E01001130</x:v>
      </x:c>
      <x:c r="F4" t="str">
        <x:v>Croydon 025C</x:v>
      </x:c>
      <x:c r="G4" t="str">
        <x:v>Croydon</x:v>
      </x:c>
      <x:c r="H4" t="n">
        <x:v>561</x:v>
      </x:c>
      <x:c r="I4" t="n">
        <x:v>330</x:v>
      </x:c>
      <x:c r="J4" s="32" t="n">
        <x:v>0.5882352941176471</x:v>
      </x:c>
      <x:c r="K4" s="51" t="n">
        <x:v>51.36658442803504</x:v>
      </x:c>
      <x:c r="L4" s="51" t="n">
        <x:v>-0.027898636673230122</x:v>
      </x:c>
      <x:c r="M4" s="45" t="n">
        <x:v>4.1690552396567755</x:v>
      </x:c>
      <x:c r="N4" s="32" t="n">
        <x:v>0.9765708200212992</x:v>
      </x:c>
      <x:c r="O4" s="32" t="n">
        <x:v>1</x:v>
      </x:c>
      <x:c r="P4" t="n">
        <x:v>99</x:v>
      </x:c>
    </x:row>
    <x:row r="5">
      <x:c r="A5" s="12" t="str">
        <x:v>Missing centroid matches</x:v>
      </x:c>
      <x:c r="B5" s="12" t="n">
        <x:v>0</x:v>
      </x:c>
      <x:c r="D5" t="n">
        <x:v>2</x:v>
      </x:c>
      <x:c r="E5" t="str">
        <x:v>E01003347</x:v>
      </x:c>
      <x:c r="F5" t="str">
        <x:v>Lewisham 030A</x:v>
      </x:c>
      <x:c r="G5" t="str">
        <x:v>Lewisham</x:v>
      </x:c>
      <x:c r="H5" t="n">
        <x:v>654</x:v>
      </x:c>
      <x:c r="I5" t="n">
        <x:v>310</x:v>
      </x:c>
      <x:c r="J5" s="32" t="n">
        <x:v>0.4740061162079511</x:v>
      </x:c>
      <x:c r="K5" s="51" t="n">
        <x:v>51.434347207102356</x:v>
      </x:c>
      <x:c r="L5" s="51" t="n">
        <x:v>0.0025713581513789638</x:v>
      </x:c>
      <x:c r="M5" s="45" t="n">
        <x:v>4.93475757173927</x:v>
      </x:c>
      <x:c r="N5" s="32" t="n">
        <x:v>0.9542066027689031</x:v>
      </x:c>
      <x:c r="O5" s="32" t="n">
        <x:v>0.9893503727369543</x:v>
      </x:c>
      <x:c r="P5" t="n">
        <x:v>97</x:v>
      </x:c>
    </x:row>
    <x:row r="6">
      <x:c r="A6" s="12" t="str">
        <x:v>Hayes Lane reference</x:v>
      </x:c>
      <x:c r="B6" s="12" t="str">
        <x:v>BR2 9EF postcode centroid: 51.390984, 0.017710</x:v>
      </x:c>
      <x:c r="D6" t="n">
        <x:v>3</x:v>
      </x:c>
      <x:c r="E6" t="str">
        <x:v>E01001181</x:v>
      </x:c>
      <x:c r="F6" t="str">
        <x:v>Croydon 015E</x:v>
      </x:c>
      <x:c r="G6" t="str">
        <x:v>Croydon</x:v>
      </x:c>
      <x:c r="H6" t="n">
        <x:v>891</x:v>
      </x:c>
      <x:c r="I6" t="n">
        <x:v>407</x:v>
      </x:c>
      <x:c r="J6" s="32" t="n">
        <x:v>0.4567901234567901</x:v>
      </x:c>
      <x:c r="K6" s="51" t="n">
        <x:v>51.38781038011373</x:v>
      </x:c>
      <x:c r="L6" s="51" t="n">
        <x:v>-0.11194672959213069</x:v>
      </x:c>
      <x:c r="M6" s="45" t="n">
        <x:v>9.003593036113612</x:v>
      </x:c>
      <x:c r="N6" s="32" t="n">
        <x:v>0.9946751863684771</x:v>
      </x:c>
      <x:c r="O6" s="32" t="n">
        <x:v>0.9808306709265175</x:v>
      </x:c>
      <x:c r="P6" t="n">
        <x:v>94</x:v>
      </x:c>
    </x:row>
    <x:row r="7">
      <x:c r="A7" s="12" t="str">
        <x:v>CORE</x:v>
      </x:c>
      <x:c r="B7" s="12" t="str">
        <x:v>≤5 km straight-line</x:v>
      </x:c>
      <x:c r="D7" t="n">
        <x:v>4</x:v>
      </x:c>
      <x:c r="E7" t="str">
        <x:v>E01001057</x:v>
      </x:c>
      <x:c r="F7" t="str">
        <x:v>Croydon 030E</x:v>
      </x:c>
      <x:c r="G7" t="str">
        <x:v>Croydon</x:v>
      </x:c>
      <x:c r="H7" t="n">
        <x:v>602</x:v>
      </x:c>
      <x:c r="I7" t="n">
        <x:v>342</x:v>
      </x:c>
      <x:c r="J7" s="32" t="n">
        <x:v>0.5681063122923588</x:v>
      </x:c>
      <x:c r="K7" s="51" t="n">
        <x:v>51.34906043269985</x:v>
      </x:c>
      <x:c r="L7" s="51" t="n">
        <x:v>-0.020536413409796242</x:v>
      </x:c>
      <x:c r="M7" s="45" t="n">
        <x:v>5.364729421802171</x:v>
      </x:c>
      <x:c r="N7" s="32" t="n">
        <x:v>0.9829605963791267</x:v>
      </x:c>
      <x:c r="O7" s="32" t="n">
        <x:v>0.9989350372736954</x:v>
      </x:c>
      <x:c r="P7" t="n">
        <x:v>94</x:v>
      </x:c>
    </x:row>
    <x:row r="8">
      <x:c r="A8" s="12" t="str">
        <x:v>NEAR</x:v>
      </x:c>
      <x:c r="B8" s="12" t="str">
        <x:v>5–10 km straight-line</x:v>
      </x:c>
      <x:c r="D8" t="n">
        <x:v>5</x:v>
      </x:c>
      <x:c r="E8" t="str">
        <x:v>E01032569</x:v>
      </x:c>
      <x:c r="F8" t="str">
        <x:v>Croydon 045E</x:v>
      </x:c>
      <x:c r="G8" t="str">
        <x:v>Croydon</x:v>
      </x:c>
      <x:c r="H8" t="n">
        <x:v>682</x:v>
      </x:c>
      <x:c r="I8" t="n">
        <x:v>288</x:v>
      </x:c>
      <x:c r="J8" s="32" t="n">
        <x:v>0.4222873900293255</x:v>
      </x:c>
      <x:c r="K8" s="51" t="n">
        <x:v>51.3924113619311</x:v>
      </x:c>
      <x:c r="L8" s="51" t="n">
        <x:v>-0.05410519154821633</x:v>
      </x:c>
      <x:c r="M8" s="45" t="n">
        <x:v>4.985419149654682</x:v>
      </x:c>
      <x:c r="N8" s="32" t="n">
        <x:v>0.9275825346112886</x:v>
      </x:c>
      <x:c r="O8" s="32" t="n">
        <x:v>0.9499467518636848</x:v>
      </x:c>
      <x:c r="P8" t="n">
        <x:v>94</x:v>
      </x:c>
    </x:row>
    <x:row r="9">
      <x:c r="A9" s="12" t="str">
        <x:v>EXTENDED</x:v>
      </x:c>
      <x:c r="B9" s="12" t="str">
        <x:v>10–20 km straight-line</x:v>
      </x:c>
      <x:c r="D9" t="n">
        <x:v>6</x:v>
      </x:c>
      <x:c r="E9" t="str">
        <x:v>E01003240</x:v>
      </x:c>
      <x:c r="F9" t="str">
        <x:v>Lewisham 038B</x:v>
      </x:c>
      <x:c r="G9" t="str">
        <x:v>Lewisham</x:v>
      </x:c>
      <x:c r="H9" t="n">
        <x:v>715</x:v>
      </x:c>
      <x:c r="I9" t="n">
        <x:v>293</x:v>
      </x:c>
      <x:c r="J9" s="32" t="n">
        <x:v>0.4097902097902098</x:v>
      </x:c>
      <x:c r="K9" s="51" t="n">
        <x:v>51.425113104122744</x:v>
      </x:c>
      <x:c r="L9" s="51" t="n">
        <x:v>0.0004216086638480643</x:v>
      </x:c>
      <x:c r="M9" s="45" t="n">
        <x:v>3.979929438971035</x:v>
      </x:c>
      <x:c r="N9" s="32" t="n">
        <x:v>0.9361022364217252</x:v>
      </x:c>
      <x:c r="O9" s="32" t="n">
        <x:v>0.9350372736954207</x:v>
      </x:c>
      <x:c r="P9" t="n">
        <x:v>94</x:v>
      </x:c>
    </x:row>
    <x:row r="10">
      <x:c r="A10" s="12" t="str">
        <x:v>Important</x:v>
      </x:c>
      <x:c r="B10" s="12" t="str">
        <x:v>Straight-line distance is a geographic screen, not Sunday public-transport travel time.</x:v>
      </x:c>
      <x:c r="D10" t="n">
        <x:v>7</x:v>
      </x:c>
      <x:c r="E10" t="str">
        <x:v>E01000661</x:v>
      </x:c>
      <x:c r="F10" t="str">
        <x:v>Bromley 026A</x:v>
      </x:c>
      <x:c r="G10" t="str">
        <x:v>Bromley</x:v>
      </x:c>
      <x:c r="H10" t="n">
        <x:v>1181</x:v>
      </x:c>
      <x:c r="I10" t="n">
        <x:v>452</x:v>
      </x:c>
      <x:c r="J10" s="32" t="n">
        <x:v>0.3827265029635902</x:v>
      </x:c>
      <x:c r="K10" s="51" t="n">
        <x:v>51.38574377181577</x:v>
      </x:c>
      <x:c r="L10" s="51" t="n">
        <x:v>0.04087322485277543</x:v>
      </x:c>
      <x:c r="M10" s="45" t="n">
        <x:v>1.7096563890399867</x:v>
      </x:c>
      <x:c r="N10" s="32" t="n">
        <x:v>0.9989350372736954</x:v>
      </x:c>
      <x:c r="O10" s="32" t="n">
        <x:v>0.8445154419595314</x:v>
      </x:c>
      <x:c r="P10" t="n">
        <x:v>93</x:v>
      </x:c>
    </x:row>
    <x:row r="11">
      <x:c r="D11" t="n">
        <x:v>8</x:v>
      </x:c>
      <x:c r="E11" t="str">
        <x:v>E01000789</x:v>
      </x:c>
      <x:c r="F11" t="str">
        <x:v>Bromley 032B</x:v>
      </x:c>
      <x:c r="G11" t="str">
        <x:v>Bromley</x:v>
      </x:c>
      <x:c r="H11" t="n">
        <x:v>661</x:v>
      </x:c>
      <x:c r="I11" t="n">
        <x:v>321</x:v>
      </x:c>
      <x:c r="J11" s="32" t="n">
        <x:v>0.4856278366111952</x:v>
      </x:c>
      <x:c r="K11" s="51" t="n">
        <x:v>51.37568412602809</x:v>
      </x:c>
      <x:c r="L11" s="51" t="n">
        <x:v>0.12073075386138842</x:v>
      </x:c>
      <x:c r="M11" s="45" t="n">
        <x:v>7.349024233042347</x:v>
      </x:c>
      <x:c r="N11" s="32" t="n">
        <x:v>0.9659211927582535</x:v>
      </x:c>
      <x:c r="O11" s="32" t="n">
        <x:v>0.9925452609158679</x:v>
      </x:c>
      <x:c r="P11" t="n">
        <x:v>93</x:v>
      </x:c>
    </x:row>
    <x:row r="12">
      <x:c r="A12" s="12" t="str">
        <x:v>Centroid source</x:v>
      </x:c>
      <x:c r="B12" s="12" t="str">
        <x:v>Uploaded ONS LSOA Population Weighted Centroids 2021 V4</x:v>
      </x:c>
      <x:c r="D12" t="n">
        <x:v>9</x:v>
      </x:c>
      <x:c r="E12" t="str">
        <x:v>E01001009</x:v>
      </x:c>
      <x:c r="F12" t="str">
        <x:v>Croydon 019C</x:v>
      </x:c>
      <x:c r="G12" t="str">
        <x:v>Croydon</x:v>
      </x:c>
      <x:c r="H12" t="n">
        <x:v>664</x:v>
      </x:c>
      <x:c r="I12" t="n">
        <x:v>322</x:v>
      </x:c>
      <x:c r="J12" s="32" t="n">
        <x:v>0.48493975903614456</x:v>
      </x:c>
      <x:c r="K12" s="51" t="n">
        <x:v>51.38500409273992</x:v>
      </x:c>
      <x:c r="L12" s="51" t="n">
        <x:v>-0.11388604759586293</x:v>
      </x:c>
      <x:c r="M12" s="45" t="n">
        <x:v>9.155698408794354</x:v>
      </x:c>
      <x:c r="N12" s="32" t="n">
        <x:v>0.9680511182108626</x:v>
      </x:c>
      <x:c r="O12" s="32" t="n">
        <x:v>0.9904153354632588</x:v>
      </x:c>
      <x:c r="P12" t="n">
        <x:v>93</x:v>
      </x:c>
    </x:row>
    <x:row r="13">
      <x:c r="A13" s="12" t="str">
        <x:v>Coordinate conversion</x:v>
      </x:c>
      <x:c r="B13" s="12" t="str">
        <x:v>British National Grid EPSG:27700 → WGS84</x:v>
      </x:c>
      <x:c r="D13" t="n">
        <x:v>10</x:v>
      </x:c>
      <x:c r="E13" t="str">
        <x:v>E01001172</x:v>
      </x:c>
      <x:c r="F13" t="str">
        <x:v>Croydon 028D</x:v>
      </x:c>
      <x:c r="G13" t="str">
        <x:v>Croydon</x:v>
      </x:c>
      <x:c r="H13" t="n">
        <x:v>728</x:v>
      </x:c>
      <x:c r="I13" t="n">
        <x:v>327</x:v>
      </x:c>
      <x:c r="J13" s="32" t="n">
        <x:v>0.4491758241758242</x:v>
      </x:c>
      <x:c r="K13" s="51" t="n">
        <x:v>51.361593744497284</x:v>
      </x:c>
      <x:c r="L13" s="51" t="n">
        <x:v>-0.11560361068259448</x:v>
      </x:c>
      <x:c r="M13" s="45" t="n">
        <x:v>9.813228318748441</x:v>
      </x:c>
      <x:c r="N13" s="32" t="n">
        <x:v>0.9733759318423855</x:v>
      </x:c>
      <x:c r="O13" s="32" t="n">
        <x:v>0.9787007454739084</x:v>
      </x:c>
      <x:c r="P13" t="n">
        <x:v>93</x:v>
      </x:c>
    </x:row>
    <x:row r="14">
      <x:c r="A14" s="12" t="str">
        <x:v>Family source</x:v>
      </x:c>
      <x:c r="B14" s="12" t="str">
        <x:v>Uploaded Census 2021 TS003 LSOA bulk dataset</x:v>
      </x:c>
      <x:c r="D14" t="n">
        <x:v>11</x:v>
      </x:c>
      <x:c r="E14" t="str">
        <x:v>E01001056</x:v>
      </x:c>
      <x:c r="F14" t="str">
        <x:v>Croydon 030D</x:v>
      </x:c>
      <x:c r="G14" t="str">
        <x:v>Croydon</x:v>
      </x:c>
      <x:c r="H14" t="n">
        <x:v>576</x:v>
      </x:c>
      <x:c r="I14" t="n">
        <x:v>326</x:v>
      </x:c>
      <x:c r="J14" s="32" t="n">
        <x:v>0.5659722222222222</x:v>
      </x:c>
      <x:c r="K14" s="51" t="n">
        <x:v>51.350957225455396</x:v>
      </x:c>
      <x:c r="L14" s="51" t="n">
        <x:v>-0.015773701934078718</x:v>
      </x:c>
      <x:c r="M14" s="45" t="n">
        <x:v>5.021144628100536</x:v>
      </x:c>
      <x:c r="N14" s="32" t="n">
        <x:v>0.972310969116081</x:v>
      </x:c>
      <x:c r="O14" s="32" t="n">
        <x:v>0.9978700745473909</x:v>
      </x:c>
      <x:c r="P14" t="n">
        <x:v>93</x:v>
      </x:c>
    </x:row>
    <x:row r="15">
      <x:c r="A15" s="12" t="str">
        <x:v>Next layer</x:v>
      </x:c>
      <x:c r="B15" s="12" t="str">
        <x:v>Sunday public-transport routing + verified girls-football nodes.</x:v>
      </x:c>
      <x:c r="D15" t="n">
        <x:v>12</x:v>
      </x:c>
      <x:c r="E15" t="str">
        <x:v>E01001595</x:v>
      </x:c>
      <x:c r="F15" t="str">
        <x:v>Greenwich 012D</x:v>
      </x:c>
      <x:c r="G15" t="str">
        <x:v>Greenwich</x:v>
      </x:c>
      <x:c r="H15" t="n">
        <x:v>732</x:v>
      </x:c>
      <x:c r="I15" t="n">
        <x:v>344</x:v>
      </x:c>
      <x:c r="J15" s="32" t="n">
        <x:v>0.46994535519125685</x:v>
      </x:c>
      <x:c r="K15" s="51" t="n">
        <x:v>51.477652612766185</x:v>
      </x:c>
      <x:c r="L15" s="51" t="n">
        <x:v>0.03200085377919084</x:v>
      </x:c>
      <x:c r="M15" s="45" t="n">
        <x:v>9.687906111072586</x:v>
      </x:c>
      <x:c r="N15" s="32" t="n">
        <x:v>0.9840255591054313</x:v>
      </x:c>
      <x:c r="O15" s="32" t="n">
        <x:v>0.9840255591054313</x:v>
      </x:c>
      <x:c r="P15" t="n">
        <x:v>93</x:v>
      </x:c>
    </x:row>
    <x:row r="16">
      <x:c r="D16" t="n">
        <x:v>13</x:v>
      </x:c>
      <x:c r="E16" t="str">
        <x:v>E01000707</x:v>
      </x:c>
      <x:c r="F16" t="str">
        <x:v>Bromley 041A</x:v>
      </x:c>
      <x:c r="G16" t="str">
        <x:v>Bromley</x:v>
      </x:c>
      <x:c r="H16" t="n">
        <x:v>530</x:v>
      </x:c>
      <x:c r="I16" t="n">
        <x:v>267</x:v>
      </x:c>
      <x:c r="J16" s="32" t="n">
        <x:v>0.5037735849056604</x:v>
      </x:c>
      <x:c r="K16" s="51" t="n">
        <x:v>51.40397514869223</x:v>
      </x:c>
      <x:c r="L16" s="51" t="n">
        <x:v>-0.038829574094080534</x:v>
      </x:c>
      <x:c r="M16" s="45" t="n">
        <x:v>4.180038948397988</x:v>
      </x:c>
      <x:c r="N16" s="32" t="n">
        <x:v>0.8604898828541001</x:v>
      </x:c>
      <x:c r="O16" s="32" t="n">
        <x:v>0.9968051118210862</x:v>
      </x:c>
      <x:c r="P16" t="n">
        <x:v>92</x:v>
      </x:c>
    </x:row>
    <x:row r="17">
      <x:c r="D17" t="n">
        <x:v>14</x:v>
      </x:c>
      <x:c r="E17" t="str">
        <x:v>E01001011</x:v>
      </x:c>
      <x:c r="F17" t="str">
        <x:v>Croydon 019E</x:v>
      </x:c>
      <x:c r="G17" t="str">
        <x:v>Croydon</x:v>
      </x:c>
      <x:c r="H17" t="n">
        <x:v>858</x:v>
      </x:c>
      <x:c r="I17" t="n">
        <x:v>368</x:v>
      </x:c>
      <x:c r="J17" s="32" t="n">
        <x:v>0.4289044289044289</x:v>
      </x:c>
      <x:c r="K17" s="51" t="n">
        <x:v>51.38222865080452</x:v>
      </x:c>
      <x:c r="L17" s="51" t="n">
        <x:v>-0.1087207895476275</x:v>
      </x:c>
      <x:c r="M17" s="45" t="n">
        <x:v>8.827217588922245</x:v>
      </x:c>
      <x:c r="N17" s="32" t="n">
        <x:v>0.9882854100106496</x:v>
      </x:c>
      <x:c r="O17" s="32" t="n">
        <x:v>0.9552715654952076</x:v>
      </x:c>
      <x:c r="P17" t="n">
        <x:v>92</x:v>
      </x:c>
    </x:row>
    <x:row r="18">
      <x:c r="D18" t="n">
        <x:v>15</x:v>
      </x:c>
      <x:c r="E18" t="str">
        <x:v>E01001128</x:v>
      </x:c>
      <x:c r="F18" t="str">
        <x:v>Croydon 025B</x:v>
      </x:c>
      <x:c r="G18" t="str">
        <x:v>Croydon</x:v>
      </x:c>
      <x:c r="H18" t="n">
        <x:v>572</x:v>
      </x:c>
      <x:c r="I18" t="n">
        <x:v>270</x:v>
      </x:c>
      <x:c r="J18" s="32" t="n">
        <x:v>0.47202797202797203</x:v>
      </x:c>
      <x:c r="K18" s="51" t="n">
        <x:v>51.3694935967008</x:v>
      </x:c>
      <x:c r="L18" s="51" t="n">
        <x:v>-0.026612099869903275</x:v>
      </x:c>
      <x:c r="M18" s="45" t="n">
        <x:v>3.8951813824695973</x:v>
      </x:c>
      <x:c r="N18" s="32" t="n">
        <x:v>0.873269435569755</x:v>
      </x:c>
      <x:c r="O18" s="32" t="n">
        <x:v>0.987220447284345</x:v>
      </x:c>
      <x:c r="P18" t="n">
        <x:v>92</x:v>
      </x:c>
    </x:row>
    <x:row r="19">
      <x:c r="D19" t="n">
        <x:v>16</x:v>
      </x:c>
      <x:c r="E19" t="str">
        <x:v>E01001167</x:v>
      </x:c>
      <x:c r="F19" t="str">
        <x:v>Croydon 028A</x:v>
      </x:c>
      <x:c r="G19" t="str">
        <x:v>Croydon</x:v>
      </x:c>
      <x:c r="H19" t="n">
        <x:v>821</x:v>
      </x:c>
      <x:c r="I19" t="n">
        <x:v>346</x:v>
      </x:c>
      <x:c r="J19" s="32" t="n">
        <x:v>0.42143727161997563</x:v>
      </x:c>
      <x:c r="K19" s="51" t="n">
        <x:v>51.366143146727744</x:v>
      </x:c>
      <x:c r="L19" s="51" t="n">
        <x:v>-0.1175449503775697</x:v>
      </x:c>
      <x:c r="M19" s="45" t="n">
        <x:v>9.785292039007468</x:v>
      </x:c>
      <x:c r="N19" s="32" t="n">
        <x:v>0.9850905218317358</x:v>
      </x:c>
      <x:c r="O19" s="32" t="n">
        <x:v>0.946751863684771</x:v>
      </x:c>
      <x:c r="P19" t="n">
        <x:v>92</x:v>
      </x:c>
    </x:row>
    <x:row r="20">
      <x:c r="D20" t="n">
        <x:v>17</x:v>
      </x:c>
      <x:c r="E20" t="str">
        <x:v>E01003352</x:v>
      </x:c>
      <x:c r="F20" t="str">
        <x:v>Lewisham 030D</x:v>
      </x:c>
      <x:c r="G20" t="str">
        <x:v>Lewisham</x:v>
      </x:c>
      <x:c r="H20" t="n">
        <x:v>843</x:v>
      </x:c>
      <x:c r="I20" t="n">
        <x:v>326</x:v>
      </x:c>
      <x:c r="J20" s="32" t="n">
        <x:v>0.3867141162514828</x:v>
      </x:c>
      <x:c r="K20" s="51" t="n">
        <x:v>51.43072769977312</x:v>
      </x:c>
      <x:c r="L20" s="51" t="n">
        <x:v>-0.01586673953538016</x:v>
      </x:c>
      <x:c r="M20" s="45" t="n">
        <x:v>4.9953273031031955</x:v>
      </x:c>
      <x:c r="N20" s="32" t="n">
        <x:v>0.972310969116081</x:v>
      </x:c>
      <x:c r="O20" s="32" t="n">
        <x:v>0.8668796592119276</x:v>
      </x:c>
      <x:c r="P20" t="n">
        <x:v>92</x:v>
      </x:c>
    </x:row>
    <x:row r="21">
      <x:c r="D21" t="n">
        <x:v>18</x:v>
      </x:c>
      <x:c r="E21" t="str">
        <x:v>E01000684</x:v>
      </x:c>
      <x:c r="F21" t="str">
        <x:v>Bromley 035D</x:v>
      </x:c>
      <x:c r="G21" t="str">
        <x:v>Bromley</x:v>
      </x:c>
      <x:c r="H21" t="n">
        <x:v>746</x:v>
      </x:c>
      <x:c r="I21" t="n">
        <x:v>315</x:v>
      </x:c>
      <x:c r="J21" s="32" t="n">
        <x:v>0.4222520107238606</x:v>
      </x:c>
      <x:c r="K21" s="51" t="n">
        <x:v>51.360168072595556</x:v>
      </x:c>
      <x:c r="L21" s="51" t="n">
        <x:v>0.09795702918647188</x:v>
      </x:c>
      <x:c r="M21" s="45" t="n">
        <x:v>6.539509693141202</x:v>
      </x:c>
      <x:c r="N21" s="32" t="n">
        <x:v>0.9616613418530351</x:v>
      </x:c>
      <x:c r="O21" s="32" t="n">
        <x:v>0.9488817891373802</x:v>
      </x:c>
      <x:c r="P21" t="n">
        <x:v>91</x:v>
      </x:c>
    </x:row>
    <x:row r="22">
      <x:c r="D22" t="n">
        <x:v>19</x:v>
      </x:c>
      <x:c r="E22" t="str">
        <x:v>E01003190</x:v>
      </x:c>
      <x:c r="F22" t="str">
        <x:v>Lewisham 034B</x:v>
      </x:c>
      <x:c r="G22" t="str">
        <x:v>Lewisham</x:v>
      </x:c>
      <x:c r="H22" t="n">
        <x:v>950</x:v>
      </x:c>
      <x:c r="I22" t="n">
        <x:v>382</x:v>
      </x:c>
      <x:c r="J22" s="32" t="n">
        <x:v>0.40210526315789474</x:v>
      </x:c>
      <x:c r="K22" s="51" t="n">
        <x:v>51.42704622273618</x:v>
      </x:c>
      <x:c r="L22" s="51" t="n">
        <x:v>-0.03589846825241061</x:v>
      </x:c>
      <x:c r="M22" s="45" t="n">
        <x:v>5.468521700173106</x:v>
      </x:c>
      <x:c r="N22" s="32" t="n">
        <x:v>0.9904153354632588</x:v>
      </x:c>
      <x:c r="O22" s="32" t="n">
        <x:v>0.9158679446219382</x:v>
      </x:c>
      <x:c r="P22" t="n">
        <x:v>91</x:v>
      </x:c>
    </x:row>
    <x:row r="23">
      <x:c r="D23" t="n">
        <x:v>20</x:v>
      </x:c>
      <x:c r="E23" t="str">
        <x:v>E01000694</x:v>
      </x:c>
      <x:c r="F23" t="str">
        <x:v>Bromley 007C</x:v>
      </x:c>
      <x:c r="G23" t="str">
        <x:v>Bromley</x:v>
      </x:c>
      <x:c r="H23" t="n">
        <x:v>887</x:v>
      </x:c>
      <x:c r="I23" t="n">
        <x:v>331</x:v>
      </x:c>
      <x:c r="J23" s="32" t="n">
        <x:v>0.37316798196166856</x:v>
      </x:c>
      <x:c r="K23" s="51" t="n">
        <x:v>51.419191765265495</x:v>
      </x:c>
      <x:c r="L23" s="51" t="n">
        <x:v>0.05130159915630972</x:v>
      </x:c>
      <x:c r="M23" s="45" t="n">
        <x:v>3.9073338136248394</x:v>
      </x:c>
      <x:c r="N23" s="32" t="n">
        <x:v>0.9776357827476039</x:v>
      </x:c>
      <x:c r="O23" s="32" t="n">
        <x:v>0.8083067092651757</x:v>
      </x:c>
      <x:c r="P23" t="n">
        <x:v>90</x:v>
      </x:c>
    </x:row>
  </x:sheetData>
  <x:mergeCells>
    <x:mergeCell ref="A1:P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24" hidden="0" customWidth="1"/>
    <x:col min="4" max="4" width="16" hidden="0" customWidth="1"/>
    <x:col min="5" max="5" width="22" hidden="0" customWidth="1"/>
    <x:col min="6" max="6" width="16" hidden="0" customWidth="1"/>
    <x:col min="7" max="7" width="14" hidden="0" customWidth="1"/>
    <x:col min="8" max="8" width="20" hidden="0" customWidth="1"/>
    <x:col min="9" max="9" width="18" hidden="0" customWidth="1"/>
    <x:col min="10" max="10" width="18" hidden="0" customWidth="1"/>
    <x:col min="11" max="11" width="14" hidden="0" customWidth="1"/>
    <x:col min="12" max="12" width="24" hidden="0" customWidth="1"/>
  </x:cols>
  <x:sheetData>
    <x:row r="1">
      <x:c r="A1" s="57" t="str">
        <x:v>Fan Opportunity Engine — Family + Verified Girls-Football Network</x:v>
      </x:c>
    </x:row>
    <x:row r="3">
      <x:c r="A3" s="52" t="str">
        <x:v>Rank</x:v>
      </x:c>
      <x:c r="B3" s="52" t="str">
        <x:v>LSOA</x:v>
      </x:c>
      <x:c r="C3" s="52" t="str">
        <x:v>Name</x:v>
      </x:c>
      <x:c r="D3" s="52" t="str">
        <x:v>Borough</x:v>
      </x:c>
      <x:c r="E3" s="52" t="str">
        <x:v>Dependent-child households</x:v>
      </x:c>
      <x:c r="F3" s="52" t="str">
        <x:v>Family density</x:v>
      </x:c>
      <x:c r="G3" s="52" t="str">
        <x:v>Distance km</x:v>
      </x:c>
      <x:c r="H3" s="52" t="str">
        <x:v>Verified nodes ≤6km</x:v>
      </x:c>
      <x:c r="I3" s="52" t="str">
        <x:v>Girls network score</x:v>
      </x:c>
      <x:c r="J3" s="52" t="str">
        <x:v>Provisional score</x:v>
      </x:c>
      <x:c r="K3" s="52" t="str">
        <x:v>Tier</x:v>
      </x:c>
      <x:c r="L3" s="52" t="str">
        <x:v>Coordinates</x:v>
      </x:c>
    </x:row>
    <x:row r="4">
      <x:c r="A4" t="n">
        <x:v>1</x:v>
      </x:c>
      <x:c r="B4" t="str">
        <x:v>E01032569</x:v>
      </x:c>
      <x:c r="C4" t="str">
        <x:v>Croydon 045E</x:v>
      </x:c>
      <x:c r="D4" t="str">
        <x:v>Croydon</x:v>
      </x:c>
      <x:c r="E4" t="n">
        <x:v>288</x:v>
      </x:c>
      <x:c r="F4" s="32" t="n">
        <x:v>0.4222873900293255</x:v>
      </x:c>
      <x:c r="G4" s="45" t="n">
        <x:v>4.985419149654682</x:v>
      </x:c>
      <x:c r="H4" t="n">
        <x:v>5</x:v>
      </x:c>
      <x:c r="I4" t="n">
        <x:v>100</x:v>
      </x:c>
      <x:c r="J4" t="n">
        <x:v>97</x:v>
      </x:c>
      <x:c r="K4" t="str">
        <x:v>ATTACK</x:v>
      </x:c>
      <x:c r="L4" t="str">
        <x:v>51.392411, -0.054105</x:v>
      </x:c>
    </x:row>
    <x:row r="5">
      <x:c r="A5" t="n">
        <x:v>2</x:v>
      </x:c>
      <x:c r="B5" t="str">
        <x:v>E01000647</x:v>
      </x:c>
      <x:c r="C5" t="str">
        <x:v>Bromley 016B</x:v>
      </x:c>
      <x:c r="D5" t="str">
        <x:v>Bromley</x:v>
      </x:c>
      <x:c r="E5" t="n">
        <x:v>269</x:v>
      </x:c>
      <x:c r="F5" s="32" t="n">
        <x:v>0.41640866873065013</x:v>
      </x:c>
      <x:c r="G5" s="45" t="n">
        <x:v>1.7175183525381912</x:v>
      </x:c>
      <x:c r="H5" t="n">
        <x:v>4</x:v>
      </x:c>
      <x:c r="I5" t="n">
        <x:v>93</x:v>
      </x:c>
      <x:c r="J5" t="n">
        <x:v>91</x:v>
      </x:c>
      <x:c r="K5" t="str">
        <x:v>ATTACK</x:v>
      </x:c>
      <x:c r="L5" t="str">
        <x:v>51.403248, 0.032760</x:v>
      </x:c>
    </x:row>
    <x:row r="6">
      <x:c r="A6" t="n">
        <x:v>3</x:v>
      </x:c>
      <x:c r="B6" t="str">
        <x:v>E01001114</x:v>
      </x:c>
      <x:c r="C6" t="str">
        <x:v>Croydon 013E</x:v>
      </x:c>
      <x:c r="D6" t="str">
        <x:v>Croydon</x:v>
      </x:c>
      <x:c r="E6" t="n">
        <x:v>257</x:v>
      </x:c>
      <x:c r="F6" s="32" t="n">
        <x:v>0.4269102990033223</x:v>
      </x:c>
      <x:c r="G6" s="45" t="n">
        <x:v>7.747442381206232</x:v>
      </x:c>
      <x:c r="H6" t="n">
        <x:v>3</x:v>
      </x:c>
      <x:c r="I6" t="n">
        <x:v>100</x:v>
      </x:c>
      <x:c r="J6" t="n">
        <x:v>91</x:v>
      </x:c>
      <x:c r="K6" t="str">
        <x:v>ATTACK</x:v>
      </x:c>
      <x:c r="L6" t="str">
        <x:v>51.392290, -0.093929</x:v>
      </x:c>
    </x:row>
    <x:row r="7">
      <x:c r="A7" t="n">
        <x:v>4</x:v>
      </x:c>
      <x:c r="B7" t="str">
        <x:v>E01003347</x:v>
      </x:c>
      <x:c r="C7" t="str">
        <x:v>Lewisham 030A</x:v>
      </x:c>
      <x:c r="D7" t="str">
        <x:v>Lewisham</x:v>
      </x:c>
      <x:c r="E7" t="n">
        <x:v>310</x:v>
      </x:c>
      <x:c r="F7" s="32" t="n">
        <x:v>0.4740061162079511</x:v>
      </x:c>
      <x:c r="G7" s="45" t="n">
        <x:v>4.93475757173927</x:v>
      </x:c>
      <x:c r="H7" t="n">
        <x:v>3</x:v>
      </x:c>
      <x:c r="I7" t="n">
        <x:v>83</x:v>
      </x:c>
      <x:c r="J7" t="n">
        <x:v>91</x:v>
      </x:c>
      <x:c r="K7" t="str">
        <x:v>ATTACK</x:v>
      </x:c>
      <x:c r="L7" t="str">
        <x:v>51.434347, 0.002571</x:v>
      </x:c>
    </x:row>
    <x:row r="8">
      <x:c r="A8" t="n">
        <x:v>5</x:v>
      </x:c>
      <x:c r="B8" t="str">
        <x:v>E01000775</x:v>
      </x:c>
      <x:c r="C8" t="str">
        <x:v>Bromley 024C</x:v>
      </x:c>
      <x:c r="D8" t="str">
        <x:v>Bromley</x:v>
      </x:c>
      <x:c r="E8" t="n">
        <x:v>315</x:v>
      </x:c>
      <x:c r="F8" s="32" t="n">
        <x:v>0.3679906542056075</x:v>
      </x:c>
      <x:c r="G8" s="45" t="n">
        <x:v>2.740019016380759</x:v>
      </x:c>
      <x:c r="H8" t="n">
        <x:v>5</x:v>
      </x:c>
      <x:c r="I8" t="n">
        <x:v>92</x:v>
      </x:c>
      <x:c r="J8" t="n">
        <x:v>90</x:v>
      </x:c>
      <x:c r="K8" t="str">
        <x:v>ATTACK</x:v>
      </x:c>
      <x:c r="L8" t="str">
        <x:v>51.392011, -0.021746</x:v>
      </x:c>
    </x:row>
    <x:row r="9">
      <x:c r="A9" t="n">
        <x:v>6</x:v>
      </x:c>
      <x:c r="B9" t="str">
        <x:v>E01000661</x:v>
      </x:c>
      <x:c r="C9" t="str">
        <x:v>Bromley 026A</x:v>
      </x:c>
      <x:c r="D9" t="str">
        <x:v>Bromley</x:v>
      </x:c>
      <x:c r="E9" t="n">
        <x:v>452</x:v>
      </x:c>
      <x:c r="F9" s="32" t="n">
        <x:v>0.3827265029635902</x:v>
      </x:c>
      <x:c r="G9" s="45" t="n">
        <x:v>1.7096563890399867</x:v>
      </x:c>
      <x:c r="H9" t="n">
        <x:v>3</x:v>
      </x:c>
      <x:c r="I9" t="n">
        <x:v>86</x:v>
      </x:c>
      <x:c r="J9" t="n">
        <x:v>90</x:v>
      </x:c>
      <x:c r="K9" t="str">
        <x:v>ATTACK</x:v>
      </x:c>
      <x:c r="L9" t="str">
        <x:v>51.385744, 0.040873</x:v>
      </x:c>
    </x:row>
    <x:row r="10">
      <x:c r="A10" t="n">
        <x:v>7</x:v>
      </x:c>
      <x:c r="B10" t="str">
        <x:v>E01000707</x:v>
      </x:c>
      <x:c r="C10" t="str">
        <x:v>Bromley 041A</x:v>
      </x:c>
      <x:c r="D10" t="str">
        <x:v>Bromley</x:v>
      </x:c>
      <x:c r="E10" t="n">
        <x:v>267</x:v>
      </x:c>
      <x:c r="F10" s="32" t="n">
        <x:v>0.5037735849056604</x:v>
      </x:c>
      <x:c r="G10" s="45" t="n">
        <x:v>4.180038948397988</x:v>
      </x:c>
      <x:c r="H10" t="n">
        <x:v>4</x:v>
      </x:c>
      <x:c r="I10" t="n">
        <x:v>84</x:v>
      </x:c>
      <x:c r="J10" t="n">
        <x:v>89</x:v>
      </x:c>
      <x:c r="K10" t="str">
        <x:v>ATTACK</x:v>
      </x:c>
      <x:c r="L10" t="str">
        <x:v>51.403975, -0.038830</x:v>
      </x:c>
    </x:row>
    <x:row r="11">
      <x:c r="A11" t="n">
        <x:v>8</x:v>
      </x:c>
      <x:c r="B11" t="str">
        <x:v>E01001109</x:v>
      </x:c>
      <x:c r="C11" t="str">
        <x:v>Croydon 013B</x:v>
      </x:c>
      <x:c r="D11" t="str">
        <x:v>Croydon</x:v>
      </x:c>
      <x:c r="E11" t="n">
        <x:v>335</x:v>
      </x:c>
      <x:c r="F11" s="32" t="n">
        <x:v>0.3471502590673575</x:v>
      </x:c>
      <x:c r="G11" s="45" t="n">
        <x:v>7.493556406338718</x:v>
      </x:c>
      <x:c r="H11" t="n">
        <x:v>3</x:v>
      </x:c>
      <x:c r="I11" t="n">
        <x:v>100</x:v>
      </x:c>
      <x:c r="J11" t="n">
        <x:v>89</x:v>
      </x:c>
      <x:c r="K11" t="str">
        <x:v>ATTACK</x:v>
      </x:c>
      <x:c r="L11" t="str">
        <x:v>51.386815, -0.090076</x:v>
      </x:c>
    </x:row>
    <x:row r="12">
      <x:c r="A12" t="n">
        <x:v>9</x:v>
      </x:c>
      <x:c r="B12" t="str">
        <x:v>E01000694</x:v>
      </x:c>
      <x:c r="C12" t="str">
        <x:v>Bromley 007C</x:v>
      </x:c>
      <x:c r="D12" t="str">
        <x:v>Bromley</x:v>
      </x:c>
      <x:c r="E12" t="n">
        <x:v>331</x:v>
      </x:c>
      <x:c r="F12" s="32" t="n">
        <x:v>0.37316798196166856</x:v>
      </x:c>
      <x:c r="G12" s="45" t="n">
        <x:v>3.9073338136248394</x:v>
      </x:c>
      <x:c r="H12" t="n">
        <x:v>4</x:v>
      </x:c>
      <x:c r="I12" t="n">
        <x:v>86</x:v>
      </x:c>
      <x:c r="J12" t="n">
        <x:v>88</x:v>
      </x:c>
      <x:c r="K12" t="str">
        <x:v>ATTACK</x:v>
      </x:c>
      <x:c r="L12" t="str">
        <x:v>51.419192, 0.051302</x:v>
      </x:c>
    </x:row>
    <x:row r="13">
      <x:c r="A13" t="n">
        <x:v>10</x:v>
      </x:c>
      <x:c r="B13" t="str">
        <x:v>E01000677</x:v>
      </x:c>
      <x:c r="C13" t="str">
        <x:v>Bromley 018C</x:v>
      </x:c>
      <x:c r="D13" t="str">
        <x:v>Bromley</x:v>
      </x:c>
      <x:c r="E13" t="n">
        <x:v>285</x:v>
      </x:c>
      <x:c r="F13" s="32" t="n">
        <x:v>0.35403726708074534</x:v>
      </x:c>
      <x:c r="G13" s="45" t="n">
        <x:v>1.5320492984209924</x:v>
      </x:c>
      <x:c r="H13" t="n">
        <x:v>4</x:v>
      </x:c>
      <x:c r="I13" t="n">
        <x:v>94</x:v>
      </x:c>
      <x:c r="J13" t="n">
        <x:v>88</x:v>
      </x:c>
      <x:c r="K13" t="str">
        <x:v>ATTACK</x:v>
      </x:c>
      <x:c r="L13" t="str">
        <x:v>51.403462, 0.008347</x:v>
      </x:c>
    </x:row>
    <x:row r="14">
      <x:c r="A14" t="n">
        <x:v>11</x:v>
      </x:c>
      <x:c r="B14" t="str">
        <x:v>E01000679</x:v>
      </x:c>
      <x:c r="C14" t="str">
        <x:v>Bromley 020E</x:v>
      </x:c>
      <x:c r="D14" t="str">
        <x:v>Bromley</x:v>
      </x:c>
      <x:c r="E14" t="n">
        <x:v>273</x:v>
      </x:c>
      <x:c r="F14" s="32" t="n">
        <x:v>0.4050445103857567</x:v>
      </x:c>
      <x:c r="G14" s="45" t="n">
        <x:v>1.2337862576023344</x:v>
      </x:c>
      <x:c r="H14" t="n">
        <x:v>3</x:v>
      </x:c>
      <x:c r="I14" t="n">
        <x:v>86</x:v>
      </x:c>
      <x:c r="J14" t="n">
        <x:v>88</x:v>
      </x:c>
      <x:c r="K14" t="str">
        <x:v>ATTACK</x:v>
      </x:c>
      <x:c r="L14" t="str">
        <x:v>51.396671, 0.032979</x:v>
      </x:c>
    </x:row>
    <x:row r="15">
      <x:c r="A15" t="n">
        <x:v>12</x:v>
      </x:c>
      <x:c r="B15" t="str">
        <x:v>E01000829</x:v>
      </x:c>
      <x:c r="C15" t="str">
        <x:v>Bromley 018E</x:v>
      </x:c>
      <x:c r="D15" t="str">
        <x:v>Bromley</x:v>
      </x:c>
      <x:c r="E15" t="n">
        <x:v>260</x:v>
      </x:c>
      <x:c r="F15" s="32" t="n">
        <x:v>0.36984352773826457</x:v>
      </x:c>
      <x:c r="G15" s="45" t="n">
        <x:v>1.032781623563535</x:v>
      </x:c>
      <x:c r="H15" t="n">
        <x:v>4</x:v>
      </x:c>
      <x:c r="I15" t="n">
        <x:v>94</x:v>
      </x:c>
      <x:c r="J15" t="n">
        <x:v>87</x:v>
      </x:c>
      <x:c r="K15" t="str">
        <x:v>ATTACK</x:v>
      </x:c>
      <x:c r="L15" t="str">
        <x:v>51.399184, 0.010720</x:v>
      </x:c>
    </x:row>
    <x:row r="16">
      <x:c r="A16" t="n">
        <x:v>13</x:v>
      </x:c>
      <x:c r="B16" t="str">
        <x:v>E01000777</x:v>
      </x:c>
      <x:c r="C16" t="str">
        <x:v>Bromley 024D</x:v>
      </x:c>
      <x:c r="D16" t="str">
        <x:v>Bromley</x:v>
      </x:c>
      <x:c r="E16" t="n">
        <x:v>240</x:v>
      </x:c>
      <x:c r="F16" s="32" t="n">
        <x:v>0.43010752688172044</x:v>
      </x:c>
      <x:c r="G16" s="45" t="n">
        <x:v>3.5414004089146007</x:v>
      </x:c>
      <x:c r="H16" t="n">
        <x:v>4</x:v>
      </x:c>
      <x:c r="I16" t="n">
        <x:v>93</x:v>
      </x:c>
      <x:c r="J16" t="n">
        <x:v>87</x:v>
      </x:c>
      <x:c r="K16" t="str">
        <x:v>ATTACK</x:v>
      </x:c>
      <x:c r="L16" t="str">
        <x:v>51.392850, -0.033243</x:v>
      </x:c>
    </x:row>
    <x:row r="17">
      <x:c r="A17" t="n">
        <x:v>14</x:v>
      </x:c>
      <x:c r="B17" t="str">
        <x:v>E01000766</x:v>
      </x:c>
      <x:c r="C17" t="str">
        <x:v>Bromley 027C</x:v>
      </x:c>
      <x:c r="D17" t="str">
        <x:v>Bromley</x:v>
      </x:c>
      <x:c r="E17" t="n">
        <x:v>260</x:v>
      </x:c>
      <x:c r="F17" s="32" t="n">
        <x:v>0.401854714064915</x:v>
      </x:c>
      <x:c r="G17" s="45" t="n">
        <x:v>1.4825821364669707</x:v>
      </x:c>
      <x:c r="H17" t="n">
        <x:v>2</x:v>
      </x:c>
      <x:c r="I17" t="n">
        <x:v>86</x:v>
      </x:c>
      <x:c r="J17" t="n">
        <x:v>87</x:v>
      </x:c>
      <x:c r="K17" t="str">
        <x:v>ATTACK</x:v>
      </x:c>
      <x:c r="L17" t="str">
        <x:v>51.380135, 0.005290</x:v>
      </x:c>
    </x:row>
    <x:row r="18">
      <x:c r="A18" t="n">
        <x:v>15</x:v>
      </x:c>
      <x:c r="B18" t="str">
        <x:v>E01003190</x:v>
      </x:c>
      <x:c r="C18" t="str">
        <x:v>Lewisham 034B</x:v>
      </x:c>
      <x:c r="D18" t="str">
        <x:v>Lewisham</x:v>
      </x:c>
      <x:c r="E18" t="n">
        <x:v>382</x:v>
      </x:c>
      <x:c r="F18" s="32" t="n">
        <x:v>0.40210526315789474</x:v>
      </x:c>
      <x:c r="G18" s="45" t="n">
        <x:v>5.468521700173106</x:v>
      </x:c>
      <x:c r="H18" t="n">
        <x:v>3</x:v>
      </x:c>
      <x:c r="I18" t="n">
        <x:v>83</x:v>
      </x:c>
      <x:c r="J18" t="n">
        <x:v>87</x:v>
      </x:c>
      <x:c r="K18" t="str">
        <x:v>ATTACK</x:v>
      </x:c>
      <x:c r="L18" t="str">
        <x:v>51.427046, -0.035898</x:v>
      </x:c>
    </x:row>
    <x:row r="19">
      <x:c r="A19" t="n">
        <x:v>16</x:v>
      </x:c>
      <x:c r="B19" t="str">
        <x:v>E01000678</x:v>
      </x:c>
      <x:c r="C19" t="str">
        <x:v>Bromley 016E</x:v>
      </x:c>
      <x:c r="D19" t="str">
        <x:v>Bromley</x:v>
      </x:c>
      <x:c r="E19" t="n">
        <x:v>256</x:v>
      </x:c>
      <x:c r="F19" s="32" t="n">
        <x:v>0.36623748211731044</x:v>
      </x:c>
      <x:c r="G19" s="45" t="n">
        <x:v>1.1093697092774624</x:v>
      </x:c>
      <x:c r="H19" t="n">
        <x:v>4</x:v>
      </x:c>
      <x:c r="I19" t="n">
        <x:v>94</x:v>
      </x:c>
      <x:c r="J19" t="n">
        <x:v>86</x:v>
      </x:c>
      <x:c r="K19" t="str">
        <x:v>ATTACK</x:v>
      </x:c>
      <x:c r="L19" t="str">
        <x:v>51.400132, 0.024092</x:v>
      </x:c>
    </x:row>
    <x:row r="20">
      <x:c r="A20" t="n">
        <x:v>17</x:v>
      </x:c>
      <x:c r="B20" t="str">
        <x:v>E01001004</x:v>
      </x:c>
      <x:c r="C20" t="str">
        <x:v>Croydon 015A</x:v>
      </x:c>
      <x:c r="D20" t="str">
        <x:v>Croydon</x:v>
      </x:c>
      <x:c r="E20" t="n">
        <x:v>311</x:v>
      </x:c>
      <x:c r="F20" s="32" t="n">
        <x:v>0.39820742637644047</x:v>
      </x:c>
      <x:c r="G20" s="45" t="n">
        <x:v>8.480325572252168</x:v>
      </x:c>
      <x:c r="H20" t="n">
        <x:v>3</x:v>
      </x:c>
      <x:c r="I20" t="n">
        <x:v>84</x:v>
      </x:c>
      <x:c r="J20" t="n">
        <x:v>86</x:v>
      </x:c>
      <x:c r="K20" t="str">
        <x:v>ATTACK</x:v>
      </x:c>
      <x:c r="L20" t="str">
        <x:v>51.391223, -0.104509</x:v>
      </x:c>
    </x:row>
    <x:row r="21">
      <x:c r="A21" t="n">
        <x:v>18</x:v>
      </x:c>
      <x:c r="B21" t="str">
        <x:v>E01001181</x:v>
      </x:c>
      <x:c r="C21" t="str">
        <x:v>Croydon 015E</x:v>
      </x:c>
      <x:c r="D21" t="str">
        <x:v>Croydon</x:v>
      </x:c>
      <x:c r="E21" t="n">
        <x:v>407</x:v>
      </x:c>
      <x:c r="F21" s="32" t="n">
        <x:v>0.4567901234567901</x:v>
      </x:c>
      <x:c r="G21" s="45" t="n">
        <x:v>9.003593036113612</x:v>
      </x:c>
      <x:c r="H21" t="n">
        <x:v>3</x:v>
      </x:c>
      <x:c r="I21" t="n">
        <x:v>76</x:v>
      </x:c>
      <x:c r="J21" t="n">
        <x:v>86</x:v>
      </x:c>
      <x:c r="K21" t="str">
        <x:v>ATTACK</x:v>
      </x:c>
      <x:c r="L21" t="str">
        <x:v>51.387810, -0.111947</x:v>
      </x:c>
    </x:row>
    <x:row r="22">
      <x:c r="A22" t="n">
        <x:v>19</x:v>
      </x:c>
      <x:c r="B22" t="str">
        <x:v>E01003240</x:v>
      </x:c>
      <x:c r="C22" t="str">
        <x:v>Lewisham 038B</x:v>
      </x:c>
      <x:c r="D22" t="str">
        <x:v>Lewisham</x:v>
      </x:c>
      <x:c r="E22" t="n">
        <x:v>293</x:v>
      </x:c>
      <x:c r="F22" s="32" t="n">
        <x:v>0.4097902097902098</x:v>
      </x:c>
      <x:c r="G22" s="45" t="n">
        <x:v>3.979929438971035</x:v>
      </x:c>
      <x:c r="H22" t="n">
        <x:v>3</x:v>
      </x:c>
      <x:c r="I22" t="n">
        <x:v>77</x:v>
      </x:c>
      <x:c r="J22" t="n">
        <x:v>86</x:v>
      </x:c>
      <x:c r="K22" t="str">
        <x:v>ATTACK</x:v>
      </x:c>
      <x:c r="L22" t="str">
        <x:v>51.425113, 0.000422</x:v>
      </x:c>
    </x:row>
    <x:row r="23">
      <x:c r="A23" t="n">
        <x:v>20</x:v>
      </x:c>
      <x:c r="B23" t="str">
        <x:v>E01000764</x:v>
      </x:c>
      <x:c r="C23" t="str">
        <x:v>Bromley 027B</x:v>
      </x:c>
      <x:c r="D23" t="str">
        <x:v>Bromley</x:v>
      </x:c>
      <x:c r="E23" t="n">
        <x:v>257</x:v>
      </x:c>
      <x:c r="F23" s="32" t="n">
        <x:v>0.3893939393939394</x:v>
      </x:c>
      <x:c r="G23" s="45" t="n">
        <x:v>0.8209119885837795</x:v>
      </x:c>
      <x:c r="H23" t="n">
        <x:v>2</x:v>
      </x:c>
      <x:c r="I23" t="n">
        <x:v>86</x:v>
      </x:c>
      <x:c r="J23" t="n">
        <x:v>85</x:v>
      </x:c>
      <x:c r="K23" t="str">
        <x:v>ATTACK</x:v>
      </x:c>
      <x:c r="L23" t="str">
        <x:v>51.385415, 0.009944</x:v>
      </x:c>
    </x:row>
    <x:row r="26">
      <x:c r="A26" s="12" t="str">
        <x:v>Method</x:v>
      </x:c>
      <x:c r="B26" s="12" t="str"/>
    </x:row>
    <x:row r="27">
      <x:c r="A27" s="12" t="str">
        <x:v>Girls nodes</x:v>
      </x:c>
      <x:c r="B27" s="12" t="str">
        <x:v>Only verified nodes currently sourced; absence of a node is not evidence of absence.</x:v>
      </x:c>
    </x:row>
    <x:row r="28">
      <x:c r="A28" s="12" t="str">
        <x:v>Catchment count</x:v>
      </x:c>
      <x:c r="B28" s="12" t="str">
        <x:v>Number of verified nodes within 6 km straight-line of each LSOA centroid.</x:v>
      </x:c>
    </x:row>
    <x:row r="29">
      <x:c r="A29" s="12" t="str">
        <x:v>Network score</x:v>
      </x:c>
      <x:c r="B29" s="12" t="str">
        <x:v>Strength-weighted distance decay: ≤2km 100%; 2–4km 75%; 4–6km 50%; 6–8km 25%; &gt;8km 0%, normalized to 100.</x:v>
      </x:c>
    </x:row>
    <x:row r="30">
      <x:c r="A30" s="12" t="str">
        <x:v>Provisional score</x:v>
      </x:c>
      <x:c r="B30" s="12" t="str">
        <x:v>55% family-first signal + 45% verified girls-network signal.</x:v>
      </x:c>
    </x:row>
    <x:row r="31">
      <x:c r="A31" s="12" t="str">
        <x:v>Missing layer</x:v>
      </x:c>
      <x:c r="B31" s="12" t="str">
        <x:v>Sunday public-transport travel time and transfers to Hayes Lane. Final Opportunity Score remains intentionally incomplete.</x:v>
      </x:c>
    </x:row>
  </x:sheetData>
  <x:mergeCells>
    <x:mergeCell ref="A1:L1"/>
  </x:mergeCells>
  <x:conditionalFormatting sqref="I4:J2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{934CEE03-817F-CC2F-A829-A9DEA8E69B7F}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34CEE03-817F-CC2F-A829-A9DEA8E69B7F}">
            <x14:dataBar gradient="1">
              <x14:cfvo type="min"/>
              <x14:cfvo type="max"/>
              <x14:fillColor rgb="FFA02B93"/>
            </x14:dataBar>
          </x14:cfRule>
          <xm:sqref>I4:J23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14" hidden="0" customWidth="1"/>
    <x:col min="4" max="4" width="30" hidden="0" customWidth="1"/>
    <x:col min="5" max="5" width="20" hidden="0" customWidth="1"/>
    <x:col min="6" max="6" width="16" hidden="0" customWidth="1"/>
    <x:col min="7" max="7" width="16" hidden="0" customWidth="1"/>
    <x:col min="8" max="8" width="15" hidden="0" customWidth="1"/>
    <x:col min="9" max="9" width="12" hidden="0" customWidth="1"/>
    <x:col min="10" max="10" width="16" hidden="0" customWidth="1"/>
    <x:col min="11" max="11" width="18" hidden="0" customWidth="1"/>
    <x:col min="12" max="12" width="14" hidden="0" customWidth="1"/>
    <x:col min="13" max="13" width="16" hidden="0" customWidth="1"/>
    <x:col min="14" max="14" width="60" hidden="0" customWidth="1"/>
    <x:col min="15" max="15" width="28" hidden="0" customWidth="1"/>
    <x:col min="16" max="16" width="16" hidden="0" customWidth="1"/>
    <x:col min="17" max="17" width="30" hidden="0" customWidth="1"/>
    <x:col min="18" max="18" width="16" hidden="0" customWidth="1"/>
    <x:col min="19" max="19" width="20" hidden="0" customWidth="1"/>
  </x:cols>
  <x:sheetData>
    <x:row r="1">
      <x:c r="A1" s="64" t="str">
        <x:v>Fan Opportunity Engine — Matchday-Validated Shortlist</x:v>
      </x:c>
    </x:row>
    <x:row r="3">
      <x:c r="A3" s="67" t="str">
        <x:v>LSOA</x:v>
      </x:c>
      <x:c r="B3" s="67" t="str">
        <x:v>Name</x:v>
      </x:c>
      <x:c r="C3" s="67" t="str">
        <x:v>Borough</x:v>
      </x:c>
      <x:c r="D3" s="67" t="str">
        <x:v>Representative area</x:v>
      </x:c>
      <x:c r="E3" s="67" t="str">
        <x:v>Households w/ children</x:v>
      </x:c>
      <x:c r="F3" s="67" t="str">
        <x:v>Family density</x:v>
      </x:c>
      <x:c r="G3" s="67" t="str">
        <x:v>Girls network</x:v>
      </x:c>
      <x:c r="H3" s="67" t="str">
        <x:v>Sunday minutes</x:v>
      </x:c>
      <x:c r="I3" s="67" t="str">
        <x:v>Transfers</x:v>
      </x:c>
      <x:c r="J3" s="67" t="str">
        <x:v>Friction score</x:v>
      </x:c>
      <x:c r="K3" s="67" t="str">
        <x:v>Final Opportunity</x:v>
      </x:c>
      <x:c r="L3" s="67" t="str">
        <x:v>Tier</x:v>
      </x:c>
      <x:c r="M3" s="67" t="str">
        <x:v>Confidence</x:v>
      </x:c>
      <x:c r="N3" s="67" t="str">
        <x:v>Evidence</x:v>
      </x:c>
      <x:c r="O3" s="76" t="str">
        <x:v>Nearest Tier 1 competitor</x:v>
      </x:c>
      <x:c r="P3" s="76" t="str">
        <x:v>Km to Tier 1</x:v>
      </x:c>
      <x:c r="Q3" s="76" t="str">
        <x:v>Nearest local club</x:v>
      </x:c>
      <x:c r="R3" s="76" t="str">
        <x:v>Km to local club</x:v>
      </x:c>
      <x:c r="S3" s="76" t="str">
        <x:v>Competition pressure</x:v>
      </x:c>
    </x:row>
    <x:row r="4">
      <x:c r="A4" s="12" t="str">
        <x:v>E01000647</x:v>
      </x:c>
      <x:c r="B4" s="12" t="str">
        <x:v>Bromley 016B</x:v>
      </x:c>
      <x:c r="C4" s="12" t="str">
        <x:v>Bromley</x:v>
      </x:c>
      <x:c r="D4" s="12" t="str">
        <x:v>BR1 3ES / Bromley Town-Bickley edge</x:v>
      </x:c>
      <x:c r="E4" s="12" t="n">
        <x:v>269</x:v>
      </x:c>
      <x:c r="F4" s="26" t="n">
        <x:v>0.41640866873065013</x:v>
      </x:c>
      <x:c r="G4" s="33" t="n">
        <x:v>93</x:v>
      </x:c>
      <x:c r="H4" s="33" t="n">
        <x:v>20</x:v>
      </x:c>
      <x:c r="I4" s="33" t="n">
        <x:v>0</x:v>
      </x:c>
      <x:c r="J4" s="33" t="n">
        <x:v>100</x:v>
      </x:c>
      <x:c r="K4" s="33" t="n">
        <x:v>95</x:v>
      </x:c>
      <x:c r="L4" s="12" t="str">
        <x:v>ATTACK</x:v>
      </x:c>
      <x:c r="M4" s="12" t="str">
        <x:v>HIGH</x:v>
      </x:c>
      <x:c r="N4" s="12" t="str">
        <x:v>Representative postcode is ~1,114 yd from Ravensbourne School on Hayes Lane.</x:v>
      </x:c>
      <x:c r="O4" t="str">
        <x:v>Crystal Palace Women</x:v>
      </x:c>
      <x:c r="P4" s="45" t="n">
        <x:v>8.19822060342192</x:v>
      </x:c>
      <x:c r="Q4" t="str">
        <x:v>Dulwich Hamlet Women</x:v>
      </x:c>
      <x:c r="R4" s="45" t="n">
        <x:v>10.353324166570408</x:v>
      </x:c>
      <x:c r="S4" t="n">
        <x:v>65</x:v>
      </x:c>
    </x:row>
    <x:row r="5">
      <x:c r="A5" s="12" t="str">
        <x:v>E01032569</x:v>
      </x:c>
      <x:c r="B5" s="12" t="str">
        <x:v>Croydon 045E</x:v>
      </x:c>
      <x:c r="C5" s="12" t="str">
        <x:v>Croydon</x:v>
      </x:c>
      <x:c r="D5" s="12" t="str">
        <x:v>CR0 7TA / Shirley North</x:v>
      </x:c>
      <x:c r="E5" s="12" t="n">
        <x:v>288</x:v>
      </x:c>
      <x:c r="F5" s="26" t="n">
        <x:v>0.4222873900293255</x:v>
      </x:c>
      <x:c r="G5" s="33" t="n">
        <x:v>100</x:v>
      </x:c>
      <x:c r="H5" s="33" t="n">
        <x:v>25</x:v>
      </x:c>
      <x:c r="I5" s="33" t="n">
        <x:v>0</x:v>
      </x:c>
      <x:c r="J5" s="33" t="n">
        <x:v>85</x:v>
      </x:c>
      <x:c r="K5" s="33" t="n">
        <x:v>94</x:v>
      </x:c>
      <x:c r="L5" s="12" t="str">
        <x:v>ATTACK</x:v>
      </x:c>
      <x:c r="M5" s="12" t="str">
        <x:v>MED-HIGH</x:v>
      </x:c>
      <x:c r="N5" s="12" t="str">
        <x:v>119 is direct Hayes Lane/Norman Park–Shirley corridor; Sunday high-frequency service.</x:v>
      </x:c>
      <x:c r="O5" t="str">
        <x:v>Crystal Palace Women</x:v>
      </x:c>
      <x:c r="P5" s="45" t="n">
        <x:v>2.250554630740179</x:v>
      </x:c>
      <x:c r="Q5" t="str">
        <x:v>Dulwich Hamlet Women</x:v>
      </x:c>
      <x:c r="R5" s="45" t="n">
        <x:v>7.937317711413929</x:v>
      </x:c>
      <x:c r="S5" t="n">
        <x:v>92</x:v>
      </x:c>
    </x:row>
    <x:row r="6">
      <x:c r="A6" s="12" t="str">
        <x:v>E01000661</x:v>
      </x:c>
      <x:c r="B6" s="12" t="str">
        <x:v>Bromley 026A</x:v>
      </x:c>
      <x:c r="C6" s="12" t="str">
        <x:v>Bromley</x:v>
      </x:c>
      <x:c r="D6" s="12" t="str">
        <x:v>BR2 9TS / Bromley Common-Chatterton</x:v>
      </x:c>
      <x:c r="E6" s="12" t="n">
        <x:v>452</x:v>
      </x:c>
      <x:c r="F6" s="26" t="n">
        <x:v>0.3827265029635902</x:v>
      </x:c>
      <x:c r="G6" s="33" t="n">
        <x:v>86</x:v>
      </x:c>
      <x:c r="H6" s="33" t="n">
        <x:v>20</x:v>
      </x:c>
      <x:c r="I6" s="33" t="n">
        <x:v>0</x:v>
      </x:c>
      <x:c r="J6" s="33" t="n">
        <x:v>100</x:v>
      </x:c>
      <x:c r="K6" s="33" t="n">
        <x:v>90</x:v>
      </x:c>
      <x:c r="L6" s="12" t="str">
        <x:v>ATTACK</x:v>
      </x:c>
      <x:c r="M6" s="12" t="str">
        <x:v>HIGH</x:v>
      </x:c>
      <x:c r="N6" s="12" t="str">
        <x:v>Representative postcode ~1,026 yd from Norman Park and ~1,665 yd from Ravensbourne School.</x:v>
      </x:c>
      <x:c r="O6" t="str">
        <x:v>Crystal Palace Women</x:v>
      </x:c>
      <x:c r="P6" s="45" t="n">
        <x:v>8.854467011294627</x:v>
      </x:c>
      <x:c r="Q6" t="str">
        <x:v>Dulwich Hamlet Women</x:v>
      </x:c>
      <x:c r="R6" s="45" t="n">
        <x:v>12.064997109862468</x:v>
      </x:c>
      <x:c r="S6" t="n">
        <x:v>65</x:v>
      </x:c>
    </x:row>
    <x:row r="7">
      <x:c r="A7" s="12" t="str">
        <x:v>E01000707</x:v>
      </x:c>
      <x:c r="B7" s="12" t="str">
        <x:v>Bromley 041A</x:v>
      </x:c>
      <x:c r="C7" s="12" t="str">
        <x:v>Bromley</x:v>
      </x:c>
      <x:c r="D7" s="12" t="str">
        <x:v>BR3 4HN / Clock House-Beckenham</x:v>
      </x:c>
      <x:c r="E7" s="12" t="n">
        <x:v>267</x:v>
      </x:c>
      <x:c r="F7" s="26" t="n">
        <x:v>0.5037735849056604</x:v>
      </x:c>
      <x:c r="G7" s="33" t="n">
        <x:v>84</x:v>
      </x:c>
      <x:c r="H7" s="33" t="n">
        <x:v>25</x:v>
      </x:c>
      <x:c r="I7" s="33" t="n">
        <x:v>0</x:v>
      </x:c>
      <x:c r="J7" s="33" t="n">
        <x:v>85</x:v>
      </x:c>
      <x:c r="K7" s="33" t="n">
        <x:v>90</x:v>
      </x:c>
      <x:c r="L7" s="12" t="str">
        <x:v>ATTACK</x:v>
      </x:c>
      <x:c r="M7" s="12" t="str">
        <x:v>MEDIUM</x:v>
      </x:c>
      <x:c r="N7" s="12" t="str">
        <x:v>Beckenham→Hayes bus journey ~12 min; allow local access/last-mile to stadium.</x:v>
      </x:c>
      <x:c r="O7" t="str">
        <x:v>Crystal Palace Women</x:v>
      </x:c>
      <x:c r="P7" s="45" t="n">
        <x:v>3.275085350939185</x:v>
      </x:c>
      <x:c r="Q7" t="str">
        <x:v>Dulwich Hamlet Women</x:v>
      </x:c>
      <x:c r="R7" s="45" t="n">
        <x:v>7.103233123362416</x:v>
      </x:c>
      <x:c r="S7" t="n">
        <x:v>81</x:v>
      </x:c>
    </x:row>
    <x:row r="8">
      <x:c r="A8" s="12" t="str">
        <x:v>E01001114</x:v>
      </x:c>
      <x:c r="B8" s="12" t="str">
        <x:v>Croydon 013E</x:v>
      </x:c>
      <x:c r="C8" s="12" t="str">
        <x:v>Croydon</x:v>
      </x:c>
      <x:c r="D8" s="12" t="str">
        <x:v>CR0 2GR / Selhurst</x:v>
      </x:c>
      <x:c r="E8" s="12" t="n">
        <x:v>257</x:v>
      </x:c>
      <x:c r="F8" s="26" t="n">
        <x:v>0.4269102990033223</x:v>
      </x:c>
      <x:c r="G8" s="33" t="n">
        <x:v>100</x:v>
      </x:c>
      <x:c r="H8" s="33" t="n">
        <x:v>40</x:v>
      </x:c>
      <x:c r="I8" s="33" t="n">
        <x:v>1</x:v>
      </x:c>
      <x:c r="J8" s="33" t="n">
        <x:v>65</x:v>
      </x:c>
      <x:c r="K8" s="33" t="n">
        <x:v>88</x:v>
      </x:c>
      <x:c r="L8" s="12" t="str">
        <x:v>ATTACK</x:v>
      </x:c>
      <x:c r="M8" s="12" t="str">
        <x:v>MEDIUM</x:v>
      </x:c>
      <x:c r="N8" s="12" t="str">
        <x:v>119 gives Hayes Lane–East Croydon corridor; Selhurst needs a local first/last leg.</x:v>
      </x:c>
      <x:c r="O8" t="str">
        <x:v>Crystal Palace Women</x:v>
      </x:c>
      <x:c r="P8" s="45" t="n">
        <x:v>0.9026033723628143</x:v>
      </x:c>
      <x:c r="Q8" t="str">
        <x:v>Dulwich Hamlet Women</x:v>
      </x:c>
      <x:c r="R8" s="45" t="n">
        <x:v>7.70677861116793</x:v>
      </x:c>
      <x:c r="S8" t="n">
        <x:v>92</x:v>
      </x:c>
    </x:row>
    <x:row r="9">
      <x:c r="A9" s="12" t="str">
        <x:v>E01003347</x:v>
      </x:c>
      <x:c r="B9" s="12" t="str">
        <x:v>Lewisham 030A</x:v>
      </x:c>
      <x:c r="C9" s="12" t="str">
        <x:v>Lewisham</x:v>
      </x:c>
      <x:c r="D9" s="12" t="str">
        <x:v>Downham / Lewisham 030A</x:v>
      </x:c>
      <x:c r="E9" s="12" t="n">
        <x:v>310</x:v>
      </x:c>
      <x:c r="F9" s="26" t="n">
        <x:v>0.4740061162079511</x:v>
      </x:c>
      <x:c r="G9" s="33" t="n">
        <x:v>83</x:v>
      </x:c>
      <x:c r="H9" s="33" t="n">
        <x:v>35</x:v>
      </x:c>
      <x:c r="I9" s="33" t="n">
        <x:v>1</x:v>
      </x:c>
      <x:c r="J9" s="33" t="n">
        <x:v>65</x:v>
      </x:c>
      <x:c r="K9" s="33" t="n">
        <x:v>83</x:v>
      </x:c>
      <x:c r="L9" s="12" t="str">
        <x:v>ATTACK</x:v>
      </x:c>
      <x:c r="M9" s="12" t="str">
        <x:v>MEDIUM</x:v>
      </x:c>
      <x:c r="N9" s="12" t="str">
        <x:v>Downham–Hayes Station ~23 min by 638; short final leg to Hayes Lane.</x:v>
      </x:c>
      <x:c r="O9" t="str">
        <x:v>Charlton Athletic Women</x:v>
      </x:c>
      <x:c r="P9" s="45" t="n">
        <x:v>6.238030737082357</x:v>
      </x:c>
      <x:c r="Q9" t="str">
        <x:v>Dulwich Hamlet Women</x:v>
      </x:c>
      <x:c r="R9" s="45" t="n">
        <x:v>6.706065623127232</x:v>
      </x:c>
      <x:c r="S9" t="n">
        <x:v>70</x:v>
      </x:c>
    </x:row>
    <x:row r="10">
      <x:c r="A10" s="12" t="str">
        <x:v>E01000775</x:v>
      </x:c>
      <x:c r="B10" s="12" t="str">
        <x:v>Bromley 024C</x:v>
      </x:c>
      <x:c r="C10" s="12" t="str">
        <x:v>Bromley</x:v>
      </x:c>
      <x:c r="D10" s="12" t="str">
        <x:v>BR3 3LY / Eden Park</x:v>
      </x:c>
      <x:c r="E10" s="12" t="n">
        <x:v>315</x:v>
      </x:c>
      <x:c r="F10" s="26" t="n">
        <x:v>0.3679906542056075</x:v>
      </x:c>
      <x:c r="G10" s="33" t="n">
        <x:v>92</x:v>
      </x:c>
      <x:c r="H10" s="33" t="n">
        <x:v>35</x:v>
      </x:c>
      <x:c r="I10" s="33" t="n">
        <x:v>1</x:v>
      </x:c>
      <x:c r="J10" s="33" t="n">
        <x:v>65</x:v>
      </x:c>
      <x:c r="K10" s="33" t="n">
        <x:v>79</x:v>
      </x:c>
      <x:c r="L10" s="12" t="str">
        <x:v>GROW</x:v>
      </x:c>
      <x:c r="M10" s="12" t="str">
        <x:v>MEDIUM</x:v>
      </x:c>
      <x:c r="N10" s="12" t="str">
        <x:v>Eden Park→Hayes ~29 min; short local final leg to Hayes Lane.</x:v>
      </x:c>
      <x:c r="O10" t="str">
        <x:v>Crystal Palace Women</x:v>
      </x:c>
      <x:c r="P10" s="45" t="n">
        <x:v>4.453870041174495</x:v>
      </x:c>
      <x:c r="Q10" t="str">
        <x:v>Dulwich Hamlet Women</x:v>
      </x:c>
      <x:c r="R10" s="45" t="n">
        <x:v>8.832520117332209</x:v>
      </x:c>
      <x:c r="S10" t="n">
        <x:v>81</x:v>
      </x:c>
    </x:row>
    <x:row r="11">
      <x:c r="A11" s="12" t="str">
        <x:v>E01001109</x:v>
      </x:c>
      <x:c r="B11" s="12" t="str">
        <x:v>Croydon 013B</x:v>
      </x:c>
      <x:c r="C11" s="12" t="str">
        <x:v>Croydon</x:v>
      </x:c>
      <x:c r="D11" s="12" t="str">
        <x:v>CR0 2ED / Selhurst</x:v>
      </x:c>
      <x:c r="E11" s="12" t="n">
        <x:v>335</x:v>
      </x:c>
      <x:c r="F11" s="26" t="n">
        <x:v>0.3471502590673575</x:v>
      </x:c>
      <x:c r="G11" s="33" t="n">
        <x:v>100</x:v>
      </x:c>
      <x:c r="H11" s="33" t="n">
        <x:v>40</x:v>
      </x:c>
      <x:c r="I11" s="33" t="n">
        <x:v>1</x:v>
      </x:c>
      <x:c r="J11" s="33" t="n">
        <x:v>65</x:v>
      </x:c>
      <x:c r="K11" s="33" t="n">
        <x:v>78</x:v>
      </x:c>
      <x:c r="L11" s="12" t="str">
        <x:v>GROW</x:v>
      </x:c>
      <x:c r="M11" s="12" t="str">
        <x:v>MEDIUM</x:v>
      </x:c>
      <x:c r="N11" s="12" t="str">
        <x:v>119 gives Hayes Lane–East Croydon corridor; Selhurst needs a local first/last leg.</x:v>
      </x:c>
      <x:c r="O11" t="str">
        <x:v>Crystal Palace Women</x:v>
      </x:c>
      <x:c r="P11" s="45" t="n">
        <x:v>1.3198768355539363</x:v>
      </x:c>
      <x:c r="Q11" t="str">
        <x:v>Dulwich Hamlet Women</x:v>
      </x:c>
      <x:c r="R11" s="45" t="n">
        <x:v>8.295364378588996</x:v>
      </x:c>
      <x:c r="S11" t="n">
        <x:v>92</x:v>
      </x:c>
    </x:row>
    <x:row r="15">
      <x:c r="A15" s="12" t="str">
        <x:v>Interpretation</x:v>
      </x:c>
      <x:c r="B15" s="12" t="str"/>
    </x:row>
    <x:row r="16">
      <x:c r="A16" s="12" t="str">
        <x:v>What is validated</x:v>
      </x:c>
      <x:c r="B16" s="12" t="str">
        <x:v>Representative Sunday matchday corridor / local-access estimate for selected high-priority LSOAs.</x:v>
      </x:c>
    </x:row>
    <x:row r="17">
      <x:c r="A17" s="12" t="str">
        <x:v>What is not validated</x:v>
      </x:c>
      <x:c r="B17" s="12" t="str">
        <x:v>Exact centroid-to-gate TfL Journey Planner time for all 940 LSOAs.</x:v>
      </x:c>
    </x:row>
    <x:row r="18">
      <x:c r="A18" s="12" t="str">
        <x:v>Why populate only some rows</x:v>
      </x:c>
      <x:c r="B18" s="12" t="str">
        <x:v>To avoid fabricated precision. Blank K/L means not yet routed, not inaccessible.</x:v>
      </x:c>
    </x:row>
    <x:row r="19">
      <x:c r="A19" s="12" t="str">
        <x:v>Final Opportunity formula</x:v>
      </x:c>
      <x:c r="B19" s="12" t="str">
        <x:v>Family signal + verified girls network + matchday friction; only meaningful where K/L are populated.</x:v>
      </x:c>
    </x:row>
    <x:row r="20">
      <x:c r="A20" s="12" t="str">
        <x:v>Next action</x:v>
      </x:c>
      <x:c r="B20" s="12" t="str">
        <x:v>Expand validation from these 8 territories to the next 12 candidates, then route all shortlisted origins systematically.</x:v>
      </x:c>
    </x:row>
  </x:sheetData>
  <x:mergeCells>
    <x:mergeCell ref="A1:N1"/>
  </x:mergeCells>
  <x:conditionalFormatting sqref="K4:K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{71C18D22-49C8-E9C6-E545-B8EC5B8BCC16}</x14:id>
        </x:ext>
      </x:extLst>
    </x:cfRule>
  </x:conditionalFormatting>
  <x:conditionalFormatting sqref="S4:S1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1C18D22-49C8-E9C6-E545-B8EC5B8BCC16}">
            <x14:dataBar gradient="1">
              <x14:cfvo type="min"/>
              <x14:cfvo type="max"/>
              <x14:fillColor rgb="FFA02B93"/>
            </x14:dataBar>
          </x14:cfRule>
          <xm:sqref>K4:K11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4" hidden="0" customWidth="1"/>
    <x:col min="3" max="3" width="8" hidden="0" customWidth="1"/>
    <x:col min="4" max="4" width="34" hidden="0" customWidth="1"/>
    <x:col min="5" max="5" width="30" hidden="0" customWidth="1"/>
    <x:col min="6" max="6" width="14" hidden="0" customWidth="1"/>
    <x:col min="7" max="7" width="14" hidden="0" customWidth="1"/>
    <x:col min="8" max="8" width="18" hidden="0" customWidth="1"/>
    <x:col min="9" max="9" width="26" hidden="0" customWidth="1"/>
    <x:col min="10" max="10" width="16" hidden="0" customWidth="1"/>
    <x:col min="11" max="11" width="54" hidden="0" customWidth="1"/>
    <x:col min="12" max="12" width="54" hidden="0" customWidth="1"/>
    <x:col min="13" max="13" width="58" hidden="0" customWidth="1"/>
    <x:col min="14" max="14" width="18" hidden="0" customWidth="1"/>
  </x:cols>
  <x:sheetData>
    <x:row r="1">
      <x:c r="A1" s="69" t="str">
        <x:v>London City Fan Opportunity Engine — Women's Football Competition Landscape (2026/27)</x:v>
      </x:c>
    </x:row>
    <x:row r="3">
      <x:c r="A3" s="72" t="str">
        <x:v>Club</x:v>
      </x:c>
      <x:c r="B3" s="72" t="str">
        <x:v>2026/27 division</x:v>
      </x:c>
      <x:c r="C3" s="72" t="str">
        <x:v>Tier</x:v>
      </x:c>
      <x:c r="D3" s="72" t="str">
        <x:v>Venue / territory anchor</x:v>
      </x:c>
      <x:c r="E3" s="72" t="str">
        <x:v>Venue role</x:v>
      </x:c>
      <x:c r="F3" s="72" t="str">
        <x:v>Latitude</x:v>
      </x:c>
      <x:c r="G3" s="72" t="str">
        <x:v>Longitude</x:v>
      </x:c>
      <x:c r="H3" s="72" t="str">
        <x:v>Km from Hayes Lane</x:v>
      </x:c>
      <x:c r="I3" s="72" t="str">
        <x:v>Competition type</x:v>
      </x:c>
      <x:c r="J3" s="72" t="str">
        <x:v>Pressure weight</x:v>
      </x:c>
      <x:c r="K3" s="72" t="str">
        <x:v>Division source</x:v>
      </x:c>
      <x:c r="L3" s="72" t="str">
        <x:v>Venue source</x:v>
      </x:c>
      <x:c r="M3" s="72" t="str">
        <x:v>Strategic note</x:v>
      </x:c>
      <x:c r="N3" s="72" t="str">
        <x:v>Include in pressure?</x:v>
      </x:c>
    </x:row>
    <x:row r="4">
      <x:c r="A4" s="12" t="str">
        <x:v>London City Lionesses</x:v>
      </x:c>
      <x:c r="B4" s="12" t="str">
        <x:v>Barclays Women's Super League</x:v>
      </x:c>
      <x:c r="C4" s="33" t="n">
        <x:v>1</x:v>
      </x:c>
      <x:c r="D4" s="12" t="str">
        <x:v>CopperJax Community Stadium / Hayes Lane</x:v>
      </x:c>
      <x:c r="E4" s="12" t="str">
        <x:v>Reference club</x:v>
      </x:c>
      <x:c r="F4" s="44" t="n">
        <x:v>51.39009</x:v>
      </x:c>
      <x:c r="G4" s="44" t="n">
        <x:v>0.02111</x:v>
      </x:c>
      <x:c r="H4" s="73" t="n">
        <x:v>0</x:v>
      </x:c>
      <x:c r="I4" s="12" t="str">
        <x:v>REFERENCE</x:v>
      </x:c>
      <x:c r="J4" s="33" t="n">
        <x:v>0</x:v>
      </x:c>
      <x:c r="K4" s="12" t="str">
        <x:v>https://www.londoncitylionesses.com/news/categories/tickets</x:v>
      </x:c>
      <x:c r="L4" s="12" t="str">
        <x:v>https://www.londoncitylionesses.com/hayes-lane-directions</x:v>
      </x:c>
      <x:c r="M4" s="12" t="str">
        <x:v>Reference point for all distances.</x:v>
      </x:c>
      <x:c r="N4" s="12" t="str">
        <x:v>NO</x:v>
      </x:c>
    </x:row>
    <x:row r="5">
      <x:c r="A5" s="12" t="str">
        <x:v>Crystal Palace Women</x:v>
      </x:c>
      <x:c r="B5" s="12" t="str">
        <x:v>Barclays Women's Super League</x:v>
      </x:c>
      <x:c r="C5" s="33" t="n">
        <x:v>1</x:v>
      </x:c>
      <x:c r="D5" s="12" t="str">
        <x:v>VBS Community Stadium, Sutton</x:v>
      </x:c>
      <x:c r="E5" s="12" t="str">
        <x:v>Primary women's venue</x:v>
      </x:c>
      <x:c r="F5" s="44" t="n">
        <x:v>51.3675</x:v>
      </x:c>
      <x:c r="G5" s="44" t="n">
        <x:v>-0.204444</x:v>
      </x:c>
      <x:c r="H5" s="73" t="n">
        <x:v>15.854702969035433</x:v>
      </x:c>
      <x:c r="I5" s="12" t="str">
        <x:v>DIRECT WSL</x:v>
      </x:c>
      <x:c r="J5" s="33" t="n">
        <x:v>100</x:v>
      </x:c>
      <x:c r="K5" s="12" t="str">
        <x:v>https://www.cpfc.co.uk/news/features/back-where-we-belong-how-crystal-palace-women-bounced-back-to-the-wsl/</x:v>
      </x:c>
      <x:c r="L5" s="12" t="str">
        <x:v>https://www.thesportsdb.com/venue/21622-VBS-Community-Stadium</x:v>
      </x:c>
      <x:c r="M5" s="12" t="str">
        <x:v>Promoted back to WSL for 2026/27. Primary home venue is in Sutton.</x:v>
      </x:c>
      <x:c r="N5" s="12" t="str">
        <x:v>YES</x:v>
      </x:c>
    </x:row>
    <x:row r="6">
      <x:c r="A6" s="12" t="str">
        <x:v>Crystal Palace Women</x:v>
      </x:c>
      <x:c r="B6" s="12" t="str">
        <x:v>Barclays Women's Super League</x:v>
      </x:c>
      <x:c r="C6" s="33" t="n">
        <x:v>1</x:v>
      </x:c>
      <x:c r="D6" s="12" t="str">
        <x:v>Selhurst Park</x:v>
      </x:c>
      <x:c r="E6" s="12" t="str">
        <x:v>Brand-territory / selected WSL games</x:v>
      </x:c>
      <x:c r="F6" s="44" t="n">
        <x:v>51.39828</x:v>
      </x:c>
      <x:c r="G6" s="44" t="n">
        <x:v>-0.08515</x:v>
      </x:c>
      <x:c r="H6" s="73" t="n">
        <x:v>7.4284753344152055</x:v>
      </x:c>
      <x:c r="I6" s="12" t="str">
        <x:v>DIRECT WSL</x:v>
      </x:c>
      <x:c r="J6" s="33" t="n">
        <x:v>100</x:v>
      </x:c>
      <x:c r="K6" s="12" t="str">
        <x:v>https://www.cpfc.co.uk/news/announcement/2026-27-wsl-fixtures-revealed/</x:v>
      </x:c>
      <x:c r="L6" s="12" t="str">
        <x:v>https://www.cpfc.co.uk/information/palace-womens-wsl-mascot-packages-on-sale-now/</x:v>
      </x:c>
      <x:c r="M6" s="12" t="str">
        <x:v>Selected 2026/27 women's WSL matches are at Selhurst; important territorial/brand anchor in Croydon.</x:v>
      </x:c>
      <x:c r="N6" s="12" t="str">
        <x:v>YES</x:v>
      </x:c>
    </x:row>
    <x:row r="7">
      <x:c r="A7" s="12" t="str">
        <x:v>Charlton Athletic Women</x:v>
      </x:c>
      <x:c r="B7" s="12" t="str">
        <x:v>Barclays Women's Super League</x:v>
      </x:c>
      <x:c r="C7" s="33" t="n">
        <x:v>1</x:v>
      </x:c>
      <x:c r="D7" s="12" t="str">
        <x:v>The Valley</x:v>
      </x:c>
      <x:c r="E7" s="12" t="str">
        <x:v>Primary women's venue</x:v>
      </x:c>
      <x:c r="F7" s="44" t="n">
        <x:v>51.4864</x:v>
      </x:c>
      <x:c r="G7" s="44" t="n">
        <x:v>0.03615</x:v>
      </x:c>
      <x:c r="H7" s="73" t="n">
        <x:v>10.759818959699691</x:v>
      </x:c>
      <x:c r="I7" s="12" t="str">
        <x:v>DIRECT WSL</x:v>
      </x:c>
      <x:c r="J7" s="33" t="n">
        <x:v>100</x:v>
      </x:c>
      <x:c r="K7" s="12" t="str">
        <x:v>https://www.wslfootball.com/news/charlton-win-historic-play-off-match-to-clinch-promotion</x:v>
      </x:c>
      <x:c r="L7" s="12" t="str">
        <x:v>https://www.chelseafc.com/en/news/article/chelseas-2026-27-womens-super-league-fixtures-announced</x:v>
      </x:c>
      <x:c r="M7" s="12" t="str">
        <x:v>Promoted via 2026 play-off; 2026/27 home WSL matches at The Valley.</x:v>
      </x:c>
      <x:c r="N7" s="12" t="str">
        <x:v>YES</x:v>
      </x:c>
    </x:row>
    <x:row r="8">
      <x:c r="A8" s="12" t="str">
        <x:v>Chelsea Women</x:v>
      </x:c>
      <x:c r="B8" s="12" t="str">
        <x:v>Barclays Women's Super League</x:v>
      </x:c>
      <x:c r="C8" s="33" t="n">
        <x:v>1</x:v>
      </x:c>
      <x:c r="D8" s="12" t="str">
        <x:v>Stamford Bridge</x:v>
      </x:c>
      <x:c r="E8" s="12" t="str">
        <x:v>Primary WSL venue</x:v>
      </x:c>
      <x:c r="F8" s="44" t="n">
        <x:v>51.4817</x:v>
      </x:c>
      <x:c r="G8" s="44" t="n">
        <x:v>-0.19103</x:v>
      </x:c>
      <x:c r="H8" s="73" t="n">
        <x:v>17.888708200434174</x:v>
      </x:c>
      <x:c r="I8" s="12" t="str">
        <x:v>DIRECT WSL</x:v>
      </x:c>
      <x:c r="J8" s="33" t="n">
        <x:v>100</x:v>
      </x:c>
      <x:c r="K8" s="12" t="str">
        <x:v>https://www.chelseafc.com/en/news/article/chelseas-2026-27-womens-super-league-fixtures-announced</x:v>
      </x:c>
      <x:c r="L8" s="12" t="str">
        <x:v>https://www.chelseafc.com/en/news/article/chelseas-2026-27-womens-super-league-fixtures-announced</x:v>
      </x:c>
      <x:c r="M8" s="12" t="str">
        <x:v>All 13 Chelsea home WSL matches are at Stamford Bridge in 2026/27.</x:v>
      </x:c>
      <x:c r="N8" s="12" t="str">
        <x:v>YES</x:v>
      </x:c>
    </x:row>
    <x:row r="9">
      <x:c r="A9" s="12" t="str">
        <x:v>Arsenal Women</x:v>
      </x:c>
      <x:c r="B9" s="12" t="str">
        <x:v>Barclays Women's Super League</x:v>
      </x:c>
      <x:c r="C9" s="33" t="n">
        <x:v>1</x:v>
      </x:c>
      <x:c r="D9" s="12" t="str">
        <x:v>Emirates Stadium</x:v>
      </x:c>
      <x:c r="E9" s="12" t="str">
        <x:v>Primary WSL venue</x:v>
      </x:c>
      <x:c r="F9" s="44" t="n">
        <x:v>51.55505</x:v>
      </x:c>
      <x:c r="G9" s="44" t="n">
        <x:v>-0.1084</x:v>
      </x:c>
      <x:c r="H9" s="73" t="n">
        <x:v>20.418603682417444</x:v>
      </x:c>
      <x:c r="I9" s="12" t="str">
        <x:v>DIRECT WSL</x:v>
      </x:c>
      <x:c r="J9" s="33" t="n">
        <x:v>100</x:v>
      </x:c>
      <x:c r="K9" s="12" t="str">
        <x:v>https://www.arsenal.com/news/arsenals-202627-wsl-fixture-list-aR0Wt9g9dCCh</x:v>
      </x:c>
      <x:c r="L9" s="12" t="str">
        <x:v>https://www.arsenal.com/arsenal-women-ticketing</x:v>
      </x:c>
      <x:c r="M9" s="12" t="str">
        <x:v>All 13 Arsenal WSL home matches are at Emirates Stadium in 2026/27.</x:v>
      </x:c>
      <x:c r="N9" s="12" t="str">
        <x:v>YES</x:v>
      </x:c>
    </x:row>
    <x:row r="10">
      <x:c r="A10" s="12" t="str">
        <x:v>Tottenham Hotspur Women</x:v>
      </x:c>
      <x:c r="B10" s="12" t="str">
        <x:v>Barclays Women's Super League</x:v>
      </x:c>
      <x:c r="C10" s="33" t="n">
        <x:v>1</x:v>
      </x:c>
      <x:c r="D10" s="12" t="str">
        <x:v>Brisbane Road</x:v>
      </x:c>
      <x:c r="E10" s="12" t="str">
        <x:v>Primary WSL venue</x:v>
      </x:c>
      <x:c r="F10" s="44" t="n">
        <x:v>51.56011</x:v>
      </x:c>
      <x:c r="G10" s="44" t="n">
        <x:v>-0.01266</x:v>
      </x:c>
      <x:c r="H10" s="73" t="n">
        <x:v>19.0495117927018</x:v>
      </x:c>
      <x:c r="I10" s="12" t="str">
        <x:v>DIRECT WSL</x:v>
      </x:c>
      <x:c r="J10" s="33" t="n">
        <x:v>100</x:v>
      </x:c>
      <x:c r="K10" s="12" t="str">
        <x:v>https://www.tottenhamhotspur.com/news/1080759/women-wsl-fixtures-202627-list-in-full</x:v>
      </x:c>
      <x:c r="L10" s="12" t="str">
        <x:v>https://www.tottenhamhotspur.com/news/1080759/women-wsl-fixtures-202627-list-in-full</x:v>
      </x:c>
      <x:c r="M10" s="12" t="str">
        <x:v>Primary ground is Brisbane Road; at least three 2026/27 WSL games are at Tottenham Hotspur Stadium.</x:v>
      </x:c>
      <x:c r="N10" s="12" t="str">
        <x:v>YES</x:v>
      </x:c>
    </x:row>
    <x:row r="11">
      <x:c r="A11" s="12" t="str">
        <x:v>West Ham United Women</x:v>
      </x:c>
      <x:c r="B11" s="12" t="str">
        <x:v>Barclays Women's Super League</x:v>
      </x:c>
      <x:c r="C11" s="33" t="n">
        <x:v>1</x:v>
      </x:c>
      <x:c r="D11" s="12" t="str">
        <x:v>Chigwell Construction Stadium</x:v>
      </x:c>
      <x:c r="E11" s="12" t="str">
        <x:v>Primary women's venue</x:v>
      </x:c>
      <x:c r="F11" s="44" t="n">
        <x:v>51.54787</x:v>
      </x:c>
      <x:c r="G11" s="44" t="n">
        <x:v>0.15984</x:v>
      </x:c>
      <x:c r="H11" s="73" t="n">
        <x:v>20.003668622161356</x:v>
      </x:c>
      <x:c r="I11" s="12" t="str">
        <x:v>DIRECT WSL</x:v>
      </x:c>
      <x:c r="J11" s="33" t="n">
        <x:v>100</x:v>
      </x:c>
      <x:c r="K11" s="12" t="str">
        <x:v>https://www.whufc.com/en/matches/womens-team/table/womens-super-league/2026-2027-womens-super-league</x:v>
      </x:c>
      <x:c r="L11" s="12" t="str">
        <x:v>https://www.whufc.com/</x:v>
      </x:c>
      <x:c r="M11" s="12" t="str">
        <x:v>Women's home venue in Dagenham; relevant London WSL alternative.</x:v>
      </x:c>
      <x:c r="N11" s="12" t="str">
        <x:v>YES</x:v>
      </x:c>
    </x:row>
    <x:row r="12">
      <x:c r="A12" s="12" t="str">
        <x:v>AFC Wimbledon Women</x:v>
      </x:c>
      <x:c r="B12" s="12" t="str">
        <x:v>FA Women's National League Southern Premier</x:v>
      </x:c>
      <x:c r="C12" s="33" t="n">
        <x:v>3</x:v>
      </x:c>
      <x:c r="D12" s="12" t="str">
        <x:v>Cherry Red Records Stadium / Plough Lane</x:v>
      </x:c>
      <x:c r="E12" s="12" t="str">
        <x:v>Representative first-team venue</x:v>
      </x:c>
      <x:c r="F12" s="44" t="n">
        <x:v>51.43125</x:v>
      </x:c>
      <x:c r="G12" s="44" t="n">
        <x:v>-0.18685</x:v>
      </x:c>
      <x:c r="H12" s="73" t="n">
        <x:v>15.132038231019232</x:v>
      </x:c>
      <x:c r="I12" s="12" t="str">
        <x:v>LOCAL WOMEN'S FOOTBALL</x:v>
      </x:c>
      <x:c r="J12" s="33" t="n">
        <x:v>60</x:v>
      </x:c>
      <x:c r="K12" s="12" t="str">
        <x:v>https://womenscompetitions.thefa.com/en/Article/FA-Womens-National-League-Club-Allocations-26-27-20260603</x:v>
      </x:c>
      <x:c r="L12" s="12" t="str">
        <x:v>https://wnl.thefa.com/match/6a57570bce9ef452b61f3144</x:v>
      </x:c>
      <x:c r="M12" s="12" t="str">
        <x:v>Tier 3; some fixtures can use alternative local grounds, but Plough Lane is a representative club anchor.</x:v>
      </x:c>
      <x:c r="N12" s="12" t="str">
        <x:v>YES</x:v>
      </x:c>
    </x:row>
    <x:row r="13">
      <x:c r="A13" s="12" t="str">
        <x:v>Dulwich Hamlet Women</x:v>
      </x:c>
      <x:c r="B13" s="12" t="str">
        <x:v>FA Women's National League Division One South East</x:v>
      </x:c>
      <x:c r="C13" s="33" t="n">
        <x:v>4</x:v>
      </x:c>
      <x:c r="D13" s="12" t="str">
        <x:v>Champion Hill</x:v>
      </x:c>
      <x:c r="E13" s="12" t="str">
        <x:v>Primary women's venue</x:v>
      </x:c>
      <x:c r="F13" s="44" t="n">
        <x:v>51.46132</x:v>
      </x:c>
      <x:c r="G13" s="44" t="n">
        <x:v>-0.08398</x:v>
      </x:c>
      <x:c r="H13" s="73" t="n">
        <x:v>10.762081970503969</x:v>
      </x:c>
      <x:c r="I13" s="12" t="str">
        <x:v>LOCAL WOMEN'S FOOTBALL</x:v>
      </x:c>
      <x:c r="J13" s="33" t="n">
        <x:v>45</x:v>
      </x:c>
      <x:c r="K13" s="12" t="str">
        <x:v>https://womenscompetitions.thefa.com/en/Article/FA-Womens-National-League-Club-Allocations-26-27-20260603</x:v>
      </x:c>
      <x:c r="L13" s="12" t="str">
        <x:v>https://dulwichhamletfc.co.uk/fixtures/womens-fixtures-and-tickets?view=fixtures</x:v>
      </x:c>
      <x:c r="M13" s="12" t="str">
        <x:v>Tier 4; strong South London local/community audience overlap.</x:v>
      </x:c>
      <x:c r="N13" s="12" t="str">
        <x:v>YES</x:v>
      </x:c>
    </x:row>
    <x:row r="14">
      <x:c r="A14" s="12" t="str">
        <x:v>Millwall Lionesses</x:v>
      </x:c>
      <x:c r="B14" s="12" t="str">
        <x:v>London &amp; South East Regional Women's Football League Premier Division</x:v>
      </x:c>
      <x:c r="C14" s="33" t="n">
        <x:v>5</x:v>
      </x:c>
      <x:c r="D14" s="12" t="str">
        <x:v>St Paul's Sports Ground</x:v>
      </x:c>
      <x:c r="E14" s="12" t="str">
        <x:v>Primary women's venue</x:v>
      </x:c>
      <x:c r="F14" s="44" t="n">
        <x:v>51.50616</x:v>
      </x:c>
      <x:c r="G14" s="44" t="n">
        <x:v>-0.04022</x:v>
      </x:c>
      <x:c r="H14" s="73" t="n">
        <x:v>13.588195026356809</x:v>
      </x:c>
      <x:c r="I14" s="12" t="str">
        <x:v>LOCAL / HISTORIC OVERLAP</x:v>
      </x:c>
      <x:c r="J14" s="33" t="n">
        <x:v>35</x:v>
      </x:c>
      <x:c r="K14" s="12" t="str">
        <x:v>https://fulltime.thefa.com/index.html?league=388619</x:v>
      </x:c>
      <x:c r="L14" s="12" t="str">
        <x:v>https://fulltime.thefa.com/displayTeam.html?divisionseason=157746206&amp;teamID=262325338</x:v>
      </x:c>
      <x:c r="M14" s="12" t="str">
        <x:v>Tier 5. Historic relationship/identity overlap is strategically relevant even below elite tier.</x:v>
      </x:c>
      <x:c r="N14" s="12" t="str">
        <x:v>YES</x:v>
      </x:c>
    </x:row>
    <x:row r="15">
      <x:c r="A15" s="12" t="str">
        <x:v>Bromley FC Women</x:v>
      </x:c>
      <x:c r="B15" s="12" t="str">
        <x:v>London &amp; South East Regional Women's Football League Premier Division</x:v>
      </x:c>
      <x:c r="C15" s="33" t="n">
        <x:v>5</x:v>
      </x:c>
      <x:c r="D15" s="12" t="str">
        <x:v>Hayes Lane / Bromley Football Club</x:v>
      </x:c>
      <x:c r="E15" s="12" t="str">
        <x:v>Co-located local ecosystem</x:v>
      </x:c>
      <x:c r="F15" s="44" t="n">
        <x:v>51.39009</x:v>
      </x:c>
      <x:c r="G15" s="44" t="n">
        <x:v>0.02111</x:v>
      </x:c>
      <x:c r="H15" s="73" t="n">
        <x:v>0</x:v>
      </x:c>
      <x:c r="I15" s="12" t="str">
        <x:v>CO-LOCATED ECOSYSTEM</x:v>
      </x:c>
      <x:c r="J15" s="33" t="n">
        <x:v>0</x:v>
      </x:c>
      <x:c r="K15" s="12" t="str">
        <x:v>https://www.bromleyfc.org/news/women-and-girls/bromley-fc-women-welcome-silverwood-financial-solutions-as-new-partner/</x:v>
      </x:c>
      <x:c r="L15" s="12" t="str">
        <x:v>https://fulltime.thefa.com/index.html?league=388619</x:v>
      </x:c>
      <x:c r="M15" s="12" t="str">
        <x:v>Promoted to Tier 5 for 2026/27 and shares the Hayes Lane ecosystem. Do not treat as normal territorial competitor in pressure score.</x:v>
      </x:c>
      <x:c r="N15" s="12" t="str">
        <x:v>NO</x:v>
      </x:c>
    </x:row>
    <x:row r="20">
      <x:c r="A20" s="12" t="str">
        <x:v>Reading the layer</x:v>
      </x:c>
      <x:c r="B20" s="12" t="str"/>
    </x:row>
    <x:row r="21">
      <x:c r="A21" s="12" t="str">
        <x:v>Direct WSL competition</x:v>
      </x:c>
      <x:c r="B21" s="12" t="str">
        <x:v>Tier 1 clubs compete most directly for women's-football attention, matchday spend and family leisure time.</x:v>
      </x:c>
    </x:row>
    <x:row r="22">
      <x:c r="A22" s="12" t="str">
        <x:v>Local competition</x:v>
      </x:c>
      <x:c r="B22" s="12" t="str">
        <x:v>Tier 3–5 clubs matter less as substitutes for elite football, but can own community relationships and girls-football networks.</x:v>
      </x:c>
    </x:row>
    <x:row r="23">
      <x:c r="A23" s="12" t="str">
        <x:v>Crystal Palace nuance</x:v>
      </x:c>
      <x:c r="B23" s="12" t="str">
        <x:v>Primary women's venue is Sutton (~16 km from Hayes Lane), but Selhurst Park is only ~7 km away and is the stronger Croydon brand-territory anchor.</x:v>
      </x:c>
    </x:row>
    <x:row r="24">
      <x:c r="A24" s="12" t="str">
        <x:v>Bromley FC Women</x:v>
      </x:c>
      <x:c r="B24" s="12" t="str">
        <x:v>Same Hayes Lane ecosystem; excluded from pressure score because co-location can also create partnership/cross-promotion opportunity.</x:v>
      </x:c>
    </x:row>
    <x:row r="25">
      <x:c r="A25" s="12" t="str">
        <x:v>Pressure score</x:v>
      </x:c>
      <x:c r="B25" s="12" t="str">
        <x:v>75% nearest Tier 1 proximity + 25% nearest Tier 3–5 proximity. Context only; not yet deducted from Opportunity Score.</x:v>
      </x:c>
    </x:row>
    <x:row r="26">
      <x:c r="A26" s="12" t="str">
        <x:v>Important</x:v>
      </x:c>
      <x:c r="B26" s="12" t="str">
        <x:v>Competition is not automatically negative: a football-active area can validate demand. The key question is whether London City offers an additive proposition.</x:v>
      </x:c>
    </x:row>
    <x:row r="27">
      <x:c r="A27" s="12" t="str">
        <x:v>Next use</x:v>
      </x:c>
      <x:c r="B27" s="12" t="str">
        <x:v>Use this layer to design Play Cards: opportunity + access + grassroots distribution + competitive context.</x:v>
      </x:c>
    </x:row>
  </x:sheetData>
  <x:mergeCells>
    <x:mergeCell ref="A1:N1"/>
  </x:mergeCells>
  <x:conditionalFormatting sqref="A4:N15">
    <x:cfRule type="expression" dxfId="0" priority="1">
      <x:formula>$C4=1</x:formula>
    </x:cfRule>
  </x:conditionalFormatting>
  <x:conditionalFormatting sqref="H4:H15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{11000F97-C6EE-2321-0474-70774F944C78}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1000F97-C6EE-2321-0474-70774F944C78}">
            <x14:dataBar gradient="1">
              <x14:cfvo type="min"/>
              <x14:cfvo type="max"/>
              <x14:fillColor rgb="FFA02B93"/>
            </x14:dataBar>
          </x14:cfRule>
          <xm:sqref>H4:H15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3" hidden="0" customWidth="1"/>
    <x:col min="4" max="4" width="22" hidden="0" customWidth="1"/>
    <x:col min="5" max="5" width="40" hidden="0" customWidth="1"/>
    <x:col min="6" max="6" width="3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1" t="str">
        <x:v>Fan Opportunity Engine — Top 5 Play Cards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102" t="str">
        <x:v>Actionable territory briefs: opportunity + access + grassroots distribution + competition + acquisition play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>
      <x:c r="A4" s="103" t="str">
        <x:v>#1  Bromley 016B  |  Bromley  |  E01000647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>
      <x:c r="A5" s="84" t="str">
        <x:v>Opportunity</x:v>
      </x:c>
      <x:c r="B5" s="84" t="n">
        <x:v>95</x:v>
      </x:c>
      <x:c r="C5" s="84" t="str">
        <x:v>Tier</x:v>
      </x:c>
      <x:c r="D5" s="84" t="str">
        <x:v>ATTACK</x:v>
      </x:c>
      <x:c r="E5" s="84" t="str">
        <x:v>Households w/ children</x:v>
      </x:c>
      <x:c r="F5" s="84" t="n">
        <x:v>269</x:v>
      </x:c>
      <x:c r="G5" s="84" t="str">
        <x:v>Family density</x:v>
      </x:c>
      <x:c r="H5" s="85" t="n">
        <x:v>0.41640866873065013</x:v>
      </x:c>
      <x:c r="I5" s="84" t="str">
        <x:v>Girls network</x:v>
      </x:c>
      <x:c r="J5" s="84" t="n">
        <x:v>93</x:v>
      </x:c>
      <x:c r="K5" s="84" t="str">
        <x:v>Sunday travel</x:v>
      </x:c>
      <x:c r="L5" s="84" t="str">
        <x:v>20 min / 0 transfer(s)</x:v>
      </x:c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</x:row>
    <x:row r="7">
      <x:c r="A7" s="88" t="str">
        <x:v>Strategic mode</x:v>
      </x:c>
      <x:c r="B7" s="12" t="str">
        <x:v>ATTACK</x:v>
      </x:c>
      <x:c r="C7" s="12"/>
      <x:c r="D7" s="91" t="str">
        <x:v>Competition pressure</x:v>
      </x:c>
      <x:c r="E7" s="12" t="n">
        <x:v>65</x:v>
      </x:c>
      <x:c r="F7" s="12"/>
      <x:c r="G7" s="104" t="str">
        <x:v>Territory hypothesis</x:v>
      </x:c>
      <x:c r="H7" s="12"/>
      <x:c r="I7" s="12"/>
      <x:c r="J7" s="12"/>
      <x:c r="K7" s="12"/>
      <x:c r="L7" s="12"/>
    </x:row>
    <x:row r="8">
      <x:c r="A8" s="88" t="str">
        <x:v>Positioning</x:v>
      </x:c>
      <x:c r="B8" s="12" t="str">
        <x:v>High opportunity with manageable competitive pressure: prioritise recurring family acquisition and local grassroots partnerships.</x:v>
      </x:c>
      <x:c r="C8" s="12"/>
      <x:c r="D8" s="91" t="str">
        <x:v>Nearest Tier 1</x:v>
      </x:c>
      <x:c r="E8" s="12" t="str">
        <x:v>Crystal Palace Women — 8.2 km</x:v>
      </x:c>
      <x:c r="F8" s="12"/>
      <x:c r="G8" s="94" t="str">
        <x:v>Bromley 016B is worth testing because it combines a final Opportunity Score of 95/100, 269 households with dependent children, a girls-network score of 93/100 and ~20 minutes to Hayes Lane. The principal competitive constraint is Crystal Palace Women (8.2 km away).</x:v>
      </x:c>
      <x:c r="H8" s="12"/>
      <x:c r="I8" s="12"/>
      <x:c r="J8" s="12"/>
      <x:c r="K8" s="12"/>
      <x:c r="L8" s="12"/>
    </x:row>
    <x:row r="9">
      <x:c r="A9" s="88" t="str">
        <x:v>Recommended offer</x:v>
      </x:c>
      <x:c r="B9" s="12" t="str">
        <x:v>Local repeat-attendance</x:v>
      </x:c>
      <x:c r="C9" s="12"/>
      <x:c r="D9" s="91" t="str">
        <x:v>Nearest local club</x:v>
      </x:c>
      <x:c r="E9" s="12" t="str">
        <x:v>Dulwich Hamlet Women — 10.4 km</x:v>
      </x:c>
      <x:c r="F9" s="12"/>
      <x:c r="G9" s="12"/>
      <x:c r="H9" s="12"/>
      <x:c r="I9" s="12"/>
      <x:c r="J9" s="12"/>
      <x:c r="K9" s="12"/>
      <x:c r="L9" s="12"/>
    </x:row>
    <x:row r="10">
      <x:c r="A10" s="88" t="str">
        <x:v>Acquisition play</x:v>
      </x:c>
      <x:c r="B10" s="12" t="str">
        <x:v>Push 3-match family bundle / mini-season proposition aimed at habit formation rather than one-off star fixtures.</x:v>
      </x:c>
      <x:c r="C10" s="12"/>
      <x:c r="D10" s="91" t="str">
        <x:v>Matchday friction</x:v>
      </x:c>
      <x:c r="E10" s="12" t="n">
        <x:v>100</x:v>
      </x:c>
      <x:c r="F10" s="12"/>
      <x:c r="G10" s="12"/>
      <x:c r="H10" s="12"/>
      <x:c r="I10" s="12"/>
      <x:c r="J10" s="12"/>
      <x:c r="K10" s="12"/>
      <x:c r="L10" s="12"/>
    </x:row>
    <x:row r="11">
      <x:c r="A11" s="88" t="str">
        <x:v>Distribution plan</x:v>
      </x:c>
      <x:c r="B11" s="12" t="str">
        <x:v>Start with 2–3 verified girls-football organisations around the zone; use them to reach a pool anchored by 269 dependent-child households in the LSOA.</x:v>
      </x:c>
      <x:c r="C11" s="12"/>
      <x:c r="D11" s="91" t="str">
        <x:v>Validation confidence</x:v>
      </x:c>
      <x:c r="E11" s="12" t="str">
        <x:v>HIGH</x:v>
      </x:c>
      <x:c r="F11" s="12"/>
      <x:c r="G11" s="12"/>
      <x:c r="H11" s="12"/>
      <x:c r="I11" s="12"/>
      <x:c r="J11" s="12"/>
      <x:c r="K11" s="12"/>
      <x:c r="L11" s="12"/>
    </x:row>
    <x:row r="12">
      <x:c r="A12" s="88" t="str">
        <x:v>Primary KPI</x:v>
      </x:c>
      <x:c r="B12" s="12" t="str">
        <x:v>Primary KPI: first-time family buyers → second purchase within 90 days.</x:v>
      </x:c>
      <x:c r="C12" s="12"/>
      <x:c r="D12" s="91" t="str">
        <x:v>Interpretation</x:v>
      </x:c>
      <x:c r="E12" s="12" t="str">
        <x:v>Competitive pressure is manageable; repeat-attendance habit can be the primary objective.</x:v>
      </x:c>
      <x:c r="F12" s="12"/>
      <x:c r="G12" s="105" t="str">
        <x:v>Suggested campaign line</x:v>
      </x:c>
      <x:c r="H12" s="12"/>
      <x:c r="I12" s="12"/>
      <x:c r="J12" s="12"/>
      <x:c r="K12" s="12"/>
      <x:c r="L12" s="12"/>
    </x:row>
    <x:row r="13">
      <x:c r="A13" s="88" t="str">
        <x:v>Secondary KPI</x:v>
      </x:c>
      <x:c r="B13" s="12" t="str">
        <x:v>Secondary KPI: tickets sold per partner organisation / group.</x:v>
      </x:c>
      <x:c r="C13" s="12"/>
      <x:c r="D13" s="91" t="str">
        <x:v>Decision</x:v>
      </x:c>
      <x:c r="E13" s="12" t="str">
        <x:v>GO</x:v>
      </x:c>
      <x:c r="F13" s="12"/>
      <x:c r="G13" s="100" t="str">
        <x:v>Elite women's football is closer than you think.</x:v>
      </x:c>
      <x:c r="H13" s="12"/>
      <x:c r="I13" s="12"/>
      <x:c r="J13" s="12"/>
      <x:c r="K13" s="12"/>
      <x:c r="L13" s="12"/>
    </x:row>
    <x:row r="14">
      <x:c r="A14" s="88" t="str">
        <x:v>Test design</x:v>
      </x:c>
      <x:c r="B14" s="12" t="str">
        <x:v>Test window: 2 home fixtures with different opponent appeal.</x:v>
      </x:c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</x:row>
    <x:row r="17">
      <x:c r="A17" s="103" t="str">
        <x:v>#2  Croydon 045E  |  Croydon  |  E01032569</x:v>
      </x:c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</x:row>
    <x:row r="18">
      <x:c r="A18" s="84" t="str">
        <x:v>Opportunity</x:v>
      </x:c>
      <x:c r="B18" s="84" t="n">
        <x:v>94</x:v>
      </x:c>
      <x:c r="C18" s="84" t="str">
        <x:v>Tier</x:v>
      </x:c>
      <x:c r="D18" s="84" t="str">
        <x:v>ATTACK</x:v>
      </x:c>
      <x:c r="E18" s="84" t="str">
        <x:v>Households w/ children</x:v>
      </x:c>
      <x:c r="F18" s="84" t="n">
        <x:v>288</x:v>
      </x:c>
      <x:c r="G18" s="84" t="str">
        <x:v>Family density</x:v>
      </x:c>
      <x:c r="H18" s="85" t="n">
        <x:v>0.4222873900293255</x:v>
      </x:c>
      <x:c r="I18" s="84" t="str">
        <x:v>Girls network</x:v>
      </x:c>
      <x:c r="J18" s="84" t="n">
        <x:v>100</x:v>
      </x:c>
      <x:c r="K18" s="84" t="str">
        <x:v>Sunday travel</x:v>
      </x:c>
      <x:c r="L18" s="84" t="str">
        <x:v>25 min / 0 transfer(s)</x:v>
      </x:c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</x:row>
    <x:row r="20">
      <x:c r="A20" s="88" t="str">
        <x:v>Strategic mode</x:v>
      </x:c>
      <x:c r="B20" s="12" t="str">
        <x:v>CONQUEST / ADDITIVE</x:v>
      </x:c>
      <x:c r="C20" s="12"/>
      <x:c r="D20" s="91" t="str">
        <x:v>Competition pressure</x:v>
      </x:c>
      <x:c r="E20" s="12" t="n">
        <x:v>92</x:v>
      </x:c>
      <x:c r="F20" s="12"/>
      <x:c r="G20" s="104" t="str">
        <x:v>Territory hypothesis</x:v>
      </x:c>
      <x:c r="H20" s="12"/>
      <x:c r="I20" s="12"/>
      <x:c r="J20" s="12"/>
      <x:c r="K20" s="12"/>
      <x:c r="L20" s="12"/>
    </x:row>
    <x:row r="21">
      <x:c r="A21" s="88" t="str">
        <x:v>Positioning</x:v>
      </x:c>
      <x:c r="B21" s="12" t="str">
        <x:v>Do not ask families to switch allegiance. Sell London City as an additional elite women's-football day out despite strong Crystal Palace Women presence.</x:v>
      </x:c>
      <x:c r="C21" s="12"/>
      <x:c r="D21" s="91" t="str">
        <x:v>Nearest Tier 1</x:v>
      </x:c>
      <x:c r="E21" s="12" t="str">
        <x:v>Crystal Palace Women — 2.3 km</x:v>
      </x:c>
      <x:c r="F21" s="12"/>
      <x:c r="G21" s="94" t="str">
        <x:v>Croydon 045E is worth testing because it combines a final Opportunity Score of 94/100, 288 households with dependent children, a girls-network score of 100/100 and ~25 minutes to Hayes Lane. The principal competitive constraint is Crystal Palace Women (2.3 km away).</x:v>
      </x:c>
      <x:c r="H21" s="12"/>
      <x:c r="I21" s="12"/>
      <x:c r="J21" s="12"/>
      <x:c r="K21" s="12"/>
      <x:c r="L21" s="12"/>
    </x:row>
    <x:row r="22">
      <x:c r="A22" s="88" t="str">
        <x:v>Recommended offer</x:v>
      </x:c>
      <x:c r="B22" s="12" t="str">
        <x:v>Family derby alternative</x:v>
      </x:c>
      <x:c r="C22" s="12"/>
      <x:c r="D22" s="91" t="str">
        <x:v>Nearest local club</x:v>
      </x:c>
      <x:c r="E22" s="12" t="str">
        <x:v>Dulwich Hamlet Women — 7.9 km</x:v>
      </x:c>
      <x:c r="F22" s="12"/>
      <x:c r="G22" s="12"/>
      <x:c r="H22" s="12"/>
      <x:c r="I22" s="12"/>
      <x:c r="J22" s="12"/>
      <x:c r="K22" s="12"/>
      <x:c r="L22" s="12"/>
    </x:row>
    <x:row r="23">
      <x:c r="A23" s="88" t="str">
        <x:v>Acquisition play</x:v>
      </x:c>
      <x:c r="B23" s="12" t="str">
        <x:v>Bundle a Sunday family experience: junior-heavy pricing, pre-match activity and group allocation through girls clubs.</x:v>
      </x:c>
      <x:c r="C23" s="12"/>
      <x:c r="D23" s="91" t="str">
        <x:v>Matchday friction</x:v>
      </x:c>
      <x:c r="E23" s="12" t="n">
        <x:v>85</x:v>
      </x:c>
      <x:c r="F23" s="12"/>
      <x:c r="G23" s="12"/>
      <x:c r="H23" s="12"/>
      <x:c r="I23" s="12"/>
      <x:c r="J23" s="12"/>
      <x:c r="K23" s="12"/>
      <x:c r="L23" s="12"/>
    </x:row>
    <x:row r="24">
      <x:c r="A24" s="88" t="str">
        <x:v>Distribution plan</x:v>
      </x:c>
      <x:c r="B24" s="12" t="str">
        <x:v>Start with 2–3 verified girls-football organisations around the zone; use them to reach a pool anchored by 288 dependent-child households in the LSOA.</x:v>
      </x:c>
      <x:c r="C24" s="12"/>
      <x:c r="D24" s="91" t="str">
        <x:v>Validation confidence</x:v>
      </x:c>
      <x:c r="E24" s="12" t="str">
        <x:v>MED-HIGH</x:v>
      </x:c>
      <x:c r="F24" s="12"/>
      <x:c r="G24" s="12"/>
      <x:c r="H24" s="12"/>
      <x:c r="I24" s="12"/>
      <x:c r="J24" s="12"/>
      <x:c r="K24" s="12"/>
      <x:c r="L24" s="12"/>
    </x:row>
    <x:row r="25">
      <x:c r="A25" s="88" t="str">
        <x:v>Primary KPI</x:v>
      </x:c>
      <x:c r="B25" s="12" t="str">
        <x:v>Primary KPI: first-time family buyers → second purchase within 90 days.</x:v>
      </x:c>
      <x:c r="C25" s="12"/>
      <x:c r="D25" s="91" t="str">
        <x:v>Interpretation</x:v>
      </x:c>
      <x:c r="E25" s="12" t="str">
        <x:v>High competition validates football demand, but proposition must be additive rather than 'switch club'.</x:v>
      </x:c>
      <x:c r="F25" s="12"/>
      <x:c r="G25" s="105" t="str">
        <x:v>Suggested campaign line</x:v>
      </x:c>
      <x:c r="H25" s="12"/>
      <x:c r="I25" s="12"/>
      <x:c r="J25" s="12"/>
      <x:c r="K25" s="12"/>
      <x:c r="L25" s="12"/>
    </x:row>
    <x:row r="26">
      <x:c r="A26" s="88" t="str">
        <x:v>Secondary KPI</x:v>
      </x:c>
      <x:c r="B26" s="12" t="str">
        <x:v>Secondary KPI: tickets sold per partner organisation / group.</x:v>
      </x:c>
      <x:c r="C26" s="12"/>
      <x:c r="D26" s="91" t="str">
        <x:v>Decision</x:v>
      </x:c>
      <x:c r="E26" s="12" t="str">
        <x:v>GO</x:v>
      </x:c>
      <x:c r="F26" s="12"/>
      <x:c r="G26" s="100" t="str">
        <x:v>You don't need to change your club. You just need a great Sunday.</x:v>
      </x:c>
      <x:c r="H26" s="12"/>
      <x:c r="I26" s="12"/>
      <x:c r="J26" s="12"/>
      <x:c r="K26" s="12"/>
      <x:c r="L26" s="12"/>
    </x:row>
    <x:row r="27">
      <x:c r="A27" s="88" t="str">
        <x:v>Test design</x:v>
      </x:c>
      <x:c r="B27" s="12" t="str">
        <x:v>Test window: 2 home fixtures with different opponent appeal.</x:v>
      </x:c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03" t="str">
        <x:v>#3  Bromley 026A  |  Bromley  |  E01000661</x:v>
      </x:c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84" t="str">
        <x:v>Opportunity</x:v>
      </x:c>
      <x:c r="B31" s="84" t="n">
        <x:v>90</x:v>
      </x:c>
      <x:c r="C31" s="84" t="str">
        <x:v>Tier</x:v>
      </x:c>
      <x:c r="D31" s="84" t="str">
        <x:v>ATTACK</x:v>
      </x:c>
      <x:c r="E31" s="84" t="str">
        <x:v>Households w/ children</x:v>
      </x:c>
      <x:c r="F31" s="84" t="n">
        <x:v>452</x:v>
      </x:c>
      <x:c r="G31" s="84" t="str">
        <x:v>Family density</x:v>
      </x:c>
      <x:c r="H31" s="85" t="n">
        <x:v>0.3827265029635902</x:v>
      </x:c>
      <x:c r="I31" s="84" t="str">
        <x:v>Girls network</x:v>
      </x:c>
      <x:c r="J31" s="84" t="n">
        <x:v>86</x:v>
      </x:c>
      <x:c r="K31" s="84" t="str">
        <x:v>Sunday travel</x:v>
      </x:c>
      <x:c r="L31" s="84" t="str">
        <x:v>20 min / 0 transfer(s)</x:v>
      </x:c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88" t="str">
        <x:v>Strategic mode</x:v>
      </x:c>
      <x:c r="B33" s="12" t="str">
        <x:v>ATTACK</x:v>
      </x:c>
      <x:c r="C33" s="12"/>
      <x:c r="D33" s="91" t="str">
        <x:v>Competition pressure</x:v>
      </x:c>
      <x:c r="E33" s="12" t="n">
        <x:v>65</x:v>
      </x:c>
      <x:c r="F33" s="12"/>
      <x:c r="G33" s="104" t="str">
        <x:v>Territory hypothesis</x:v>
      </x:c>
      <x:c r="H33" s="12"/>
      <x:c r="I33" s="12"/>
      <x:c r="J33" s="12"/>
      <x:c r="K33" s="12"/>
      <x:c r="L33" s="12"/>
    </x:row>
    <x:row r="34">
      <x:c r="A34" s="88" t="str">
        <x:v>Positioning</x:v>
      </x:c>
      <x:c r="B34" s="12" t="str">
        <x:v>High opportunity with manageable competitive pressure: prioritise recurring family acquisition and local grassroots partnerships.</x:v>
      </x:c>
      <x:c r="C34" s="12"/>
      <x:c r="D34" s="91" t="str">
        <x:v>Nearest Tier 1</x:v>
      </x:c>
      <x:c r="E34" s="12" t="str">
        <x:v>Crystal Palace Women — 8.9 km</x:v>
      </x:c>
      <x:c r="F34" s="12"/>
      <x:c r="G34" s="94" t="str">
        <x:v>Bromley 026A is worth testing because it combines a final Opportunity Score of 90/100, 452 households with dependent children, a girls-network score of 86/100 and ~20 minutes to Hayes Lane. The principal competitive constraint is Crystal Palace Women (8.9 km away).</x:v>
      </x:c>
      <x:c r="H34" s="12"/>
      <x:c r="I34" s="12"/>
      <x:c r="J34" s="12"/>
      <x:c r="K34" s="12"/>
      <x:c r="L34" s="12"/>
    </x:row>
    <x:row r="35">
      <x:c r="A35" s="88" t="str">
        <x:v>Recommended offer</x:v>
      </x:c>
      <x:c r="B35" s="12" t="str">
        <x:v>Local repeat-attendance</x:v>
      </x:c>
      <x:c r="C35" s="12"/>
      <x:c r="D35" s="91" t="str">
        <x:v>Nearest local club</x:v>
      </x:c>
      <x:c r="E35" s="12" t="str">
        <x:v>Dulwich Hamlet Women — 12.1 km</x:v>
      </x:c>
      <x:c r="F35" s="12"/>
      <x:c r="G35" s="12"/>
      <x:c r="H35" s="12"/>
      <x:c r="I35" s="12"/>
      <x:c r="J35" s="12"/>
      <x:c r="K35" s="12"/>
      <x:c r="L35" s="12"/>
    </x:row>
    <x:row r="36">
      <x:c r="A36" s="88" t="str">
        <x:v>Acquisition play</x:v>
      </x:c>
      <x:c r="B36" s="12" t="str">
        <x:v>Push 3-match family bundle / mini-season proposition aimed at habit formation rather than one-off star fixtures.</x:v>
      </x:c>
      <x:c r="C36" s="12"/>
      <x:c r="D36" s="91" t="str">
        <x:v>Matchday friction</x:v>
      </x:c>
      <x:c r="E36" s="12" t="n">
        <x:v>100</x:v>
      </x:c>
      <x:c r="F36" s="12"/>
      <x:c r="G36" s="12"/>
      <x:c r="H36" s="12"/>
      <x:c r="I36" s="12"/>
      <x:c r="J36" s="12"/>
      <x:c r="K36" s="12"/>
      <x:c r="L36" s="12"/>
    </x:row>
    <x:row r="37">
      <x:c r="A37" s="88" t="str">
        <x:v>Distribution plan</x:v>
      </x:c>
      <x:c r="B37" s="12" t="str">
        <x:v>Start with 2–3 verified girls-football organisations around the zone; use them to reach a pool anchored by 452 dependent-child households in the LSOA.</x:v>
      </x:c>
      <x:c r="C37" s="12"/>
      <x:c r="D37" s="91" t="str">
        <x:v>Validation confidence</x:v>
      </x:c>
      <x:c r="E37" s="12" t="str">
        <x:v>HIGH</x:v>
      </x:c>
      <x:c r="F37" s="12"/>
      <x:c r="G37" s="12"/>
      <x:c r="H37" s="12"/>
      <x:c r="I37" s="12"/>
      <x:c r="J37" s="12"/>
      <x:c r="K37" s="12"/>
      <x:c r="L37" s="12"/>
    </x:row>
    <x:row r="38">
      <x:c r="A38" s="88" t="str">
        <x:v>Primary KPI</x:v>
      </x:c>
      <x:c r="B38" s="12" t="str">
        <x:v>Primary KPI: first-time family buyers → second purchase within 90 days.</x:v>
      </x:c>
      <x:c r="C38" s="12"/>
      <x:c r="D38" s="91" t="str">
        <x:v>Interpretation</x:v>
      </x:c>
      <x:c r="E38" s="12" t="str">
        <x:v>Competitive pressure is manageable; repeat-attendance habit can be the primary objective.</x:v>
      </x:c>
      <x:c r="F38" s="12"/>
      <x:c r="G38" s="105" t="str">
        <x:v>Suggested campaign line</x:v>
      </x:c>
      <x:c r="H38" s="12"/>
      <x:c r="I38" s="12"/>
      <x:c r="J38" s="12"/>
      <x:c r="K38" s="12"/>
      <x:c r="L38" s="12"/>
    </x:row>
    <x:row r="39">
      <x:c r="A39" s="88" t="str">
        <x:v>Secondary KPI</x:v>
      </x:c>
      <x:c r="B39" s="12" t="str">
        <x:v>Secondary KPI: tickets sold per partner organisation / group.</x:v>
      </x:c>
      <x:c r="C39" s="12"/>
      <x:c r="D39" s="91" t="str">
        <x:v>Decision</x:v>
      </x:c>
      <x:c r="E39" s="12" t="str">
        <x:v>GO</x:v>
      </x:c>
      <x:c r="F39" s="12"/>
      <x:c r="G39" s="100" t="str">
        <x:v>Elite women's football is closer than you think.</x:v>
      </x:c>
      <x:c r="H39" s="12"/>
      <x:c r="I39" s="12"/>
      <x:c r="J39" s="12"/>
      <x:c r="K39" s="12"/>
      <x:c r="L39" s="12"/>
    </x:row>
    <x:row r="40">
      <x:c r="A40" s="88" t="str">
        <x:v>Test design</x:v>
      </x:c>
      <x:c r="B40" s="12" t="str">
        <x:v>Test window: 2 home fixtures with different opponent appeal.</x:v>
      </x:c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03" t="str">
        <x:v>#4  Bromley 041A  |  Bromley  |  E01000707</x:v>
      </x:c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84" t="str">
        <x:v>Opportunity</x:v>
      </x:c>
      <x:c r="B44" s="84" t="n">
        <x:v>90</x:v>
      </x:c>
      <x:c r="C44" s="84" t="str">
        <x:v>Tier</x:v>
      </x:c>
      <x:c r="D44" s="84" t="str">
        <x:v>ATTACK</x:v>
      </x:c>
      <x:c r="E44" s="84" t="str">
        <x:v>Households w/ children</x:v>
      </x:c>
      <x:c r="F44" s="84" t="n">
        <x:v>267</x:v>
      </x:c>
      <x:c r="G44" s="84" t="str">
        <x:v>Family density</x:v>
      </x:c>
      <x:c r="H44" s="85" t="n">
        <x:v>0.5037735849056604</x:v>
      </x:c>
      <x:c r="I44" s="84" t="str">
        <x:v>Girls network</x:v>
      </x:c>
      <x:c r="J44" s="84" t="n">
        <x:v>84</x:v>
      </x:c>
      <x:c r="K44" s="84" t="str">
        <x:v>Sunday travel</x:v>
      </x:c>
      <x:c r="L44" s="84" t="str">
        <x:v>25 min / 0 transfer(s)</x:v>
      </x:c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88" t="str">
        <x:v>Strategic mode</x:v>
      </x:c>
      <x:c r="B46" s="12" t="str">
        <x:v>PARTNER-LED ATTACK</x:v>
      </x:c>
      <x:c r="C46" s="12"/>
      <x:c r="D46" s="91" t="str">
        <x:v>Competition pressure</x:v>
      </x:c>
      <x:c r="E46" s="12" t="n">
        <x:v>81</x:v>
      </x:c>
      <x:c r="F46" s="12"/>
      <x:c r="G46" s="104" t="str">
        <x:v>Territory hypothesis</x:v>
      </x:c>
      <x:c r="H46" s="12"/>
      <x:c r="I46" s="12"/>
      <x:c r="J46" s="12"/>
      <x:c r="K46" s="12"/>
      <x:c r="L46" s="12"/>
    </x:row>
    <x:row r="47">
      <x:c r="A47" s="88" t="str">
        <x:v>Positioning</x:v>
      </x:c>
      <x:c r="B47" s="12" t="str">
        <x:v>Use organisations as distribution nodes first; convert groups into repeat family attendance rather than relying on paid media.</x:v>
      </x:c>
      <x:c r="C47" s="12"/>
      <x:c r="D47" s="91" t="str">
        <x:v>Nearest Tier 1</x:v>
      </x:c>
      <x:c r="E47" s="12" t="str">
        <x:v>Crystal Palace Women — 3.3 km</x:v>
      </x:c>
      <x:c r="F47" s="12"/>
      <x:c r="G47" s="94" t="str">
        <x:v>Bromley 041A is worth testing because it combines a final Opportunity Score of 90/100, 267 households with dependent children, a girls-network score of 84/100 and ~25 minutes to Hayes Lane. The principal competitive constraint is Crystal Palace Women (3.3 km away).</x:v>
      </x:c>
      <x:c r="H47" s="12"/>
      <x:c r="I47" s="12"/>
      <x:c r="J47" s="12"/>
      <x:c r="K47" s="12"/>
      <x:c r="L47" s="12"/>
    </x:row>
    <x:row r="48">
      <x:c r="A48" s="88" t="str">
        <x:v>Recommended offer</x:v>
      </x:c>
      <x:c r="B48" s="12" t="str">
        <x:v>Family derby alternative</x:v>
      </x:c>
      <x:c r="C48" s="12"/>
      <x:c r="D48" s="91" t="str">
        <x:v>Nearest local club</x:v>
      </x:c>
      <x:c r="E48" s="12" t="str">
        <x:v>Dulwich Hamlet Women — 7.1 km</x:v>
      </x:c>
      <x:c r="F48" s="12"/>
      <x:c r="G48" s="12"/>
      <x:c r="H48" s="12"/>
      <x:c r="I48" s="12"/>
      <x:c r="J48" s="12"/>
      <x:c r="K48" s="12"/>
      <x:c r="L48" s="12"/>
    </x:row>
    <x:row r="49">
      <x:c r="A49" s="88" t="str">
        <x:v>Acquisition play</x:v>
      </x:c>
      <x:c r="B49" s="12" t="str">
        <x:v>Bundle a Sunday family experience: junior-heavy pricing, pre-match activity and group allocation through girls clubs.</x:v>
      </x:c>
      <x:c r="C49" s="12"/>
      <x:c r="D49" s="91" t="str">
        <x:v>Matchday friction</x:v>
      </x:c>
      <x:c r="E49" s="12" t="n">
        <x:v>85</x:v>
      </x:c>
      <x:c r="F49" s="12"/>
      <x:c r="G49" s="12"/>
      <x:c r="H49" s="12"/>
      <x:c r="I49" s="12"/>
      <x:c r="J49" s="12"/>
      <x:c r="K49" s="12"/>
      <x:c r="L49" s="12"/>
    </x:row>
    <x:row r="50">
      <x:c r="A50" s="88" t="str">
        <x:v>Distribution plan</x:v>
      </x:c>
      <x:c r="B50" s="12" t="str">
        <x:v>Start with 2–3 verified girls-football organisations around the zone; use them to reach a pool anchored by 267 dependent-child households in the LSOA.</x:v>
      </x:c>
      <x:c r="C50" s="12"/>
      <x:c r="D50" s="91" t="str">
        <x:v>Validation confidence</x:v>
      </x:c>
      <x:c r="E50" s="12" t="str">
        <x:v>MEDIUM</x:v>
      </x:c>
      <x:c r="F50" s="12"/>
      <x:c r="G50" s="12"/>
      <x:c r="H50" s="12"/>
      <x:c r="I50" s="12"/>
      <x:c r="J50" s="12"/>
      <x:c r="K50" s="12"/>
      <x:c r="L50" s="12"/>
    </x:row>
    <x:row r="51">
      <x:c r="A51" s="88" t="str">
        <x:v>Primary KPI</x:v>
      </x:c>
      <x:c r="B51" s="12" t="str">
        <x:v>Primary KPI: first-time family buyers → second purchase within 90 days.</x:v>
      </x:c>
      <x:c r="C51" s="12"/>
      <x:c r="D51" s="91" t="str">
        <x:v>Interpretation</x:v>
      </x:c>
      <x:c r="E51" s="12" t="str">
        <x:v>High competition validates football demand, but proposition must be additive rather than 'switch club'.</x:v>
      </x:c>
      <x:c r="F51" s="12"/>
      <x:c r="G51" s="105" t="str">
        <x:v>Suggested campaign line</x:v>
      </x:c>
      <x:c r="H51" s="12"/>
      <x:c r="I51" s="12"/>
      <x:c r="J51" s="12"/>
      <x:c r="K51" s="12"/>
      <x:c r="L51" s="12"/>
    </x:row>
    <x:row r="52">
      <x:c r="A52" s="88" t="str">
        <x:v>Secondary KPI</x:v>
      </x:c>
      <x:c r="B52" s="12" t="str">
        <x:v>Secondary KPI: tickets sold per partner organisation / group.</x:v>
      </x:c>
      <x:c r="C52" s="12"/>
      <x:c r="D52" s="91" t="str">
        <x:v>Decision</x:v>
      </x:c>
      <x:c r="E52" s="12" t="str">
        <x:v>GO</x:v>
      </x:c>
      <x:c r="F52" s="12"/>
      <x:c r="G52" s="100" t="str">
        <x:v>Make Sunday your women's football day.</x:v>
      </x:c>
      <x:c r="H52" s="12"/>
      <x:c r="I52" s="12"/>
      <x:c r="J52" s="12"/>
      <x:c r="K52" s="12"/>
      <x:c r="L52" s="12"/>
    </x:row>
    <x:row r="53">
      <x:c r="A53" s="88" t="str">
        <x:v>Test design</x:v>
      </x:c>
      <x:c r="B53" s="12" t="str">
        <x:v>Test window: 2 home fixtures with different opponent appeal.</x:v>
      </x:c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03" t="str">
        <x:v>#5  Croydon 013E  |  Croydon  |  E01001114</x:v>
      </x:c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84" t="str">
        <x:v>Opportunity</x:v>
      </x:c>
      <x:c r="B57" s="84" t="n">
        <x:v>88</x:v>
      </x:c>
      <x:c r="C57" s="84" t="str">
        <x:v>Tier</x:v>
      </x:c>
      <x:c r="D57" s="84" t="str">
        <x:v>ATTACK</x:v>
      </x:c>
      <x:c r="E57" s="84" t="str">
        <x:v>Households w/ children</x:v>
      </x:c>
      <x:c r="F57" s="84" t="n">
        <x:v>257</x:v>
      </x:c>
      <x:c r="G57" s="84" t="str">
        <x:v>Family density</x:v>
      </x:c>
      <x:c r="H57" s="85" t="n">
        <x:v>0.4269102990033223</x:v>
      </x:c>
      <x:c r="I57" s="84" t="str">
        <x:v>Girls network</x:v>
      </x:c>
      <x:c r="J57" s="84" t="n">
        <x:v>100</x:v>
      </x:c>
      <x:c r="K57" s="84" t="str">
        <x:v>Sunday travel</x:v>
      </x:c>
      <x:c r="L57" s="84" t="str">
        <x:v>40 min / 1 transfer(s)</x:v>
      </x:c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88" t="str">
        <x:v>Strategic mode</x:v>
      </x:c>
      <x:c r="B59" s="12" t="str">
        <x:v>CONQUEST / ADDITIVE</x:v>
      </x:c>
      <x:c r="C59" s="12"/>
      <x:c r="D59" s="91" t="str">
        <x:v>Competition pressure</x:v>
      </x:c>
      <x:c r="E59" s="12" t="n">
        <x:v>92</x:v>
      </x:c>
      <x:c r="F59" s="12"/>
      <x:c r="G59" s="104" t="str">
        <x:v>Territory hypothesis</x:v>
      </x:c>
      <x:c r="H59" s="12"/>
      <x:c r="I59" s="12"/>
      <x:c r="J59" s="12"/>
      <x:c r="K59" s="12"/>
      <x:c r="L59" s="12"/>
    </x:row>
    <x:row r="60">
      <x:c r="A60" s="88" t="str">
        <x:v>Positioning</x:v>
      </x:c>
      <x:c r="B60" s="12" t="str">
        <x:v>Do not ask families to switch allegiance. Sell London City as an additional elite women's-football day out despite strong Crystal Palace Women presence.</x:v>
      </x:c>
      <x:c r="C60" s="12"/>
      <x:c r="D60" s="91" t="str">
        <x:v>Nearest Tier 1</x:v>
      </x:c>
      <x:c r="E60" s="12" t="str">
        <x:v>Crystal Palace Women — 0.9 km</x:v>
      </x:c>
      <x:c r="F60" s="12"/>
      <x:c r="G60" s="94" t="str">
        <x:v>Croydon 013E is worth testing because it combines a final Opportunity Score of 88/100, 257 households with dependent children, a girls-network score of 100/100 and ~40 minutes to Hayes Lane. The principal competitive constraint is Crystal Palace Women (0.9 km away).</x:v>
      </x:c>
      <x:c r="H60" s="12"/>
      <x:c r="I60" s="12"/>
      <x:c r="J60" s="12"/>
      <x:c r="K60" s="12"/>
      <x:c r="L60" s="12"/>
    </x:row>
    <x:row r="61">
      <x:c r="A61" s="88" t="str">
        <x:v>Recommended offer</x:v>
      </x:c>
      <x:c r="B61" s="12" t="str">
        <x:v>Selected-fixture conversion</x:v>
      </x:c>
      <x:c r="C61" s="12"/>
      <x:c r="D61" s="91" t="str">
        <x:v>Nearest local club</x:v>
      </x:c>
      <x:c r="E61" s="12" t="str">
        <x:v>Dulwich Hamlet Women — 7.7 km</x:v>
      </x:c>
      <x:c r="F61" s="12"/>
      <x:c r="G61" s="12"/>
      <x:c r="H61" s="12"/>
      <x:c r="I61" s="12"/>
      <x:c r="J61" s="12"/>
      <x:c r="K61" s="12"/>
      <x:c r="L61" s="12"/>
    </x:row>
    <x:row r="62">
      <x:c r="A62" s="88" t="str">
        <x:v>Acquisition play</x:v>
      </x:c>
      <x:c r="B62" s="12" t="str">
        <x:v>Target only marquee fixtures and partner-led group travel; avoid broad always-on acquisition until access improves.</x:v>
      </x:c>
      <x:c r="C62" s="12"/>
      <x:c r="D62" s="91" t="str">
        <x:v>Matchday friction</x:v>
      </x:c>
      <x:c r="E62" s="12" t="n">
        <x:v>65</x:v>
      </x:c>
      <x:c r="F62" s="12"/>
      <x:c r="G62" s="12"/>
      <x:c r="H62" s="12"/>
      <x:c r="I62" s="12"/>
      <x:c r="J62" s="12"/>
      <x:c r="K62" s="12"/>
      <x:c r="L62" s="12"/>
    </x:row>
    <x:row r="63">
      <x:c r="A63" s="88" t="str">
        <x:v>Distribution plan</x:v>
      </x:c>
      <x:c r="B63" s="12" t="str">
        <x:v>Start with 2–3 verified girls-football organisations around the zone; use them to reach a pool anchored by 257 dependent-child households in the LSOA.</x:v>
      </x:c>
      <x:c r="C63" s="12"/>
      <x:c r="D63" s="91" t="str">
        <x:v>Validation confidence</x:v>
      </x:c>
      <x:c r="E63" s="12" t="str">
        <x:v>MEDIUM</x:v>
      </x:c>
      <x:c r="F63" s="12"/>
      <x:c r="G63" s="12"/>
      <x:c r="H63" s="12"/>
      <x:c r="I63" s="12"/>
      <x:c r="J63" s="12"/>
      <x:c r="K63" s="12"/>
      <x:c r="L63" s="12"/>
    </x:row>
    <x:row r="64">
      <x:c r="A64" s="88" t="str">
        <x:v>Primary KPI</x:v>
      </x:c>
      <x:c r="B64" s="12" t="str">
        <x:v>Primary KPI: first-time family buyers → second purchase within 90 days.</x:v>
      </x:c>
      <x:c r="C64" s="12"/>
      <x:c r="D64" s="91" t="str">
        <x:v>Interpretation</x:v>
      </x:c>
      <x:c r="E64" s="12" t="str">
        <x:v>High competition validates football demand, but proposition must be additive rather than 'switch club'.</x:v>
      </x:c>
      <x:c r="F64" s="12"/>
      <x:c r="G64" s="105" t="str">
        <x:v>Suggested campaign line</x:v>
      </x:c>
      <x:c r="H64" s="12"/>
      <x:c r="I64" s="12"/>
      <x:c r="J64" s="12"/>
      <x:c r="K64" s="12"/>
      <x:c r="L64" s="12"/>
    </x:row>
    <x:row r="65">
      <x:c r="A65" s="88" t="str">
        <x:v>Secondary KPI</x:v>
      </x:c>
      <x:c r="B65" s="12" t="str">
        <x:v>Secondary KPI: tickets sold per partner organisation / group.</x:v>
      </x:c>
      <x:c r="C65" s="12"/>
      <x:c r="D65" s="91" t="str">
        <x:v>Decision</x:v>
      </x:c>
      <x:c r="E65" s="12" t="str">
        <x:v>GO</x:v>
      </x:c>
      <x:c r="F65" s="12"/>
      <x:c r="G65" s="100" t="str">
        <x:v>You don't need to change your club. You just need a great Sunday.</x:v>
      </x:c>
      <x:c r="H65" s="12"/>
      <x:c r="I65" s="12"/>
      <x:c r="J65" s="12"/>
      <x:c r="K65" s="12"/>
      <x:c r="L65" s="12"/>
    </x:row>
    <x:row r="66">
      <x:c r="A66" s="88" t="str">
        <x:v>Test design</x:v>
      </x:c>
      <x:c r="B66" s="12" t="str">
        <x:v>Test window: 2 home fixtures with different opponent appeal.</x:v>
      </x:c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</x:row>
  </x:sheetData>
  <x:mergeCells>
    <x:mergeCell ref="A1:L1"/>
    <x:mergeCell ref="A2:L2"/>
    <x:mergeCell ref="A4:L4"/>
    <x:mergeCell ref="G7:L7"/>
    <x:mergeCell ref="G8:L10"/>
    <x:mergeCell ref="G12:L12"/>
    <x:mergeCell ref="G13:L14"/>
    <x:mergeCell ref="A17:L17"/>
    <x:mergeCell ref="G20:L20"/>
    <x:mergeCell ref="G21:L23"/>
    <x:mergeCell ref="G25:L25"/>
    <x:mergeCell ref="G26:L27"/>
    <x:mergeCell ref="A30:L30"/>
    <x:mergeCell ref="G33:L33"/>
    <x:mergeCell ref="G34:L36"/>
    <x:mergeCell ref="G38:L38"/>
    <x:mergeCell ref="G39:L40"/>
    <x:mergeCell ref="A43:L43"/>
    <x:mergeCell ref="G46:L46"/>
    <x:mergeCell ref="G47:L49"/>
    <x:mergeCell ref="G51:L51"/>
    <x:mergeCell ref="G52:L53"/>
    <x:mergeCell ref="A56:L56"/>
    <x:mergeCell ref="G59:L59"/>
    <x:mergeCell ref="G60:L62"/>
    <x:mergeCell ref="G64:L64"/>
    <x:mergeCell ref="G65:L6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14" hidden="0" customWidth="1"/>
    <x:col min="4" max="4" width="14" hidden="0" customWidth="1"/>
    <x:col min="5" max="5" width="16" hidden="0" customWidth="1"/>
    <x:col min="6" max="6" width="20" hidden="0" customWidth="1"/>
    <x:col min="7" max="7" width="28" hidden="0" customWidth="1"/>
    <x:col min="8" max="8" width="24" hidden="0" customWidth="1"/>
    <x:col min="9" max="9" width="30" hidden="0" customWidth="1"/>
    <x:col min="10" max="10" width="12" hidden="0" customWidth="1"/>
    <x:col min="11" max="11" width="20" hidden="0" customWidth="1"/>
    <x:col min="12" max="12" width="16" hidden="0" customWidth="1"/>
    <x:col min="13" max="13" width="30" hidden="0" customWidth="1"/>
  </x:cols>
  <x:sheetData>
    <x:row r="1">
      <x:c r="A1" s="106" t="str">
        <x:v>Top 5 Territory Plays</x:v>
      </x:c>
    </x:row>
    <x:row r="3">
      <x:c r="A3" s="108" t="str">
        <x:v>Rank</x:v>
      </x:c>
      <x:c r="B3" s="108" t="str">
        <x:v>Territory</x:v>
      </x:c>
      <x:c r="C3" s="108" t="str">
        <x:v>Opportunity</x:v>
      </x:c>
      <x:c r="D3" s="108" t="str">
        <x:v>Sunday min</x:v>
      </x:c>
      <x:c r="E3" s="108" t="str">
        <x:v>Girls network</x:v>
      </x:c>
      <x:c r="F3" s="108" t="str">
        <x:v>Competition pressure</x:v>
      </x:c>
      <x:c r="G3" s="108" t="str">
        <x:v>Nearest Tier 1</x:v>
      </x:c>
      <x:c r="H3" s="108" t="str">
        <x:v>Mode</x:v>
      </x:c>
      <x:c r="I3" s="108" t="str">
        <x:v>Recommended offer</x:v>
      </x:c>
      <x:c r="J3" s="108" t="str">
        <x:v>Decision</x:v>
      </x:c>
      <x:c r="K3" s="108" t="str">
        <x:v>Households w/ children</x:v>
      </x:c>
      <x:c r="L3" s="108" t="str">
        <x:v>Family density</x:v>
      </x:c>
      <x:c r="M3" s="108" t="str">
        <x:v>Key thought</x:v>
      </x:c>
    </x:row>
    <x:row r="4">
      <x:c r="A4" s="12" t="n">
        <x:v>1</x:v>
      </x:c>
      <x:c r="B4" s="12" t="str">
        <x:v>Bromley 016B</x:v>
      </x:c>
      <x:c r="C4" s="12" t="n">
        <x:v>95</x:v>
      </x:c>
      <x:c r="D4" s="12" t="n">
        <x:v>20</x:v>
      </x:c>
      <x:c r="E4" s="12" t="n">
        <x:v>93</x:v>
      </x:c>
      <x:c r="F4" s="12" t="n">
        <x:v>65</x:v>
      </x:c>
      <x:c r="G4" s="12" t="str">
        <x:v>Crystal Palace Women</x:v>
      </x:c>
      <x:c r="H4" s="12" t="str">
        <x:v>ATTACK</x:v>
      </x:c>
      <x:c r="I4" s="12" t="str">
        <x:v>Local repeat-attendance</x:v>
      </x:c>
      <x:c r="J4" s="12" t="str">
        <x:v>GO</x:v>
      </x:c>
      <x:c r="K4" s="12" t="n">
        <x:v>269</x:v>
      </x:c>
      <x:c r="L4" s="26" t="n">
        <x:v>0.41640866873065013</x:v>
      </x:c>
      <x:c r="M4" s="12" t="str">
        <x:v>Repeat-attendance acquisition</x:v>
      </x:c>
    </x:row>
    <x:row r="5">
      <x:c r="A5" s="12" t="n">
        <x:v>2</x:v>
      </x:c>
      <x:c r="B5" s="12" t="str">
        <x:v>Croydon 045E</x:v>
      </x:c>
      <x:c r="C5" s="12" t="n">
        <x:v>94</x:v>
      </x:c>
      <x:c r="D5" s="12" t="n">
        <x:v>25</x:v>
      </x:c>
      <x:c r="E5" s="12" t="n">
        <x:v>100</x:v>
      </x:c>
      <x:c r="F5" s="12" t="n">
        <x:v>92</x:v>
      </x:c>
      <x:c r="G5" s="12" t="str">
        <x:v>Crystal Palace Women</x:v>
      </x:c>
      <x:c r="H5" s="12" t="str">
        <x:v>CONQUEST / ADDITIVE</x:v>
      </x:c>
      <x:c r="I5" s="12" t="str">
        <x:v>Family derby alternative</x:v>
      </x:c>
      <x:c r="J5" s="12" t="str">
        <x:v>GO</x:v>
      </x:c>
      <x:c r="K5" s="12" t="n">
        <x:v>288</x:v>
      </x:c>
      <x:c r="L5" s="26" t="n">
        <x:v>0.4222873900293255</x:v>
      </x:c>
      <x:c r="M5" s="12" t="str">
        <x:v>Additive proposition required</x:v>
      </x:c>
    </x:row>
    <x:row r="6">
      <x:c r="A6" s="12" t="n">
        <x:v>3</x:v>
      </x:c>
      <x:c r="B6" s="12" t="str">
        <x:v>Bromley 026A</x:v>
      </x:c>
      <x:c r="C6" s="12" t="n">
        <x:v>90</x:v>
      </x:c>
      <x:c r="D6" s="12" t="n">
        <x:v>20</x:v>
      </x:c>
      <x:c r="E6" s="12" t="n">
        <x:v>86</x:v>
      </x:c>
      <x:c r="F6" s="12" t="n">
        <x:v>65</x:v>
      </x:c>
      <x:c r="G6" s="12" t="str">
        <x:v>Crystal Palace Women</x:v>
      </x:c>
      <x:c r="H6" s="12" t="str">
        <x:v>ATTACK</x:v>
      </x:c>
      <x:c r="I6" s="12" t="str">
        <x:v>Local repeat-attendance</x:v>
      </x:c>
      <x:c r="J6" s="12" t="str">
        <x:v>GO</x:v>
      </x:c>
      <x:c r="K6" s="12" t="n">
        <x:v>452</x:v>
      </x:c>
      <x:c r="L6" s="26" t="n">
        <x:v>0.3827265029635902</x:v>
      </x:c>
      <x:c r="M6" s="12" t="str">
        <x:v>Repeat-attendance acquisition</x:v>
      </x:c>
    </x:row>
    <x:row r="7">
      <x:c r="A7" s="12" t="n">
        <x:v>4</x:v>
      </x:c>
      <x:c r="B7" s="12" t="str">
        <x:v>Bromley 041A</x:v>
      </x:c>
      <x:c r="C7" s="12" t="n">
        <x:v>90</x:v>
      </x:c>
      <x:c r="D7" s="12" t="n">
        <x:v>25</x:v>
      </x:c>
      <x:c r="E7" s="12" t="n">
        <x:v>84</x:v>
      </x:c>
      <x:c r="F7" s="12" t="n">
        <x:v>81</x:v>
      </x:c>
      <x:c r="G7" s="12" t="str">
        <x:v>Crystal Palace Women</x:v>
      </x:c>
      <x:c r="H7" s="12" t="str">
        <x:v>PARTNER-LED ATTACK</x:v>
      </x:c>
      <x:c r="I7" s="12" t="str">
        <x:v>Family derby alternative</x:v>
      </x:c>
      <x:c r="J7" s="12" t="str">
        <x:v>GO</x:v>
      </x:c>
      <x:c r="K7" s="12" t="n">
        <x:v>267</x:v>
      </x:c>
      <x:c r="L7" s="26" t="n">
        <x:v>0.5037735849056604</x:v>
      </x:c>
      <x:c r="M7" s="12" t="str">
        <x:v>Repeat-attendance acquisition</x:v>
      </x:c>
    </x:row>
    <x:row r="8">
      <x:c r="A8" s="12" t="n">
        <x:v>5</x:v>
      </x:c>
      <x:c r="B8" s="12" t="str">
        <x:v>Croydon 013E</x:v>
      </x:c>
      <x:c r="C8" s="12" t="n">
        <x:v>88</x:v>
      </x:c>
      <x:c r="D8" s="12" t="n">
        <x:v>40</x:v>
      </x:c>
      <x:c r="E8" s="12" t="n">
        <x:v>100</x:v>
      </x:c>
      <x:c r="F8" s="12" t="n">
        <x:v>92</x:v>
      </x:c>
      <x:c r="G8" s="12" t="str">
        <x:v>Crystal Palace Women</x:v>
      </x:c>
      <x:c r="H8" s="12" t="str">
        <x:v>CONQUEST / ADDITIVE</x:v>
      </x:c>
      <x:c r="I8" s="12" t="str">
        <x:v>Selected-fixture conversion</x:v>
      </x:c>
      <x:c r="J8" s="12" t="str">
        <x:v>GO</x:v>
      </x:c>
      <x:c r="K8" s="12" t="n">
        <x:v>257</x:v>
      </x:c>
      <x:c r="L8" s="26" t="n">
        <x:v>0.4269102990033223</x:v>
      </x:c>
      <x:c r="M8" s="12" t="str">
        <x:v>Additive proposition required</x:v>
      </x:c>
    </x:row>
    <x:row r="11">
      <x:c r="A11" s="12" t="str">
        <x:v>Rule</x:v>
      </x:c>
      <x:c r="B11" s="12" t="str"/>
    </x:row>
    <x:row r="12">
      <x:c r="A12" s="12" t="str">
        <x:v>Opportunity score</x:v>
      </x:c>
      <x:c r="B12" s="12" t="str">
        <x:v>Uses family + girls network + validated matchday friction. Competition is NOT subtracted.</x:v>
      </x:c>
    </x:row>
    <x:row r="13">
      <x:c r="A13" s="12" t="str">
        <x:v>Competition pressure</x:v>
      </x:c>
      <x:c r="B13" s="12" t="str">
        <x:v>Context layer only. High pressure can indicate strong football demand as well as rivalry.</x:v>
      </x:c>
    </x:row>
    <x:row r="14">
      <x:c r="A14" s="12" t="str">
        <x:v>Acquisition philosophy</x:v>
      </x:c>
      <x:c r="B14" s="12" t="str">
        <x:v>Do not demand club-switching. Compete for leisure time and repeat women's-football attendance.</x:v>
      </x:c>
    </x:row>
    <x:row r="15">
      <x:c r="A15" s="12" t="str">
        <x:v>Next validation</x:v>
      </x:c>
      <x:c r="B15" s="12" t="str">
        <x:v>Test 2 fixtures in the top territories and measure first purchase → repeat purchase.</x:v>
      </x:c>
    </x:row>
  </x:sheetData>
  <x:mergeCells>
    <x:mergeCell ref="A1:M1"/>
  </x:mergeCells>
  <x:conditionalFormatting sqref="C4:F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20" hidden="0" customWidth="1"/>
    <x:col min="9" max="9" width="16" hidden="0" customWidth="1"/>
    <x:col min="10" max="10" width="24" hidden="0" customWidth="1"/>
    <x:col min="11" max="11" width="48" hidden="0" customWidth="1"/>
    <x:col min="12" max="12" width="48" hidden="0" customWidth="1"/>
    <x:col min="13" max="13" width="48" hidden="0" customWidth="1"/>
    <x:col min="14" max="14" width="44" hidden="0" customWidth="1"/>
  </x:cols>
  <x:sheetData>
    <x:row r="1">
      <x:c r="A1" s="116" t="str">
        <x:v>Fan Opportunity Engine — Calendar Whitespace 2026/27</x:v>
      </x:c>
    </x:row>
    <x:row r="2">
      <x:c r="A2" s="79" t="str">
        <x:v>When can London City be the available women's-football plan for South London families?</x:v>
      </x:c>
    </x:row>
    <x:row r="4">
      <x:c r="A4" s="119" t="str">
        <x:v>London City home date</x:v>
      </x:c>
      <x:c r="B4" s="119" t="str">
        <x:v>Opponent</x:v>
      </x:c>
      <x:c r="C4" s="119" t="str">
        <x:v>Day</x:v>
      </x:c>
      <x:c r="D4" s="119" t="str">
        <x:v>LCL time</x:v>
      </x:c>
      <x:c r="E4" s="119" t="str">
        <x:v>Crystal Palace status</x:v>
      </x:c>
      <x:c r="F4" s="119" t="str">
        <x:v>Charlton status</x:v>
      </x:c>
      <x:c r="G4" s="119" t="str">
        <x:v>Chelsea status</x:v>
      </x:c>
      <x:c r="H4" s="119" t="str">
        <x:v>Local calendar pressure</x:v>
      </x:c>
      <x:c r="I4" s="119" t="str">
        <x:v>Whitespace score</x:v>
      </x:c>
      <x:c r="J4" s="119" t="str">
        <x:v>Campaign mode</x:v>
      </x:c>
      <x:c r="K4" s="119" t="str">
        <x:v>Croydon play</x:v>
      </x:c>
      <x:c r="L4" s="119" t="str">
        <x:v>Lewisham/Charlton play</x:v>
      </x:c>
      <x:c r="M4" s="119" t="str">
        <x:v>Family proposition</x:v>
      </x:c>
      <x:c r="N4" s="119" t="str">
        <x:v>Notes</x:v>
      </x:c>
    </x:row>
    <x:row r="5">
      <x:c r="A5" s="12" t="str">
        <x:v>2026-09-04</x:v>
      </x:c>
      <x:c r="B5" s="12" t="str">
        <x:v>Manchester United</x:v>
      </x:c>
      <x:c r="C5" s="12" t="str">
        <x:v>Friday</x:v>
      </x:c>
      <x:c r="D5" s="12" t="str">
        <x:v>19:00</x:v>
      </x:c>
      <x:c r="E5" s="12" t="str">
        <x:v>HOME Sun 6 vs Everton</x:v>
      </x:c>
      <x:c r="F5" s="12" t="str">
        <x:v>HOME Sun 6 vs Liverpool</x:v>
      </x:c>
      <x:c r="G5" s="12" t="str">
        <x:v>HOME Sat 5 vs Aston Villa</x:v>
      </x:c>
      <x:c r="H5" s="12" t="str">
        <x:v>HIGH</x:v>
      </x:c>
      <x:c r="I5" s="12" t="n">
        <x:v>25</x:v>
      </x:c>
      <x:c r="J5" s="12" t="str">
        <x:v>LAUNCH / EVENT</x:v>
      </x:c>
      <x:c r="K5" s="12" t="str">
        <x:v>Not a Palace-away opportunity; sell novelty/star power rather than availability.</x:v>
      </x:c>
      <x:c r="L5" s="12" t="str">
        <x:v>Not a Charlton whitespace weekend.</x:v>
      </x:c>
      <x:c r="M5" s="12" t="str">
        <x:v>Season opener / event night, not Sunday-family proposition.</x:v>
      </x:c>
      <x:c r="N5" s="12" t="str">
        <x:v>Same weekend has multiple London home options.</x:v>
      </x:c>
    </x:row>
    <x:row r="6">
      <x:c r="A6" s="12" t="str">
        <x:v>2026-09-26</x:v>
      </x:c>
      <x:c r="B6" s="12" t="str">
        <x:v>Brighton &amp; Hove Albion</x:v>
      </x:c>
      <x:c r="C6" s="12" t="str">
        <x:v>Saturday</x:v>
      </x:c>
      <x:c r="D6" s="12" t="str">
        <x:v>17:00</x:v>
      </x:c>
      <x:c r="E6" s="12" t="str">
        <x:v>AWAY Sun 27 at Birmingham</x:v>
      </x:c>
      <x:c r="F6" s="12" t="str">
        <x:v>HOME Sat 26 vs Man City</x:v>
      </x:c>
      <x:c r="G6" s="12" t="str">
        <x:v>HOME Sun 27 vs Arsenal</x:v>
      </x:c>
      <x:c r="H6" s="12" t="str">
        <x:v>HIGH</x:v>
      </x:c>
      <x:c r="I6" s="12" t="n">
        <x:v>35</x:v>
      </x:c>
      <x:c r="J6" s="12" t="str">
        <x:v>LOCAL ATTACK</x:v>
      </x:c>
      <x:c r="K6" s="12" t="str">
        <x:v>Palace is away: usable in Croydon, but strong Chelsea/Charlton competition same weekend.</x:v>
      </x:c>
      <x:c r="L6" s="12" t="str">
        <x:v>Charlton is home the same day; weak for SE London conquest.</x:v>
      </x:c>
      <x:c r="M6" s="12" t="str">
        <x:v>Late-afternoon family match with Palace-away targeting.</x:v>
      </x:c>
      <x:c r="N6" s="12" t="str">
        <x:v>Broadcast-confirmed September round.</x:v>
      </x:c>
    </x:row>
    <x:row r="7">
      <x:c r="A7" s="12" t="str">
        <x:v>2026-10-18</x:v>
      </x:c>
      <x:c r="B7" s="12" t="str">
        <x:v>Everton</x:v>
      </x:c>
      <x:c r="C7" s="12" t="str">
        <x:v>Sunday</x:v>
      </x:c>
      <x:c r="D7" s="12" t="str">
        <x:v>15:00</x:v>
      </x:c>
      <x:c r="E7" s="12" t="str">
        <x:v>HOME vs West Ham</x:v>
      </x:c>
      <x:c r="F7" s="12" t="str">
        <x:v>HOME vs Man United</x:v>
      </x:c>
      <x:c r="G7" s="12" t="str">
        <x:v>HOME vs Tottenham</x:v>
      </x:c>
      <x:c r="H7" s="12" t="str">
        <x:v>VERY HIGH</x:v>
      </x:c>
      <x:c r="I7" s="12" t="n">
        <x:v>10</x:v>
      </x:c>
      <x:c r="J7" s="12" t="str">
        <x:v>DEFEND CORE</x:v>
      </x:c>
      <x:c r="K7" s="12" t="str">
        <x:v>Do not spend heavily on Croydon conquest.</x:v>
      </x:c>
      <x:c r="L7" s="12" t="str">
        <x:v>Do not spend heavily on Charlton territory.</x:v>
      </x:c>
      <x:c r="M7" s="12" t="str">
        <x:v>Focus Bromley/core database and existing partners.</x:v>
      </x:c>
      <x:c r="N7" s="12" t="str">
        <x:v>All three main London alternatives are home.</x:v>
      </x:c>
    </x:row>
    <x:row r="8">
      <x:c r="A8" s="12" t="str">
        <x:v>2026-11-01</x:v>
      </x:c>
      <x:c r="B8" s="12" t="str">
        <x:v>Manchester City</x:v>
      </x:c>
      <x:c r="C8" s="12" t="str">
        <x:v>Sunday</x:v>
      </x:c>
      <x:c r="D8" s="12" t="str">
        <x:v>15:00</x:v>
      </x:c>
      <x:c r="E8" s="12" t="str">
        <x:v>NOT HOME</x:v>
      </x:c>
      <x:c r="F8" s="12" t="str">
        <x:v>HOME vs Chelsea</x:v>
      </x:c>
      <x:c r="G8" s="12" t="str">
        <x:v>AWAY at Charlton</x:v>
      </x:c>
      <x:c r="H8" s="12" t="str">
        <x:v>MEDIUM</x:v>
      </x:c>
      <x:c r="I8" s="12" t="n">
        <x:v>65</x:v>
      </x:c>
      <x:c r="J8" s="12" t="str">
        <x:v>SELECTIVE CONQUEST</x:v>
      </x:c>
      <x:c r="K8" s="12" t="str">
        <x:v>Good Croydon availability window: Palace not home.</x:v>
      </x:c>
      <x:c r="L8" s="12" t="str">
        <x:v>Charlton territory saturated by Charlton-Chelsea.</x:v>
      </x:c>
      <x:c r="M8" s="12" t="str">
        <x:v>Use Manchester City opponent appeal + Croydon geo-targeting.</x:v>
      </x:c>
      <x:c r="N8" s="12" t="str">
        <x:v>Palace absence creates a useful Croydon opening.</x:v>
      </x:c>
    </x:row>
    <x:row r="9">
      <x:c r="A9" s="12" t="str">
        <x:v>2026-11-07</x:v>
      </x:c>
      <x:c r="B9" s="12" t="str">
        <x:v>Birmingham City</x:v>
      </x:c>
      <x:c r="C9" s="12" t="str">
        <x:v>Saturday</x:v>
      </x:c>
      <x:c r="D9" s="12" t="str">
        <x:v>13:00</x:v>
      </x:c>
      <x:c r="E9" s="12" t="str">
        <x:v>HOME Sun 8 vs Charlton</x:v>
      </x:c>
      <x:c r="F9" s="12" t="str">
        <x:v>AWAY Sun 8 at Palace</x:v>
      </x:c>
      <x:c r="G9" s="12" t="str">
        <x:v>HOME vs Everton</x:v>
      </x:c>
      <x:c r="H9" s="12" t="str">
        <x:v>HIGH</x:v>
      </x:c>
      <x:c r="I9" s="12" t="n">
        <x:v>30</x:v>
      </x:c>
      <x:c r="J9" s="12" t="str">
        <x:v>CORE / VALUE</x:v>
      </x:c>
      <x:c r="K9" s="12" t="str">
        <x:v>Palace home next day; limited Croydon conquest.</x:v>
      </x:c>
      <x:c r="L9" s="12" t="str">
        <x:v>Charlton away but playing Palace locally next day.</x:v>
      </x:c>
      <x:c r="M9" s="12" t="str">
        <x:v>Value-led family proposition rather than territory conquest.</x:v>
      </x:c>
      <x:c r="N9" s="12" t="str">
        <x:v>Competing women's football available across the weekend.</x:v>
      </x:c>
    </x:row>
    <x:row r="10">
      <x:c r="A10" s="12" t="str">
        <x:v>2026-11-22</x:v>
      </x:c>
      <x:c r="B10" s="12" t="str">
        <x:v>Crystal Palace</x:v>
      </x:c>
      <x:c r="C10" s="12" t="str">
        <x:v>Sunday</x:v>
      </x:c>
      <x:c r="D10" s="12" t="str">
        <x:v>15:00</x:v>
      </x:c>
      <x:c r="E10" s="12" t="str">
        <x:v>AWAY at London City</x:v>
      </x:c>
      <x:c r="F10" s="12" t="str">
        <x:v>HOME vs Aston Villa</x:v>
      </x:c>
      <x:c r="G10" s="12" t="str">
        <x:v>AWAY at Liverpool</x:v>
      </x:c>
      <x:c r="H10" s="12" t="str">
        <x:v>DERBY</x:v>
      </x:c>
      <x:c r="I10" s="12" t="n">
        <x:v>70</x:v>
      </x:c>
      <x:c r="J10" s="12" t="str">
        <x:v>DERBY CONQUEST</x:v>
      </x:c>
      <x:c r="K10" s="12" t="str">
        <x:v>This is not an alternative-to-Palace message; it is the direct local derby.</x:v>
      </x:c>
      <x:c r="L10" s="12" t="str">
        <x:v>Charlton home creates competing South-East London option.</x:v>
      </x:c>
      <x:c r="M10" s="12" t="str">
        <x:v>Sell occasion, rivalry and neutral South London attendance.</x:v>
      </x:c>
      <x:c r="N10" s="12" t="str">
        <x:v>Direct Palace fixture should be treated separately from whitespace.</x:v>
      </x:c>
    </x:row>
    <x:row r="11">
      <x:c r="A11" s="12" t="str">
        <x:v>2027-01-10</x:v>
      </x:c>
      <x:c r="B11" s="12" t="str">
        <x:v>West Ham United</x:v>
      </x:c>
      <x:c r="C11" s="12" t="str">
        <x:v>Sunday</x:v>
      </x:c>
      <x:c r="D11" s="12" t="str">
        <x:v>15:00</x:v>
      </x:c>
      <x:c r="E11" s="12" t="str">
        <x:v>HOME vs Man United</x:v>
      </x:c>
      <x:c r="F11" s="12" t="str">
        <x:v>HOME vs Birmingham</x:v>
      </x:c>
      <x:c r="G11" s="12" t="str">
        <x:v>AWAY at Man City</x:v>
      </x:c>
      <x:c r="H11" s="12" t="str">
        <x:v>VERY HIGH</x:v>
      </x:c>
      <x:c r="I11" s="12" t="n">
        <x:v>20</x:v>
      </x:c>
      <x:c r="J11" s="12" t="str">
        <x:v>DEFEND CORE</x:v>
      </x:c>
      <x:c r="K11" s="12" t="str">
        <x:v>Palace home: avoid broad Croydon conquest.</x:v>
      </x:c>
      <x:c r="L11" s="12" t="str">
        <x:v>Charlton home: weak Lewisham/Greenwich conquest window.</x:v>
      </x:c>
      <x:c r="M11" s="12" t="str">
        <x:v>Focus Bromley and existing grassroots partners.</x:v>
      </x:c>
      <x:c r="N11" s="12" t="str">
        <x:v>Two closest Tier-1 competitors are both home.</x:v>
      </x:c>
    </x:row>
    <x:row r="12">
      <x:c r="A12" s="12" t="str">
        <x:v>2027-01-24</x:v>
      </x:c>
      <x:c r="B12" s="12" t="str">
        <x:v>Arsenal</x:v>
      </x:c>
      <x:c r="C12" s="12" t="str">
        <x:v>Sunday</x:v>
      </x:c>
      <x:c r="D12" s="12" t="str">
        <x:v>15:00</x:v>
      </x:c>
      <x:c r="E12" s="12" t="str">
        <x:v>AWAY at Chelsea</x:v>
      </x:c>
      <x:c r="F12" s="12" t="str">
        <x:v>AWAY at Man City</x:v>
      </x:c>
      <x:c r="G12" s="12" t="str">
        <x:v>HOME vs Crystal Palace</x:v>
      </x:c>
      <x:c r="H12" s="12" t="str">
        <x:v>MEDIUM</x:v>
      </x:c>
      <x:c r="I12" s="12" t="n">
        <x:v>78</x:v>
      </x:c>
      <x:c r="J12" s="12" t="str">
        <x:v>CROYDON ALTERNATIVE</x:v>
      </x:c>
      <x:c r="K12" s="12" t="str">
        <x:v>Strong: Palace fans must travel to Stamford Bridge; Hayes Lane can be the closer women's-football option.</x:v>
      </x:c>
      <x:c r="L12" s="12" t="str">
        <x:v>Charlton away; reasonable SE London expansion opportunity.</x:v>
      </x:c>
      <x:c r="M12" s="12" t="str">
        <x:v>Premium opponent + easier South London access.</x:v>
      </x:c>
      <x:c r="N12" s="12" t="str">
        <x:v>One of the strongest Croydon-specific acquisition windows.</x:v>
      </x:c>
    </x:row>
    <x:row r="13">
      <x:c r="A13" s="12" t="str">
        <x:v>2027-02-14</x:v>
      </x:c>
      <x:c r="B13" s="12" t="str">
        <x:v>Chelsea</x:v>
      </x:c>
      <x:c r="C13" s="12" t="str">
        <x:v>Sunday</x:v>
      </x:c>
      <x:c r="D13" s="12" t="str">
        <x:v>15:00</x:v>
      </x:c>
      <x:c r="E13" s="12" t="str">
        <x:v>HOME vs Arsenal</x:v>
      </x:c>
      <x:c r="F13" s="12" t="str">
        <x:v>HOME vs West Ham</x:v>
      </x:c>
      <x:c r="G13" s="12" t="str">
        <x:v>AWAY at London City</x:v>
      </x:c>
      <x:c r="H13" s="12" t="str">
        <x:v>VERY HIGH</x:v>
      </x:c>
      <x:c r="I13" s="12" t="n">
        <x:v>15</x:v>
      </x:c>
      <x:c r="J13" s="12" t="str">
        <x:v>PREMIUM EVENT</x:v>
      </x:c>
      <x:c r="K13" s="12" t="str">
        <x:v>Palace-Arsenal is a major competing home event: avoid availability messaging.</x:v>
      </x:c>
      <x:c r="L13" s="12" t="str">
        <x:v>Charlton-West Ham also competes locally.</x:v>
      </x:c>
      <x:c r="M13" s="12" t="str">
        <x:v>Sell Chelsea fixture as premium London derby, not whitespace.</x:v>
      </x:c>
      <x:c r="N13" s="12" t="str">
        <x:v>High-quality competing inventory across South London.</x:v>
      </x:c>
    </x:row>
    <x:row r="14">
      <x:c r="A14" s="12" t="str">
        <x:v>2027-03-14</x:v>
      </x:c>
      <x:c r="B14" s="12" t="str">
        <x:v>Liverpool</x:v>
      </x:c>
      <x:c r="C14" s="12" t="str">
        <x:v>Sunday</x:v>
      </x:c>
      <x:c r="D14" s="12" t="str">
        <x:v>15:00</x:v>
      </x:c>
      <x:c r="E14" s="12" t="str">
        <x:v>NOT HOME</x:v>
      </x:c>
      <x:c r="F14" s="12" t="str">
        <x:v>AWAY at Man United</x:v>
      </x:c>
      <x:c r="G14" s="12" t="str">
        <x:v>AWAY at Birmingham</x:v>
      </x:c>
      <x:c r="H14" s="12" t="str">
        <x:v>LOW</x:v>
      </x:c>
      <x:c r="I14" s="12" t="n">
        <x:v>95</x:v>
      </x:c>
      <x:c r="J14" s="12" t="str">
        <x:v>WHITESPACE ATTACK</x:v>
      </x:c>
      <x:c r="K14" s="12" t="str">
        <x:v>Excellent Croydon conquest window: no Palace home match.</x:v>
      </x:c>
      <x:c r="L14" s="12" t="str">
        <x:v>Excellent SE London window: Charlton away.</x:v>
      </x:c>
      <x:c r="M14" s="12" t="str">
        <x:v>Own the Sunday: family day + grassroots group blocks + first-timer offer.</x:v>
      </x:c>
      <x:c r="N14" s="12" t="str">
        <x:v>Best identified 'great Sunday' whitespace date.</x:v>
      </x:c>
    </x:row>
    <x:row r="15">
      <x:c r="A15" s="12" t="str">
        <x:v>2027-04-04</x:v>
      </x:c>
      <x:c r="B15" s="12" t="str">
        <x:v>Charlton Athletic</x:v>
      </x:c>
      <x:c r="C15" s="12" t="str">
        <x:v>Sunday</x:v>
      </x:c>
      <x:c r="D15" s="12" t="str">
        <x:v>15:00</x:v>
      </x:c>
      <x:c r="E15" s="12" t="str">
        <x:v>AWAY at Tottenham</x:v>
      </x:c>
      <x:c r="F15" s="12" t="str">
        <x:v>AWAY at London City</x:v>
      </x:c>
      <x:c r="G15" s="12" t="str">
        <x:v>HOME vs Man United</x:v>
      </x:c>
      <x:c r="H15" s="12" t="str">
        <x:v>MEDIUM</x:v>
      </x:c>
      <x:c r="I15" s="12" t="n">
        <x:v>82</x:v>
      </x:c>
      <x:c r="J15" s="12" t="str">
        <x:v>SOUTH LONDON DERBY</x:v>
      </x:c>
      <x:c r="K15" s="12" t="str">
        <x:v>Palace away: strong Croydon neutral/family opportunity.</x:v>
      </x:c>
      <x:c r="L15" s="12" t="str">
        <x:v>Charlton is the opponent; market as South-East London derby rather than alternative.</x:v>
      </x:c>
      <x:c r="M15" s="12" t="str">
        <x:v>Local derby + short travel + grassroots partner allocations.</x:v>
      </x:c>
      <x:c r="N15" s="12" t="str">
        <x:v>Strong conquest/event hybrid.</x:v>
      </x:c>
    </x:row>
    <x:row r="16">
      <x:c r="A16" s="12" t="str">
        <x:v>2027-05-02</x:v>
      </x:c>
      <x:c r="B16" s="12" t="str">
        <x:v>Tottenham Hotspur</x:v>
      </x:c>
      <x:c r="C16" s="12" t="str">
        <x:v>Sunday</x:v>
      </x:c>
      <x:c r="D16" s="12" t="str">
        <x:v>15:00</x:v>
      </x:c>
      <x:c r="E16" s="12" t="str">
        <x:v>HOME vs Brighton</x:v>
      </x:c>
      <x:c r="F16" s="12" t="str">
        <x:v>AWAY at Liverpool</x:v>
      </x:c>
      <x:c r="G16" s="12" t="str">
        <x:v>AWAY at Aston Villa</x:v>
      </x:c>
      <x:c r="H16" s="12" t="str">
        <x:v>HIGH</x:v>
      </x:c>
      <x:c r="I16" s="12" t="n">
        <x:v>45</x:v>
      </x:c>
      <x:c r="J16" s="12" t="str">
        <x:v>CORE / SPURS APPEAL</x:v>
      </x:c>
      <x:c r="K16" s="12" t="str">
        <x:v>Palace home: poor Croydon availability window.</x:v>
      </x:c>
      <x:c r="L16" s="12" t="str">
        <x:v>Charlton away: some Lewisham/Greenwich opportunity.</x:v>
      </x:c>
      <x:c r="M16" s="12" t="str">
        <x:v>Use Spurs opponent appeal, focus non-Croydon segments.</x:v>
      </x:c>
      <x:c r="N16" s="12" t="str">
        <x:v>Mixed local opportunity.</x:v>
      </x:c>
    </x:row>
    <x:row r="17">
      <x:c r="A17" s="12" t="str">
        <x:v>2027-05-22</x:v>
      </x:c>
      <x:c r="B17" s="12" t="str">
        <x:v>Aston Villa</x:v>
      </x:c>
      <x:c r="C17" s="12" t="str">
        <x:v>Saturday</x:v>
      </x:c>
      <x:c r="D17" s="12" t="str">
        <x:v>TBC / final round</x:v>
      </x:c>
      <x:c r="E17" s="12" t="str">
        <x:v>AWAY at West Ham</x:v>
      </x:c>
      <x:c r="F17" s="12" t="str">
        <x:v>AWAY at Arsenal</x:v>
      </x:c>
      <x:c r="G17" s="12" t="str">
        <x:v>AWAY at Everton</x:v>
      </x:c>
      <x:c r="H17" s="12" t="str">
        <x:v>LOW</x:v>
      </x:c>
      <x:c r="I17" s="12" t="n">
        <x:v>90</x:v>
      </x:c>
      <x:c r="J17" s="12" t="str">
        <x:v>SEASON FINALE EVENT</x:v>
      </x:c>
      <x:c r="K17" s="12" t="str">
        <x:v>Palace away: strong South London availability.</x:v>
      </x:c>
      <x:c r="L17" s="12" t="str">
        <x:v>Charlton away: strong SE London availability.</x:v>
      </x:c>
      <x:c r="M17" s="12" t="str">
        <x:v>Season-finale occasion; family/event proposition rather than Sunday framing.</x:v>
      </x:c>
      <x:c r="N17" s="12" t="str">
        <x:v>Major whitespace, but final-day timing is not a Sunday-family slot.</x:v>
      </x:c>
    </x:row>
  </x:sheetData>
  <x:mergeCells>
    <x:mergeCell ref="A1:N1"/>
    <x:mergeCell ref="A2:N2"/>
  </x:mergeCells>
  <x:conditionalFormatting sqref="I5:I17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  <x:col min="3" max="3" width="30" hidden="0" customWidth="1"/>
    <x:col min="4" max="4" width="14" hidden="0" customWidth="1"/>
    <x:col min="5" max="5" width="52" hidden="0" customWidth="1"/>
    <x:col min="6" max="6" width="30" hidden="0" customWidth="1"/>
    <x:col min="7" max="7" width="48" hidden="0" customWidth="1"/>
    <x:col min="8" max="8" width="16" hidden="0" customWidth="1"/>
  </x:cols>
  <x:sheetData>
    <x:row r="1">
      <x:c r="A1" s="116" t="str">
        <x:v>Best Calendar Plays for Acquisition</x:v>
      </x:c>
    </x:row>
    <x:row r="3">
      <x:c r="A3" s="119" t="str">
        <x:v>Rank</x:v>
      </x:c>
      <x:c r="B3" s="119" t="str">
        <x:v>Date</x:v>
      </x:c>
      <x:c r="C3" s="119" t="str">
        <x:v>Fixture</x:v>
      </x:c>
      <x:c r="D3" s="119" t="str">
        <x:v>Whitespace</x:v>
      </x:c>
      <x:c r="E3" s="119" t="str">
        <x:v>Why it matters</x:v>
      </x:c>
      <x:c r="F3" s="119" t="str">
        <x:v>Target territories</x:v>
      </x:c>
      <x:c r="G3" s="119" t="str">
        <x:v>Campaign concept</x:v>
      </x:c>
      <x:c r="H3" s="119" t="str">
        <x:v>Priority</x:v>
      </x:c>
    </x:row>
    <x:row r="4">
      <x:c r="A4" s="12" t="n">
        <x:v>1</x:v>
      </x:c>
      <x:c r="B4" s="12" t="str">
        <x:v>14 Mar 2027</x:v>
      </x:c>
      <x:c r="C4" s="12" t="str">
        <x:v>London City v Liverpool</x:v>
      </x:c>
      <x:c r="D4" s="12" t="n">
        <x:v>95</x:v>
      </x:c>
      <x:c r="E4" s="12" t="str">
        <x:v>Palace not home; Charlton away; Chelsea away.</x:v>
      </x:c>
      <x:c r="F4" s="12" t="str">
        <x:v>Croydon + Lewisham + Bromley</x:v>
      </x:c>
      <x:c r="G4" s="12" t="str">
        <x:v>Own Sunday: 'Your women's football plan this weekend.'</x:v>
      </x:c>
      <x:c r="H4" s="12" t="str">
        <x:v>VERY HIGH</x:v>
      </x:c>
    </x:row>
    <x:row r="5">
      <x:c r="A5" s="12" t="n">
        <x:v>2</x:v>
      </x:c>
      <x:c r="B5" s="12" t="str">
        <x:v>22 May 2027</x:v>
      </x:c>
      <x:c r="C5" s="12" t="str">
        <x:v>London City v Aston Villa</x:v>
      </x:c>
      <x:c r="D5" s="12" t="n">
        <x:v>90</x:v>
      </x:c>
      <x:c r="E5" s="12" t="str">
        <x:v>Palace, Charlton and Chelsea all away.</x:v>
      </x:c>
      <x:c r="F5" s="12" t="str">
        <x:v>South London wide</x:v>
      </x:c>
      <x:c r="G5" s="12" t="str">
        <x:v>Season finale: make Hayes Lane the South London football event.</x:v>
      </x:c>
      <x:c r="H5" s="12" t="str">
        <x:v>HIGH</x:v>
      </x:c>
    </x:row>
    <x:row r="6">
      <x:c r="A6" s="12" t="n">
        <x:v>3</x:v>
      </x:c>
      <x:c r="B6" s="12" t="str">
        <x:v>4 Apr 2027</x:v>
      </x:c>
      <x:c r="C6" s="12" t="str">
        <x:v>London City v Charlton</x:v>
      </x:c>
      <x:c r="D6" s="12" t="n">
        <x:v>82</x:v>
      </x:c>
      <x:c r="E6" s="12" t="str">
        <x:v>Palace away; direct South-East London derby.</x:v>
      </x:c>
      <x:c r="F6" s="12" t="str">
        <x:v>Croydon + Greenwich + Lewisham</x:v>
      </x:c>
      <x:c r="G6" s="12" t="str">
        <x:v>South London derby day — no club-switching required.</x:v>
      </x:c>
      <x:c r="H6" s="12" t="str">
        <x:v>HIGH</x:v>
      </x:c>
    </x:row>
    <x:row r="7">
      <x:c r="A7" s="12" t="n">
        <x:v>4</x:v>
      </x:c>
      <x:c r="B7" s="12" t="str">
        <x:v>24 Jan 2027</x:v>
      </x:c>
      <x:c r="C7" s="12" t="str">
        <x:v>London City v Arsenal</x:v>
      </x:c>
      <x:c r="D7" s="12" t="n">
        <x:v>78</x:v>
      </x:c>
      <x:c r="E7" s="12" t="str">
        <x:v>Palace away at Chelsea; Charlton away. Premium opponent at Hayes Lane.</x:v>
      </x:c>
      <x:c r="F7" s="12" t="str">
        <x:v>Croydon + Bromley</x:v>
      </x:c>
      <x:c r="G7" s="12" t="str">
        <x:v>Arsenal at Hayes Lane: elite football closer to home.</x:v>
      </x:c>
      <x:c r="H7" s="12" t="str">
        <x:v>HIGH</x:v>
      </x:c>
    </x:row>
    <x:row r="8">
      <x:c r="A8" s="12" t="n">
        <x:v>5</x:v>
      </x:c>
      <x:c r="B8" s="12" t="str">
        <x:v>1 Nov 2026</x:v>
      </x:c>
      <x:c r="C8" s="12" t="str">
        <x:v>London City v Man City</x:v>
      </x:c>
      <x:c r="D8" s="12" t="n">
        <x:v>65</x:v>
      </x:c>
      <x:c r="E8" s="12" t="str">
        <x:v>Palace not home; major opponent creates natural demand.</x:v>
      </x:c>
      <x:c r="F8" s="12" t="str">
        <x:v>Croydon + Bromley</x:v>
      </x:c>
      <x:c r="G8" s="12" t="str">
        <x:v>Manchester City without crossing London.</x:v>
      </x:c>
      <x:c r="H8" s="12" t="str">
        <x:v>MED-HIGH</x:v>
      </x:c>
    </x:row>
    <x:row r="11">
      <x:c r="A11" s="12" t="str">
        <x:v>Method</x:v>
      </x:c>
      <x:c r="B11" s="12" t="str"/>
    </x:row>
    <x:row r="12">
      <x:c r="A12" s="12" t="str">
        <x:v>Whitespace score</x:v>
      </x:c>
      <x:c r="B12" s="12" t="str">
        <x:v>Strategic heuristic based on whether Crystal Palace, Charlton and Chelsea have competing home WSL inventory that weekend/date.</x:v>
      </x:c>
    </x:row>
    <x:row r="13">
      <x:c r="A13" s="12" t="str">
        <x:v>Key rule</x:v>
      </x:c>
      <x:c r="B13" s="12" t="str">
        <x:v>Palace-away dates matter disproportionately for Croydon territories; Charlton-away dates matter more for Lewisham/Greenwich.</x:v>
      </x:c>
    </x:row>
    <x:row r="14">
      <x:c r="A14" s="12" t="str">
        <x:v>Not a demand forecast</x:v>
      </x:c>
      <x:c r="B14" s="12" t="str">
        <x:v>The score indicates calendar opportunity, not expected ticket sales.</x:v>
      </x:c>
    </x:row>
    <x:row r="15">
      <x:c r="A15" s="12" t="str">
        <x:v>Fixture risk</x:v>
      </x:c>
      <x:c r="B15" s="12" t="str">
        <x:v>Most dates after the first four WSL rounds remain subject to broadcaster changes.</x:v>
      </x:c>
    </x:row>
    <x:row r="16">
      <x:c r="A16" s="12" t="str">
        <x:v>Activation implication</x:v>
      </x:c>
      <x:c r="B16" s="12" t="str">
        <x:v>Shift media spend geographically week by week instead of using one always-on catchment strategy.</x:v>
      </x:c>
    </x:row>
  </x:sheetData>
  <x:mergeCells>
    <x:mergeCell ref="A1:H1"/>
  </x:mergeCells>
  <x:conditionalFormatting sqref="D4:D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{FD728E8A-E15F-3451-058E-70D1C1E32C68}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D728E8A-E15F-3451-058E-70D1C1E32C68}">
            <x14:dataBar gradient="1">
              <x14:cfvo type="min"/>
              <x14:cfvo type="max"/>
              <x14:fillColor rgb="FFA02B93"/>
            </x14:dataBar>
          </x14:cfRule>
          <xm:sqref>D4:D8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8" hidden="0" customWidth="1"/>
    <x:col min="4" max="4" width="12" hidden="0" customWidth="1"/>
    <x:col min="5" max="5" width="30" hidden="0" customWidth="1"/>
    <x:col min="6" max="6" width="14" hidden="0" customWidth="1"/>
    <x:col min="7" max="7" width="16" hidden="0" customWidth="1"/>
    <x:col min="8" max="8" width="14" hidden="0" customWidth="1"/>
    <x:col min="9" max="9" width="12" hidden="0" customWidth="1"/>
    <x:col min="10" max="10" width="12" hidden="0" customWidth="1"/>
    <x:col min="11" max="11" width="16" hidden="0" customWidth="1"/>
    <x:col min="12" max="12" width="18" hidden="0" customWidth="1"/>
    <x:col min="13" max="13" width="48" hidden="0" customWidth="1"/>
    <x:col min="14" max="14" width="50" hidden="0" customWidth="1"/>
  </x:cols>
  <x:sheetData>
    <x:row r="1">
      <x:c r="A1" s="128" t="str">
        <x:v>Attendance Monitor — London Women’s Football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>
      <x:c r="A3" s="124" t="str">
        <x:v>Club</x:v>
      </x:c>
      <x:c r="B3" s="124" t="str">
        <x:v>2025/26 competition</x:v>
      </x:c>
      <x:c r="C3" s="124" t="str">
        <x:v>2025/26 home avg</x:v>
      </x:c>
      <x:c r="D3" s="124" t="str">
        <x:v>Regular venue avg / note</x:v>
      </x:c>
      <x:c r="E3" s="124" t="str">
        <x:v>2026/27 division</x:v>
      </x:c>
      <x:c r="F3" s="124" t="str">
        <x:v>2026/27 matches logged</x:v>
      </x:c>
      <x:c r="G3" s="124" t="str">
        <x:v>2026/27 avg</x:v>
      </x:c>
      <x:c r="H3" s="124" t="str">
        <x:v>Latest attendance</x:v>
      </x:c>
      <x:c r="I3" s="124" t="str">
        <x:v>Trend vs baseline</x:v>
      </x:c>
      <x:c r="J3" s="124" t="str">
        <x:v>Source / status</x:v>
      </x:c>
      <x:c r="K3" s="12"/>
      <x:c r="L3" s="12"/>
      <x:c r="M3" s="12"/>
      <x:c r="N3" s="12"/>
    </x:row>
    <x:row r="4">
      <x:c r="A4" s="12" t="str">
        <x:v>London City Lionesses</x:v>
      </x:c>
      <x:c r="B4" s="12" t="str">
        <x:v>WSL</x:v>
      </x:c>
      <x:c r="C4" s="33" t="n">
        <x:v>3176</x:v>
      </x:c>
      <x:c r="D4" s="12" t="str">
        <x:v>Hayes Lane: 3,012 across 10 league games; The Den: 4,820 once</x:v>
      </x:c>
      <x:c r="E4" s="12" t="str">
        <x:v>WSL</x:v>
      </x:c>
      <x:c r="F4" s="12" t="n">
        <x:v>0</x:v>
      </x:c>
      <x:c r="G4" s="33"/>
      <x:c r="H4" s="33"/>
      <x:c r="I4" s="26" t="str">
        <x:f>IF(OR(C4="",G4=""),"",G4/C4-1)</x:f>
      </x:c>
      <x:c r="J4" s="12" t="str">
        <x:v>Women’s Football Data Centre</x:v>
      </x:c>
      <x:c r="K4" s="12"/>
      <x:c r="L4" s="12"/>
      <x:c r="M4" s="12"/>
      <x:c r="N4" s="12"/>
    </x:row>
    <x:row r="5">
      <x:c r="A5" s="12" t="str">
        <x:v>Arsenal Women</x:v>
      </x:c>
      <x:c r="B5" s="12" t="str">
        <x:v>WSL</x:v>
      </x:c>
      <x:c r="C5" s="33" t="n">
        <x:v>33808</x:v>
      </x:c>
      <x:c r="D5" s="12" t="str">
        <x:v>All 11 WSL games at Emirates</x:v>
      </x:c>
      <x:c r="E5" s="12" t="str">
        <x:v>WSL</x:v>
      </x:c>
      <x:c r="F5" s="12" t="n">
        <x:v>0</x:v>
      </x:c>
      <x:c r="G5" s="33"/>
      <x:c r="H5" s="33"/>
      <x:c r="I5" s="26" t="str">
        <x:f>IF(OR(C5="",G5=""),"",G5/C5-1)</x:f>
      </x:c>
      <x:c r="J5" s="12" t="str">
        <x:v>Women’s Football Data Centre</x:v>
      </x:c>
      <x:c r="K5" s="12"/>
      <x:c r="L5" s="12"/>
      <x:c r="M5" s="12"/>
      <x:c r="N5" s="12"/>
    </x:row>
    <x:row r="6">
      <x:c r="A6" s="12" t="str">
        <x:v>Chelsea Women</x:v>
      </x:c>
      <x:c r="B6" s="12" t="str">
        <x:v>WSL</x:v>
      </x:c>
      <x:c r="C6" s="33" t="n">
        <x:v>8519</x:v>
      </x:c>
      <x:c r="D6" s="12" t="str">
        <x:v>Kingsmeadow avg 3,357; Stamford Bridge avg 17,552</x:v>
      </x:c>
      <x:c r="E6" s="12" t="str">
        <x:v>WSL</x:v>
      </x:c>
      <x:c r="F6" s="12" t="n">
        <x:v>0</x:v>
      </x:c>
      <x:c r="G6" s="33"/>
      <x:c r="H6" s="33"/>
      <x:c r="I6" s="26" t="str">
        <x:f>IF(OR(C6="",G6=""),"",G6/C6-1)</x:f>
      </x:c>
      <x:c r="J6" s="12" t="str">
        <x:v>Women’s Football Data Centre</x:v>
      </x:c>
      <x:c r="K6" s="12"/>
      <x:c r="L6" s="12"/>
      <x:c r="M6" s="12"/>
      <x:c r="N6" s="12"/>
    </x:row>
    <x:row r="7">
      <x:c r="A7" s="12" t="str">
        <x:v>Tottenham Hotspur Women</x:v>
      </x:c>
      <x:c r="B7" s="12" t="str">
        <x:v>WSL</x:v>
      </x:c>
      <x:c r="C7" s="33" t="n">
        <x:v>3571</x:v>
      </x:c>
      <x:c r="D7" s="12" t="str">
        <x:v>Brisbane Road avg 2,226; THS avg 7,161</x:v>
      </x:c>
      <x:c r="E7" s="12" t="str">
        <x:v>WSL</x:v>
      </x:c>
      <x:c r="F7" s="12" t="n">
        <x:v>0</x:v>
      </x:c>
      <x:c r="G7" s="33"/>
      <x:c r="H7" s="33"/>
      <x:c r="I7" s="26" t="str">
        <x:f>IF(OR(C7="",G7=""),"",G7/C7-1)</x:f>
      </x:c>
      <x:c r="J7" s="12" t="str">
        <x:v>Women’s Football Data Centre</x:v>
      </x:c>
      <x:c r="K7" s="12"/>
      <x:c r="L7" s="12"/>
      <x:c r="M7" s="12"/>
      <x:c r="N7" s="12"/>
    </x:row>
    <x:row r="8">
      <x:c r="A8" s="12" t="str">
        <x:v>West Ham United Women</x:v>
      </x:c>
      <x:c r="B8" s="12" t="str">
        <x:v>WSL</x:v>
      </x:c>
      <x:c r="C8" s="33" t="n">
        <x:v>1702</x:v>
      </x:c>
      <x:c r="D8" s="12" t="str">
        <x:v>All 11 at Chigwell Construction Stadium</x:v>
      </x:c>
      <x:c r="E8" s="12" t="str">
        <x:v>WSL</x:v>
      </x:c>
      <x:c r="F8" s="12" t="n">
        <x:v>0</x:v>
      </x:c>
      <x:c r="G8" s="33"/>
      <x:c r="H8" s="33"/>
      <x:c r="I8" s="26" t="str">
        <x:f>IF(OR(C8="",G8=""),"",G8/C8-1)</x:f>
      </x:c>
      <x:c r="J8" s="12" t="str">
        <x:v>Women’s Football Data Centre</x:v>
      </x:c>
      <x:c r="K8" s="12"/>
      <x:c r="L8" s="12"/>
      <x:c r="M8" s="12"/>
      <x:c r="N8" s="12"/>
    </x:row>
    <x:row r="9">
      <x:c r="A9" s="12" t="str">
        <x:v>Crystal Palace Women</x:v>
      </x:c>
      <x:c r="B9" s="12" t="str">
        <x:v>Women’s Championship</x:v>
      </x:c>
      <x:c r="C9" s="33"/>
      <x:c r="D9" s="12" t="str">
        <x:v>Club-specific 2025/26 average not yet verified in current source set</x:v>
      </x:c>
      <x:c r="E9" s="12" t="str">
        <x:v>WSL</x:v>
      </x:c>
      <x:c r="F9" s="12" t="n">
        <x:v>0</x:v>
      </x:c>
      <x:c r="G9" s="33"/>
      <x:c r="H9" s="33"/>
      <x:c r="I9" s="26" t="str">
        <x:f>IF(OR(C9="",G9=""),"",G9/C9-1)</x:f>
      </x:c>
      <x:c r="J9" s="12" t="str">
        <x:v>Monitor from 2026/27 match reports</x:v>
      </x:c>
      <x:c r="K9" s="12"/>
      <x:c r="L9" s="12"/>
      <x:c r="M9" s="12"/>
      <x:c r="N9" s="12"/>
    </x:row>
    <x:row r="10">
      <x:c r="A10" s="12" t="str">
        <x:v>Charlton Athletic Women</x:v>
      </x:c>
      <x:c r="B10" s="12" t="str">
        <x:v>Women’s Championship</x:v>
      </x:c>
      <x:c r="C10" s="33"/>
      <x:c r="D10" s="12" t="str">
        <x:v>Club-specific 2025/26 average not yet verified in current source set</x:v>
      </x:c>
      <x:c r="E10" s="12" t="str">
        <x:v>WSL</x:v>
      </x:c>
      <x:c r="F10" s="12" t="n">
        <x:v>0</x:v>
      </x:c>
      <x:c r="G10" s="33"/>
      <x:c r="H10" s="33"/>
      <x:c r="I10" s="26" t="str">
        <x:f>IF(OR(C10="",G10=""),"",G10/C10-1)</x:f>
      </x:c>
      <x:c r="J10" s="12" t="str">
        <x:v>Monitor from 2026/27 match reports</x:v>
      </x:c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</x:row>
    <x:row r="13">
      <x:c r="A13" s="127" t="str">
        <x:v>Date</x:v>
      </x:c>
      <x:c r="B13" s="127" t="str">
        <x:v>Club</x:v>
      </x:c>
      <x:c r="C13" s="127" t="str">
        <x:v>Opponent</x:v>
      </x:c>
      <x:c r="D13" s="127" t="str">
        <x:v>Home/Away</x:v>
      </x:c>
      <x:c r="E13" s="127" t="str">
        <x:v>Venue</x:v>
      </x:c>
      <x:c r="F13" s="127" t="str">
        <x:v>Attendance</x:v>
      </x:c>
      <x:c r="G13" s="127" t="str">
        <x:v>Capacity if known</x:v>
      </x:c>
      <x:c r="H13" s="127" t="str">
        <x:v>Occupancy %</x:v>
      </x:c>
      <x:c r="I13" s="127" t="str">
        <x:v>Kick-off</x:v>
      </x:c>
      <x:c r="J13" s="127" t="str">
        <x:v>Day</x:v>
      </x:c>
      <x:c r="K13" s="127" t="str">
        <x:v>Weather risk</x:v>
      </x:c>
      <x:c r="L13" s="127" t="str">
        <x:v>Calendar whitespace</x:v>
      </x:c>
      <x:c r="M13" s="127" t="str">
        <x:v>Source</x:v>
      </x:c>
      <x:c r="N13" s="127" t="str">
        <x:v>Notes</x:v>
      </x:c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</x:row>
  </x:sheetData>
  <x:mergeCells>
    <x:mergeCell ref="A1:N1"/>
  </x:mergeCells>
  <x:conditionalFormatting sqref="I4:I10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26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20" hidden="0" customWidth="1"/>
    <x:col min="10" max="10" width="20" hidden="0" customWidth="1"/>
    <x:col min="11" max="11" width="16" hidden="0" customWidth="1"/>
    <x:col min="12" max="12" width="18" hidden="0" customWidth="1"/>
    <x:col min="13" max="13" width="46" hidden="0" customWidth="1"/>
    <x:col min="14" max="14" width="60" hidden="0" customWidth="1"/>
  </x:cols>
  <x:sheetData>
    <x:row r="1">
      <x:c r="A1" s="128" t="str">
        <x:v>Matchday Weather Monitor — Hayes Lane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>
      <x:c r="A3" s="131" t="str">
        <x:v>Fixture date</x:v>
      </x:c>
      <x:c r="B3" s="131" t="str">
        <x:v>Opponent</x:v>
      </x:c>
      <x:c r="C3" s="131" t="str">
        <x:v>Kick-off</x:v>
      </x:c>
      <x:c r="D3" s="131" t="str">
        <x:v>Forecast horizon</x:v>
      </x:c>
      <x:c r="E3" s="131" t="str">
        <x:v>Condition</x:v>
      </x:c>
      <x:c r="F3" s="131" t="str">
        <x:v>Precip probability at/near KO</x:v>
      </x:c>
      <x:c r="G3" s="131" t="str">
        <x:v>Daily high °C</x:v>
      </x:c>
      <x:c r="H3" s="131" t="str">
        <x:v>Daily low °C</x:v>
      </x:c>
      <x:c r="I3" s="131" t="str">
        <x:v>Wind</x:v>
      </x:c>
      <x:c r="J3" s="131" t="str">
        <x:v>Weather suitability</x:v>
      </x:c>
      <x:c r="K3" s="131" t="str">
        <x:v>Weather risk</x:v>
      </x:c>
      <x:c r="L3" s="131" t="str">
        <x:v>Data status</x:v>
      </x:c>
      <x:c r="M3" s="131" t="str">
        <x:v>Source</x:v>
      </x:c>
      <x:c r="N3" s="131" t="str">
        <x:v>Commercial implication</x:v>
      </x:c>
    </x:row>
    <x:row r="4">
      <x:c r="A4" s="12" t="str">
        <x:v>2026-09-04</x:v>
      </x:c>
      <x:c r="B4" s="12" t="str">
        <x:v>Manchester United</x:v>
      </x:c>
      <x:c r="C4" s="12" t="str">
        <x:v>19:00</x:v>
      </x:c>
      <x:c r="D4" s="12" t="str">
        <x:v>3 days</x:v>
      </x:c>
      <x:c r="E4" s="12" t="str">
        <x:v>Cloudy; showers possible</x:v>
      </x:c>
      <x:c r="F4" s="133" t="n">
        <x:v>0.3</x:v>
      </x:c>
      <x:c r="G4" s="33" t="n">
        <x:v>25</x:v>
      </x:c>
      <x:c r="H4" s="33" t="n">
        <x:v>17</x:v>
      </x:c>
      <x:c r="I4" s="12" t="str">
        <x:v>Breezy / W</x:v>
      </x:c>
      <x:c r="J4" s="12" t="n">
        <x:v>70</x:v>
      </x:c>
      <x:c r="K4" s="12" t="str">
        <x:v>MEDIUM</x:v>
      </x:c>
      <x:c r="L4" s="12" t="str">
        <x:v>LIVE FORECAST</x:v>
      </x:c>
      <x:c r="M4" s="12" t="str">
        <x:v>Met Office Bromley forecast, checked 1 Sep 2026</x:v>
      </x:c>
      <x:c r="N4" s="12" t="str">
        <x:v>Not a cancellation risk, but showers can reduce walk-up/family spontaneity. Push advance purchase and covered/fanzone messaging.</x:v>
      </x:c>
    </x:row>
    <x:row r="5">
      <x:c r="A5" s="12" t="str">
        <x:v>2026-09-26</x:v>
      </x:c>
      <x:c r="B5" s="12" t="str">
        <x:v>Brighton &amp; Hove Albion</x:v>
      </x:c>
      <x:c r="C5" s="12" t="str">
        <x:v>17:00</x:v>
      </x:c>
      <x:c r="D5" s="12" t="str">
        <x:v>Outside reliable forecast window</x:v>
      </x:c>
      <x:c r="E5" s="12"/>
      <x:c r="F5" s="133"/>
      <x:c r="G5" s="33"/>
      <x:c r="H5" s="33"/>
      <x:c r="I5" s="12"/>
      <x:c r="J5" s="12"/>
      <x:c r="K5" s="12"/>
      <x:c r="L5" s="12" t="str">
        <x:v>WAITING</x:v>
      </x:c>
      <x:c r="M5" s="12"/>
      <x:c r="N5" s="12" t="str">
        <x:v>Populate forecast 5–7 days out; refresh more frequently inside 72 hours.</x:v>
      </x:c>
    </x:row>
    <x:row r="6">
      <x:c r="A6" s="12" t="str">
        <x:v>2026-10-18</x:v>
      </x:c>
      <x:c r="B6" s="12" t="str">
        <x:v>Everton</x:v>
      </x:c>
      <x:c r="C6" s="12" t="str">
        <x:v>15:00</x:v>
      </x:c>
      <x:c r="D6" s="12" t="str">
        <x:v>Outside reliable forecast window</x:v>
      </x:c>
      <x:c r="E6" s="12"/>
      <x:c r="F6" s="133"/>
      <x:c r="G6" s="33"/>
      <x:c r="H6" s="33"/>
      <x:c r="I6" s="12"/>
      <x:c r="J6" s="12"/>
      <x:c r="K6" s="12"/>
      <x:c r="L6" s="12" t="str">
        <x:v>WAITING</x:v>
      </x:c>
      <x:c r="M6" s="12"/>
      <x:c r="N6" s="12" t="str">
        <x:v>Populate forecast 5–7 days out; refresh more frequently inside 72 hours.</x:v>
      </x:c>
    </x:row>
    <x:row r="7">
      <x:c r="A7" s="12" t="str">
        <x:v>2026-11-01</x:v>
      </x:c>
      <x:c r="B7" s="12" t="str">
        <x:v>Manchester City</x:v>
      </x:c>
      <x:c r="C7" s="12" t="str">
        <x:v>15:00</x:v>
      </x:c>
      <x:c r="D7" s="12" t="str">
        <x:v>Outside reliable forecast window</x:v>
      </x:c>
      <x:c r="E7" s="12"/>
      <x:c r="F7" s="133"/>
      <x:c r="G7" s="33"/>
      <x:c r="H7" s="33"/>
      <x:c r="I7" s="12"/>
      <x:c r="J7" s="12"/>
      <x:c r="K7" s="12"/>
      <x:c r="L7" s="12" t="str">
        <x:v>WAITING</x:v>
      </x:c>
      <x:c r="M7" s="12"/>
      <x:c r="N7" s="12" t="str">
        <x:v>Populate forecast 5–7 days out; refresh more frequently inside 72 hours.</x:v>
      </x:c>
    </x:row>
    <x:row r="8">
      <x:c r="A8" s="12" t="str">
        <x:v>2026-11-07</x:v>
      </x:c>
      <x:c r="B8" s="12" t="str">
        <x:v>Birmingham City</x:v>
      </x:c>
      <x:c r="C8" s="12" t="str">
        <x:v>13:00</x:v>
      </x:c>
      <x:c r="D8" s="12" t="str">
        <x:v>Outside reliable forecast window</x:v>
      </x:c>
      <x:c r="E8" s="12"/>
      <x:c r="F8" s="133"/>
      <x:c r="G8" s="33"/>
      <x:c r="H8" s="33"/>
      <x:c r="I8" s="12"/>
      <x:c r="J8" s="12"/>
      <x:c r="K8" s="12"/>
      <x:c r="L8" s="12" t="str">
        <x:v>WAITING</x:v>
      </x:c>
      <x:c r="M8" s="12"/>
      <x:c r="N8" s="12" t="str">
        <x:v>Populate forecast 5–7 days out; refresh more frequently inside 72 hours.</x:v>
      </x:c>
    </x:row>
    <x:row r="9">
      <x:c r="A9" s="12" t="str">
        <x:v>2026-11-22</x:v>
      </x:c>
      <x:c r="B9" s="12" t="str">
        <x:v>Crystal Palace</x:v>
      </x:c>
      <x:c r="C9" s="12" t="str">
        <x:v>15:00</x:v>
      </x:c>
      <x:c r="D9" s="12" t="str">
        <x:v>Outside reliable forecast window</x:v>
      </x:c>
      <x:c r="E9" s="12"/>
      <x:c r="F9" s="133"/>
      <x:c r="G9" s="33"/>
      <x:c r="H9" s="33"/>
      <x:c r="I9" s="12"/>
      <x:c r="J9" s="12"/>
      <x:c r="K9" s="12"/>
      <x:c r="L9" s="12" t="str">
        <x:v>WAITING</x:v>
      </x:c>
      <x:c r="M9" s="12"/>
      <x:c r="N9" s="12" t="str">
        <x:v>Populate forecast 5–7 days out; refresh more frequently inside 72 hours.</x:v>
      </x:c>
    </x:row>
    <x:row r="10">
      <x:c r="A10" s="12" t="str">
        <x:v>2027-01-10</x:v>
      </x:c>
      <x:c r="B10" s="12" t="str">
        <x:v>West Ham United</x:v>
      </x:c>
      <x:c r="C10" s="12" t="str">
        <x:v>15:00</x:v>
      </x:c>
      <x:c r="D10" s="12" t="str">
        <x:v>Outside reliable forecast window</x:v>
      </x:c>
      <x:c r="E10" s="12"/>
      <x:c r="F10" s="133"/>
      <x:c r="G10" s="33"/>
      <x:c r="H10" s="33"/>
      <x:c r="I10" s="12"/>
      <x:c r="J10" s="12"/>
      <x:c r="K10" s="12"/>
      <x:c r="L10" s="12" t="str">
        <x:v>WAITING</x:v>
      </x:c>
      <x:c r="M10" s="12"/>
      <x:c r="N10" s="12" t="str">
        <x:v>Populate forecast 5–7 days out; refresh more frequently inside 72 hours.</x:v>
      </x:c>
    </x:row>
    <x:row r="11">
      <x:c r="A11" s="12" t="str">
        <x:v>2027-01-24</x:v>
      </x:c>
      <x:c r="B11" s="12" t="str">
        <x:v>Arsenal</x:v>
      </x:c>
      <x:c r="C11" s="12" t="str">
        <x:v>15:00</x:v>
      </x:c>
      <x:c r="D11" s="12" t="str">
        <x:v>Outside reliable forecast window</x:v>
      </x:c>
      <x:c r="E11" s="12"/>
      <x:c r="F11" s="133"/>
      <x:c r="G11" s="33"/>
      <x:c r="H11" s="33"/>
      <x:c r="I11" s="12"/>
      <x:c r="J11" s="12"/>
      <x:c r="K11" s="12"/>
      <x:c r="L11" s="12" t="str">
        <x:v>WAITING</x:v>
      </x:c>
      <x:c r="M11" s="12"/>
      <x:c r="N11" s="12" t="str">
        <x:v>Populate forecast 5–7 days out; refresh more frequently inside 72 hours.</x:v>
      </x:c>
    </x:row>
    <x:row r="12">
      <x:c r="A12" s="12" t="str">
        <x:v>2027-02-14</x:v>
      </x:c>
      <x:c r="B12" s="12" t="str">
        <x:v>Chelsea</x:v>
      </x:c>
      <x:c r="C12" s="12" t="str">
        <x:v>15:00</x:v>
      </x:c>
      <x:c r="D12" s="12" t="str">
        <x:v>Outside reliable forecast window</x:v>
      </x:c>
      <x:c r="E12" s="12"/>
      <x:c r="F12" s="133"/>
      <x:c r="G12" s="33"/>
      <x:c r="H12" s="33"/>
      <x:c r="I12" s="12"/>
      <x:c r="J12" s="12"/>
      <x:c r="K12" s="12"/>
      <x:c r="L12" s="12" t="str">
        <x:v>WAITING</x:v>
      </x:c>
      <x:c r="M12" s="12"/>
      <x:c r="N12" s="12" t="str">
        <x:v>Populate forecast 5–7 days out; refresh more frequently inside 72 hours.</x:v>
      </x:c>
    </x:row>
    <x:row r="13">
      <x:c r="A13" s="12" t="str">
        <x:v>2027-03-14</x:v>
      </x:c>
      <x:c r="B13" s="12" t="str">
        <x:v>Liverpool</x:v>
      </x:c>
      <x:c r="C13" s="12" t="str">
        <x:v>15:00</x:v>
      </x:c>
      <x:c r="D13" s="12" t="str">
        <x:v>Outside reliable forecast window</x:v>
      </x:c>
      <x:c r="E13" s="12"/>
      <x:c r="F13" s="133"/>
      <x:c r="G13" s="33"/>
      <x:c r="H13" s="33"/>
      <x:c r="I13" s="12"/>
      <x:c r="J13" s="12"/>
      <x:c r="K13" s="12"/>
      <x:c r="L13" s="12" t="str">
        <x:v>WAITING</x:v>
      </x:c>
      <x:c r="M13" s="12"/>
      <x:c r="N13" s="12" t="str">
        <x:v>Populate forecast 5–7 days out; refresh more frequently inside 72 hours.</x:v>
      </x:c>
    </x:row>
    <x:row r="14">
      <x:c r="A14" s="12" t="str">
        <x:v>2027-04-04</x:v>
      </x:c>
      <x:c r="B14" s="12" t="str">
        <x:v>Charlton Athletic</x:v>
      </x:c>
      <x:c r="C14" s="12" t="str">
        <x:v>15:00</x:v>
      </x:c>
      <x:c r="D14" s="12" t="str">
        <x:v>Outside reliable forecast window</x:v>
      </x:c>
      <x:c r="E14" s="12"/>
      <x:c r="F14" s="133"/>
      <x:c r="G14" s="33"/>
      <x:c r="H14" s="33"/>
      <x:c r="I14" s="12"/>
      <x:c r="J14" s="12"/>
      <x:c r="K14" s="12"/>
      <x:c r="L14" s="12" t="str">
        <x:v>WAITING</x:v>
      </x:c>
      <x:c r="M14" s="12"/>
      <x:c r="N14" s="12" t="str">
        <x:v>Populate forecast 5–7 days out; refresh more frequently inside 72 hours.</x:v>
      </x:c>
    </x:row>
    <x:row r="15">
      <x:c r="A15" s="12" t="str">
        <x:v>2027-05-02</x:v>
      </x:c>
      <x:c r="B15" s="12" t="str">
        <x:v>Tottenham Hotspur</x:v>
      </x:c>
      <x:c r="C15" s="12" t="str">
        <x:v>15:00</x:v>
      </x:c>
      <x:c r="D15" s="12" t="str">
        <x:v>Outside reliable forecast window</x:v>
      </x:c>
      <x:c r="E15" s="12"/>
      <x:c r="F15" s="133"/>
      <x:c r="G15" s="33"/>
      <x:c r="H15" s="33"/>
      <x:c r="I15" s="12"/>
      <x:c r="J15" s="12"/>
      <x:c r="K15" s="12"/>
      <x:c r="L15" s="12" t="str">
        <x:v>WAITING</x:v>
      </x:c>
      <x:c r="M15" s="12"/>
      <x:c r="N15" s="12" t="str">
        <x:v>Populate forecast 5–7 days out; refresh more frequently inside 72 hours.</x:v>
      </x:c>
    </x:row>
    <x:row r="16">
      <x:c r="A16" s="12" t="str">
        <x:v>2027-05-22</x:v>
      </x:c>
      <x:c r="B16" s="12" t="str">
        <x:v>Aston Villa</x:v>
      </x:c>
      <x:c r="C16" s="12" t="str">
        <x:v>TBC</x:v>
      </x:c>
      <x:c r="D16" s="12" t="str">
        <x:v>Outside reliable forecast window</x:v>
      </x:c>
      <x:c r="E16" s="12"/>
      <x:c r="F16" s="133"/>
      <x:c r="G16" s="33"/>
      <x:c r="H16" s="33"/>
      <x:c r="I16" s="12"/>
      <x:c r="J16" s="12"/>
      <x:c r="K16" s="12"/>
      <x:c r="L16" s="12" t="str">
        <x:v>WAITING</x:v>
      </x:c>
      <x:c r="M16" s="12"/>
      <x:c r="N16" s="12" t="str">
        <x:v>Populate forecast 5–7 days out; refresh more frequently inside 72 hours.</x:v>
      </x:c>
    </x:row>
    <x:row r="17">
      <x:c r="A17" s="12"/>
      <x:c r="B17" s="12"/>
      <x:c r="C17" s="12"/>
      <x:c r="D17" s="12"/>
      <x:c r="E17" s="12"/>
      <x:c r="F17" s="133"/>
      <x:c r="G17" s="33"/>
      <x:c r="H17" s="33"/>
      <x:c r="I17" s="12"/>
      <x:c r="J17" s="12"/>
      <x:c r="K17" s="12"/>
      <x:c r="L17" s="12"/>
      <x:c r="M17" s="12"/>
      <x:c r="N17" s="12"/>
    </x:row>
    <x:row r="18">
      <x:c r="A18" s="12"/>
      <x:c r="B18" s="12"/>
      <x:c r="C18" s="12"/>
      <x:c r="D18" s="12"/>
      <x:c r="E18" s="12"/>
      <x:c r="F18" s="133"/>
      <x:c r="G18" s="33"/>
      <x:c r="H18" s="33"/>
      <x:c r="I18" s="12"/>
      <x:c r="J18" s="12"/>
      <x:c r="K18" s="12"/>
      <x:c r="L18" s="12"/>
      <x:c r="M18" s="12"/>
      <x:c r="N18" s="12"/>
    </x:row>
    <x:row r="19">
      <x:c r="A19" s="12"/>
      <x:c r="B19" s="12"/>
      <x:c r="C19" s="12"/>
      <x:c r="D19" s="12"/>
      <x:c r="E19" s="12"/>
      <x:c r="F19" s="133"/>
      <x:c r="G19" s="33"/>
      <x:c r="H19" s="33"/>
      <x:c r="I19" s="12"/>
      <x:c r="J19" s="12"/>
      <x:c r="K19" s="12"/>
      <x:c r="L19" s="12"/>
      <x:c r="M19" s="12"/>
      <x:c r="N19" s="12"/>
    </x:row>
    <x:row r="20">
      <x:c r="A20" s="12"/>
      <x:c r="B20" s="12"/>
      <x:c r="C20" s="12"/>
      <x:c r="D20" s="12"/>
      <x:c r="E20" s="12"/>
      <x:c r="F20" s="133"/>
      <x:c r="G20" s="33"/>
      <x:c r="H20" s="33"/>
      <x:c r="I20" s="12"/>
      <x:c r="J20" s="12"/>
      <x:c r="K20" s="12"/>
      <x:c r="L20" s="12"/>
      <x:c r="M20" s="12"/>
      <x:c r="N20" s="12"/>
    </x:row>
    <x:row r="21">
      <x:c r="A21" s="12"/>
      <x:c r="B21" s="12"/>
      <x:c r="C21" s="12"/>
      <x:c r="D21" s="12"/>
      <x:c r="E21" s="12"/>
      <x:c r="F21" s="133"/>
      <x:c r="G21" s="33"/>
      <x:c r="H21" s="33"/>
      <x:c r="I21" s="12"/>
      <x:c r="J21" s="12"/>
      <x:c r="K21" s="12"/>
      <x:c r="L21" s="12"/>
      <x:c r="M21" s="12"/>
      <x:c r="N21" s="12"/>
    </x:row>
    <x:row r="22">
      <x:c r="A22" s="12"/>
      <x:c r="B22" s="12"/>
      <x:c r="C22" s="12"/>
      <x:c r="D22" s="12"/>
      <x:c r="E22" s="12"/>
      <x:c r="F22" s="133"/>
      <x:c r="G22" s="33"/>
      <x:c r="H22" s="33"/>
      <x:c r="I22" s="12"/>
      <x:c r="J22" s="12"/>
      <x:c r="K22" s="12"/>
      <x:c r="L22" s="12"/>
      <x:c r="M22" s="12"/>
      <x:c r="N22" s="12"/>
    </x:row>
    <x:row r="23">
      <x:c r="A23" s="12"/>
      <x:c r="B23" s="12"/>
      <x:c r="C23" s="12"/>
      <x:c r="D23" s="12"/>
      <x:c r="E23" s="12"/>
      <x:c r="F23" s="133"/>
      <x:c r="G23" s="33"/>
      <x:c r="H23" s="33"/>
      <x:c r="I23" s="12"/>
      <x:c r="J23" s="12"/>
      <x:c r="K23" s="12"/>
      <x:c r="L23" s="12"/>
      <x:c r="M23" s="12"/>
      <x:c r="N23" s="12"/>
    </x:row>
    <x:row r="24">
      <x:c r="A24" s="12"/>
      <x:c r="B24" s="12"/>
      <x:c r="C24" s="12"/>
      <x:c r="D24" s="12"/>
      <x:c r="E24" s="12"/>
      <x:c r="F24" s="133"/>
      <x:c r="G24" s="33"/>
      <x:c r="H24" s="33"/>
      <x:c r="I24" s="12"/>
      <x:c r="J24" s="12"/>
      <x:c r="K24" s="12"/>
      <x:c r="L24" s="12"/>
      <x:c r="M24" s="12"/>
      <x:c r="N24" s="12"/>
    </x:row>
    <x:row r="25">
      <x:c r="A25" s="12"/>
      <x:c r="B25" s="12"/>
      <x:c r="C25" s="12"/>
      <x:c r="D25" s="12"/>
      <x:c r="E25" s="12"/>
      <x:c r="F25" s="133"/>
      <x:c r="G25" s="33"/>
      <x:c r="H25" s="33"/>
      <x:c r="I25" s="12"/>
      <x:c r="J25" s="12"/>
      <x:c r="K25" s="12"/>
      <x:c r="L25" s="12"/>
      <x:c r="M25" s="12"/>
      <x:c r="N25" s="12"/>
    </x:row>
    <x:row r="26">
      <x:c r="A26" s="12"/>
      <x:c r="B26" s="12"/>
      <x:c r="C26" s="12"/>
      <x:c r="D26" s="12"/>
      <x:c r="E26" s="12"/>
      <x:c r="F26" s="133"/>
      <x:c r="G26" s="33"/>
      <x:c r="H26" s="33"/>
      <x:c r="I26" s="12"/>
      <x:c r="J26" s="12"/>
      <x:c r="K26" s="12"/>
      <x:c r="L26" s="12"/>
      <x:c r="M26" s="12"/>
      <x:c r="N26" s="12"/>
    </x:row>
    <x:row r="27">
      <x:c r="A27" s="12"/>
      <x:c r="B27" s="12"/>
      <x:c r="C27" s="12"/>
      <x:c r="D27" s="12"/>
      <x:c r="E27" s="12"/>
      <x:c r="F27" s="133"/>
      <x:c r="G27" s="33"/>
      <x:c r="H27" s="33"/>
      <x:c r="I27" s="12"/>
      <x:c r="J27" s="12"/>
      <x:c r="K27" s="12"/>
      <x:c r="L27" s="12"/>
      <x:c r="M27" s="12"/>
      <x:c r="N27" s="12"/>
    </x:row>
    <x:row r="28">
      <x:c r="A28" s="12"/>
      <x:c r="B28" s="12"/>
      <x:c r="C28" s="12"/>
      <x:c r="D28" s="12"/>
      <x:c r="E28" s="12"/>
      <x:c r="F28" s="133"/>
      <x:c r="G28" s="33"/>
      <x:c r="H28" s="33"/>
      <x:c r="I28" s="12"/>
      <x:c r="J28" s="12"/>
      <x:c r="K28" s="12"/>
      <x:c r="L28" s="12"/>
      <x:c r="M28" s="12"/>
      <x:c r="N28" s="12"/>
    </x:row>
    <x:row r="29">
      <x:c r="A29" s="12"/>
      <x:c r="B29" s="12"/>
      <x:c r="C29" s="12"/>
      <x:c r="D29" s="12"/>
      <x:c r="E29" s="12"/>
      <x:c r="F29" s="133"/>
      <x:c r="G29" s="33"/>
      <x:c r="H29" s="33"/>
      <x:c r="I29" s="12"/>
      <x:c r="J29" s="12"/>
      <x:c r="K29" s="12"/>
      <x:c r="L29" s="12"/>
      <x:c r="M29" s="12"/>
      <x:c r="N29" s="12"/>
    </x:row>
    <x:row r="30">
      <x:c r="A30" s="12"/>
      <x:c r="B30" s="12"/>
      <x:c r="C30" s="12"/>
      <x:c r="D30" s="12"/>
      <x:c r="E30" s="12"/>
      <x:c r="F30" s="133"/>
      <x:c r="G30" s="33"/>
      <x:c r="H30" s="33"/>
      <x:c r="I30" s="12"/>
      <x:c r="J30" s="12"/>
      <x:c r="K30" s="12"/>
      <x:c r="L30" s="12"/>
      <x:c r="M30" s="12"/>
      <x:c r="N30" s="12"/>
    </x:row>
    <x:row r="31">
      <x:c r="A31" s="12"/>
      <x:c r="B31" s="12"/>
      <x:c r="C31" s="12"/>
      <x:c r="D31" s="12"/>
      <x:c r="E31" s="12"/>
      <x:c r="F31" s="133"/>
      <x:c r="G31" s="33"/>
      <x:c r="H31" s="33"/>
      <x:c r="I31" s="12"/>
      <x:c r="J31" s="12"/>
      <x:c r="K31" s="12"/>
      <x:c r="L31" s="12"/>
      <x:c r="M31" s="12"/>
      <x:c r="N31" s="12"/>
    </x:row>
    <x:row r="32">
      <x:c r="A32" s="12"/>
      <x:c r="B32" s="12"/>
      <x:c r="C32" s="12"/>
      <x:c r="D32" s="12"/>
      <x:c r="E32" s="12"/>
      <x:c r="F32" s="133"/>
      <x:c r="G32" s="33"/>
      <x:c r="H32" s="33"/>
      <x:c r="I32" s="12"/>
      <x:c r="J32" s="12"/>
      <x:c r="K32" s="12"/>
      <x:c r="L32" s="12"/>
      <x:c r="M32" s="12"/>
      <x:c r="N32" s="12"/>
    </x:row>
    <x:row r="33">
      <x:c r="A33" s="12"/>
      <x:c r="B33" s="12"/>
      <x:c r="C33" s="12"/>
      <x:c r="D33" s="12"/>
      <x:c r="E33" s="12"/>
      <x:c r="F33" s="133"/>
      <x:c r="G33" s="33"/>
      <x:c r="H33" s="33"/>
      <x:c r="I33" s="12"/>
      <x:c r="J33" s="12"/>
      <x:c r="K33" s="12"/>
      <x:c r="L33" s="12"/>
      <x:c r="M33" s="12"/>
      <x:c r="N33" s="12"/>
    </x:row>
    <x:row r="34">
      <x:c r="A34" s="12"/>
      <x:c r="B34" s="12"/>
      <x:c r="C34" s="12"/>
      <x:c r="D34" s="12"/>
      <x:c r="E34" s="12"/>
      <x:c r="F34" s="133"/>
      <x:c r="G34" s="33"/>
      <x:c r="H34" s="33"/>
      <x:c r="I34" s="12"/>
      <x:c r="J34" s="12"/>
      <x:c r="K34" s="12"/>
      <x:c r="L34" s="12"/>
      <x:c r="M34" s="12"/>
      <x:c r="N34" s="12"/>
    </x:row>
    <x:row r="35">
      <x:c r="A35" s="12"/>
      <x:c r="B35" s="12"/>
      <x:c r="C35" s="12"/>
      <x:c r="D35" s="12"/>
      <x:c r="E35" s="12"/>
      <x:c r="F35" s="133"/>
      <x:c r="G35" s="33"/>
      <x:c r="H35" s="33"/>
      <x:c r="I35" s="12"/>
      <x:c r="J35" s="12"/>
      <x:c r="K35" s="12"/>
      <x:c r="L35" s="12"/>
      <x:c r="M35" s="12"/>
      <x:c r="N35" s="12"/>
    </x:row>
    <x:row r="36">
      <x:c r="A36" s="12"/>
      <x:c r="B36" s="12"/>
      <x:c r="C36" s="12"/>
      <x:c r="D36" s="12"/>
      <x:c r="E36" s="12"/>
      <x:c r="F36" s="133"/>
      <x:c r="G36" s="33"/>
      <x:c r="H36" s="33"/>
      <x:c r="I36" s="12"/>
      <x:c r="J36" s="12"/>
      <x:c r="K36" s="12"/>
      <x:c r="L36" s="12"/>
      <x:c r="M36" s="12"/>
      <x:c r="N36" s="12"/>
    </x:row>
    <x:row r="37">
      <x:c r="A37" s="12"/>
      <x:c r="B37" s="12"/>
      <x:c r="C37" s="12"/>
      <x:c r="D37" s="12"/>
      <x:c r="E37" s="12"/>
      <x:c r="F37" s="133"/>
      <x:c r="G37" s="33"/>
      <x:c r="H37" s="33"/>
      <x:c r="I37" s="12"/>
      <x:c r="J37" s="12"/>
      <x:c r="K37" s="12"/>
      <x:c r="L37" s="12"/>
      <x:c r="M37" s="12"/>
      <x:c r="N37" s="12"/>
    </x:row>
    <x:row r="38">
      <x:c r="A38" s="12"/>
      <x:c r="B38" s="12"/>
      <x:c r="C38" s="12"/>
      <x:c r="D38" s="12"/>
      <x:c r="E38" s="12"/>
      <x:c r="F38" s="133"/>
      <x:c r="G38" s="33"/>
      <x:c r="H38" s="33"/>
      <x:c r="I38" s="12"/>
      <x:c r="J38" s="12"/>
      <x:c r="K38" s="12"/>
      <x:c r="L38" s="12"/>
      <x:c r="M38" s="12"/>
      <x:c r="N38" s="12"/>
    </x:row>
    <x:row r="39">
      <x:c r="A39" s="12"/>
      <x:c r="B39" s="12"/>
      <x:c r="C39" s="12"/>
      <x:c r="D39" s="12"/>
      <x:c r="E39" s="12"/>
      <x:c r="F39" s="133"/>
      <x:c r="G39" s="33"/>
      <x:c r="H39" s="33"/>
      <x:c r="I39" s="12"/>
      <x:c r="J39" s="12"/>
      <x:c r="K39" s="12"/>
      <x:c r="L39" s="12"/>
      <x:c r="M39" s="12"/>
      <x:c r="N39" s="12"/>
    </x:row>
    <x:row r="40">
      <x:c r="A40" s="12"/>
      <x:c r="B40" s="12"/>
      <x:c r="C40" s="12"/>
      <x:c r="D40" s="12"/>
      <x:c r="E40" s="12"/>
      <x:c r="F40" s="133"/>
      <x:c r="G40" s="33"/>
      <x:c r="H40" s="33"/>
      <x:c r="I40" s="12"/>
      <x:c r="J40" s="12"/>
      <x:c r="K40" s="12"/>
      <x:c r="L40" s="12"/>
      <x:c r="M40" s="12"/>
      <x:c r="N40" s="12"/>
    </x:row>
    <x:row r="41">
      <x:c r="A41" s="12"/>
      <x:c r="B41" s="12"/>
      <x:c r="C41" s="12"/>
      <x:c r="D41" s="12"/>
      <x:c r="E41" s="12"/>
      <x:c r="F41" s="133"/>
      <x:c r="G41" s="33"/>
      <x:c r="H41" s="33"/>
      <x:c r="I41" s="12"/>
      <x:c r="J41" s="12"/>
      <x:c r="K41" s="12"/>
      <x:c r="L41" s="12"/>
      <x:c r="M41" s="12"/>
      <x:c r="N41" s="12"/>
    </x:row>
    <x:row r="42">
      <x:c r="A42" s="12"/>
      <x:c r="B42" s="12"/>
      <x:c r="C42" s="12"/>
      <x:c r="D42" s="12"/>
      <x:c r="E42" s="12"/>
      <x:c r="F42" s="133"/>
      <x:c r="G42" s="33"/>
      <x:c r="H42" s="33"/>
      <x:c r="I42" s="12"/>
      <x:c r="J42" s="12"/>
      <x:c r="K42" s="12"/>
      <x:c r="L42" s="12"/>
      <x:c r="M42" s="12"/>
      <x:c r="N42" s="12"/>
    </x:row>
    <x:row r="43">
      <x:c r="A43" s="12"/>
      <x:c r="B43" s="12"/>
      <x:c r="C43" s="12"/>
      <x:c r="D43" s="12"/>
      <x:c r="E43" s="12"/>
      <x:c r="F43" s="133"/>
      <x:c r="G43" s="33"/>
      <x:c r="H43" s="33"/>
      <x:c r="I43" s="12"/>
      <x:c r="J43" s="12"/>
      <x:c r="K43" s="12"/>
      <x:c r="L43" s="12"/>
      <x:c r="M43" s="12"/>
      <x:c r="N43" s="12"/>
    </x:row>
    <x:row r="44">
      <x:c r="A44" s="12"/>
      <x:c r="B44" s="12"/>
      <x:c r="C44" s="12"/>
      <x:c r="D44" s="12"/>
      <x:c r="E44" s="12"/>
      <x:c r="F44" s="133"/>
      <x:c r="G44" s="33"/>
      <x:c r="H44" s="33"/>
      <x:c r="I44" s="12"/>
      <x:c r="J44" s="12"/>
      <x:c r="K44" s="12"/>
      <x:c r="L44" s="12"/>
      <x:c r="M44" s="12"/>
      <x:c r="N44" s="12"/>
    </x:row>
    <x:row r="45">
      <x:c r="A45" s="12"/>
      <x:c r="B45" s="12"/>
      <x:c r="C45" s="12"/>
      <x:c r="D45" s="12"/>
      <x:c r="E45" s="12"/>
      <x:c r="F45" s="133"/>
      <x:c r="G45" s="33"/>
      <x:c r="H45" s="33"/>
      <x:c r="I45" s="12"/>
      <x:c r="J45" s="12"/>
      <x:c r="K45" s="12"/>
      <x:c r="L45" s="12"/>
      <x:c r="M45" s="12"/>
      <x:c r="N45" s="12"/>
    </x:row>
    <x:row r="46">
      <x:c r="A46" s="12"/>
      <x:c r="B46" s="12"/>
      <x:c r="C46" s="12"/>
      <x:c r="D46" s="12"/>
      <x:c r="E46" s="12"/>
      <x:c r="F46" s="133"/>
      <x:c r="G46" s="33"/>
      <x:c r="H46" s="33"/>
      <x:c r="I46" s="12"/>
      <x:c r="J46" s="12"/>
      <x:c r="K46" s="12"/>
      <x:c r="L46" s="12"/>
      <x:c r="M46" s="12"/>
      <x:c r="N46" s="12"/>
    </x:row>
    <x:row r="47">
      <x:c r="A47" s="12"/>
      <x:c r="B47" s="12"/>
      <x:c r="C47" s="12"/>
      <x:c r="D47" s="12"/>
      <x:c r="E47" s="12"/>
      <x:c r="F47" s="133"/>
      <x:c r="G47" s="33"/>
      <x:c r="H47" s="33"/>
      <x:c r="I47" s="12"/>
      <x:c r="J47" s="12"/>
      <x:c r="K47" s="12"/>
      <x:c r="L47" s="12"/>
      <x:c r="M47" s="12"/>
      <x:c r="N47" s="12"/>
    </x:row>
    <x:row r="48">
      <x:c r="A48" s="12"/>
      <x:c r="B48" s="12"/>
      <x:c r="C48" s="12"/>
      <x:c r="D48" s="12"/>
      <x:c r="E48" s="12"/>
      <x:c r="F48" s="133"/>
      <x:c r="G48" s="33"/>
      <x:c r="H48" s="33"/>
      <x:c r="I48" s="12"/>
      <x:c r="J48" s="12"/>
      <x:c r="K48" s="12"/>
      <x:c r="L48" s="12"/>
      <x:c r="M48" s="12"/>
      <x:c r="N48" s="12"/>
    </x:row>
    <x:row r="49">
      <x:c r="A49" s="12"/>
      <x:c r="B49" s="12"/>
      <x:c r="C49" s="12"/>
      <x:c r="D49" s="12"/>
      <x:c r="E49" s="12"/>
      <x:c r="F49" s="133"/>
      <x:c r="G49" s="33"/>
      <x:c r="H49" s="33"/>
      <x:c r="I49" s="12"/>
      <x:c r="J49" s="12"/>
      <x:c r="K49" s="12"/>
      <x:c r="L49" s="12"/>
      <x:c r="M49" s="12"/>
      <x:c r="N49" s="12"/>
    </x:row>
    <x:row r="50">
      <x:c r="A50" s="12"/>
      <x:c r="B50" s="12"/>
      <x:c r="C50" s="12"/>
      <x:c r="D50" s="12"/>
      <x:c r="E50" s="12"/>
      <x:c r="F50" s="133"/>
      <x:c r="G50" s="33"/>
      <x:c r="H50" s="33"/>
      <x:c r="I50" s="12"/>
      <x:c r="J50" s="12"/>
      <x:c r="K50" s="12"/>
      <x:c r="L50" s="12"/>
      <x:c r="M50" s="12"/>
      <x:c r="N50" s="12"/>
    </x:row>
  </x:sheetData>
  <x:mergeCells>
    <x:mergeCell ref="A1:N1"/>
  </x:mergeCells>
  <x:conditionalFormatting sqref="J4:J50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  <x:col min="3" max="3" width="2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  <x:col min="9" max="9" width="18" hidden="0" customWidth="1"/>
    <x:col min="10" max="10" width="34" hidden="0" customWidth="1"/>
    <x:col min="11" max="11" width="46" hidden="0" customWidth="1"/>
    <x:col min="12" max="12" width="28" hidden="0" customWidth="1"/>
    <x:col min="13" max="13" width="18" hidden="0" customWidth="1"/>
    <x:col min="14" max="14" width="18" hidden="0" customWidth="1"/>
    <x:col min="15" max="15" width="50" hidden="0" customWidth="1"/>
  </x:cols>
  <x:sheetData>
    <x:row r="1">
      <x:c r="A1" s="128" t="str">
        <x:v>Matchday Acquisition Opportunity — Dynamic Campaign Layer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</x:row>
    <x:row r="3">
      <x:c r="A3" s="136" t="str">
        <x:v>Fixture</x:v>
      </x:c>
      <x:c r="B3" s="136" t="str">
        <x:v>Date</x:v>
      </x:c>
      <x:c r="C3" s="136" t="str">
        <x:v>Target territory</x:v>
      </x:c>
      <x:c r="D3" s="136" t="str">
        <x:v>Territory Opportunity</x:v>
      </x:c>
      <x:c r="E3" s="136" t="str">
        <x:v>Calendar Whitespace</x:v>
      </x:c>
      <x:c r="F3" s="136" t="str">
        <x:v>Weather Suitability</x:v>
      </x:c>
      <x:c r="G3" s="136" t="str">
        <x:v>Attendance Momentum</x:v>
      </x:c>
      <x:c r="H3" s="136" t="str">
        <x:v>Matchday Acquisition Score</x:v>
      </x:c>
      <x:c r="I3" s="136" t="str">
        <x:v>Spend mode</x:v>
      </x:c>
      <x:c r="J3" s="136" t="str">
        <x:v>Audience</x:v>
      </x:c>
      <x:c r="K3" s="136" t="str">
        <x:v>Message</x:v>
      </x:c>
      <x:c r="L3" s="136" t="str">
        <x:v>Primary KPI</x:v>
      </x:c>
      <x:c r="M3" s="136" t="str">
        <x:v>Attendance target</x:v>
      </x:c>
      <x:c r="N3" s="136" t="str">
        <x:v>Actual attendance</x:v>
      </x:c>
      <x:c r="O3" s="136" t="str">
        <x:v>Learning</x:v>
      </x:c>
    </x:row>
    <x:row r="4">
      <x:c r="A4" s="12" t="str">
        <x:v>London City v Liverpool</x:v>
      </x:c>
      <x:c r="B4" s="12" t="str">
        <x:v>2027-03-14</x:v>
      </x:c>
      <x:c r="C4" s="12" t="str">
        <x:v>Croydon 045E</x:v>
      </x:c>
      <x:c r="D4" s="12" t="n">
        <x:v>94</x:v>
      </x:c>
      <x:c r="E4" s="12" t="n">
        <x:v>95</x:v>
      </x:c>
      <x:c r="F4" s="12"/>
      <x:c r="G4" s="12"/>
      <x:c r="H4" s="12" t="str">
        <x:f>IF(COUNT(D4:G4)&lt;4,"",ROUND(D4*0.45+E4*0.25+F4*0.15+G4*0.15,0))</x:f>
      </x:c>
      <x:c r="I4" s="12" t="str">
        <x:f>IF(H4="","WAIT",IF(H4&gt;=85,"ATTACK HARD",IF(H4&gt;=70,"ATTACK",IF(H4&gt;=55,"TEST","CORE ONLY"))))</x:f>
        <x:v>WAIT</x:v>
      </x:c>
      <x:c r="J4" s="12" t="str">
        <x:v>Families + girls-football network</x:v>
      </x:c>
      <x:c r="K4" s="12" t="str">
        <x:v>Your women’s football plan this Sunday.</x:v>
      </x:c>
      <x:c r="L4" s="12" t="str">
        <x:v>First-time family buyers</x:v>
      </x:c>
      <x:c r="M4" s="12"/>
      <x:c r="N4" s="12"/>
      <x:c r="O4" s="12"/>
    </x:row>
    <x:row r="5">
      <x:c r="A5" s="12" t="str">
        <x:v>London City v Arsenal</x:v>
      </x:c>
      <x:c r="B5" s="12" t="str">
        <x:v>2027-01-24</x:v>
      </x:c>
      <x:c r="C5" s="12" t="str">
        <x:v>Croydon 045E</x:v>
      </x:c>
      <x:c r="D5" s="12" t="n">
        <x:v>94</x:v>
      </x:c>
      <x:c r="E5" s="12" t="n">
        <x:v>78</x:v>
      </x:c>
      <x:c r="F5" s="12"/>
      <x:c r="G5" s="12"/>
      <x:c r="H5" s="12" t="str">
        <x:f>IF(COUNT(D5:G5)&lt;4,"",ROUND(D5*0.45+E5*0.25+F5*0.15+G5*0.15,0))</x:f>
      </x:c>
      <x:c r="I5" s="12" t="str">
        <x:f>IF(H5="","WAIT",IF(H5&gt;=85,"ATTACK HARD",IF(H5&gt;=70,"ATTACK",IF(H5&gt;=55,"TEST","CORE ONLY"))))</x:f>
        <x:v>WAIT</x:v>
      </x:c>
      <x:c r="J5" s="12" t="str">
        <x:v>Croydon + Bromley families</x:v>
      </x:c>
      <x:c r="K5" s="12" t="str">
        <x:v>Arsenal at Hayes Lane. Elite women’s football closer to home.</x:v>
      </x:c>
      <x:c r="L5" s="12" t="str">
        <x:v>First-time buyers + repeat intent</x:v>
      </x:c>
      <x:c r="M5" s="12"/>
      <x:c r="N5" s="12"/>
      <x:c r="O5" s="12"/>
    </x:row>
    <x:row r="6">
      <x:c r="A6" s="12" t="str">
        <x:v>London City v Charlton</x:v>
      </x:c>
      <x:c r="B6" s="12" t="str">
        <x:v>2027-04-04</x:v>
      </x:c>
      <x:c r="C6" s="12" t="str">
        <x:v>Lewisham 030A</x:v>
      </x:c>
      <x:c r="D6" s="12" t="n">
        <x:v>83</x:v>
      </x:c>
      <x:c r="E6" s="12" t="n">
        <x:v>82</x:v>
      </x:c>
      <x:c r="F6" s="12"/>
      <x:c r="G6" s="12"/>
      <x:c r="H6" s="12" t="str">
        <x:f>IF(COUNT(D6:G6)&lt;4,"",ROUND(D6*0.45+E6*0.25+F6*0.15+G6*0.15,0))</x:f>
      </x:c>
      <x:c r="I6" s="12" t="str">
        <x:f>IF(H6="","WAIT",IF(H6&gt;=85,"ATTACK HARD",IF(H6&gt;=70,"ATTACK",IF(H6&gt;=55,"TEST","CORE ONLY"))))</x:f>
        <x:v>WAIT</x:v>
      </x:c>
      <x:c r="J6" s="12" t="str">
        <x:v>Lewisham + Greenwich families</x:v>
      </x:c>
      <x:c r="K6" s="12" t="str">
        <x:v>South London derby day.</x:v>
      </x:c>
      <x:c r="L6" s="12" t="str">
        <x:v>Group tickets / partner conversion</x:v>
      </x:c>
      <x:c r="M6" s="12"/>
      <x:c r="N6" s="12"/>
      <x:c r="O6" s="12"/>
    </x:row>
    <x:row r="7">
      <x:c r="A7" s="12" t="str">
        <x:v>London City v Man City</x:v>
      </x:c>
      <x:c r="B7" s="12" t="str">
        <x:v>2026-11-01</x:v>
      </x:c>
      <x:c r="C7" s="12" t="str">
        <x:v>Croydon 045E</x:v>
      </x:c>
      <x:c r="D7" s="12" t="n">
        <x:v>94</x:v>
      </x:c>
      <x:c r="E7" s="12" t="n">
        <x:v>65</x:v>
      </x:c>
      <x:c r="F7" s="12"/>
      <x:c r="G7" s="12"/>
      <x:c r="H7" s="12" t="str">
        <x:f>IF(COUNT(D7:G7)&lt;4,"",ROUND(D7*0.45+E7*0.25+F7*0.15+G7*0.15,0))</x:f>
      </x:c>
      <x:c r="I7" s="12" t="str">
        <x:f>IF(H7="","WAIT",IF(H7&gt;=85,"ATTACK HARD",IF(H7&gt;=70,"ATTACK",IF(H7&gt;=55,"TEST","CORE ONLY"))))</x:f>
        <x:v>WAIT</x:v>
      </x:c>
      <x:c r="J7" s="12" t="str">
        <x:v>Croydon + Bromley families</x:v>
      </x:c>
      <x:c r="K7" s="12" t="str">
        <x:v>Manchester City without crossing London.</x:v>
      </x:c>
      <x:c r="L7" s="12" t="str">
        <x:v>First-time family buyers</x:v>
      </x:c>
      <x:c r="M7" s="12"/>
      <x:c r="N7" s="12"/>
      <x:c r="O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</x:row>
    <x:row r="11">
      <x:c r="A11" s="138" t="str">
        <x:v>Component</x:v>
      </x:c>
      <x:c r="B11" s="12" t="str">
        <x:v>Logic</x:v>
      </x:c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</x:row>
    <x:row r="12">
      <x:c r="A12" s="138" t="str">
        <x:v>Territory Opportunity</x:v>
      </x:c>
      <x:c r="B12" s="12" t="str">
        <x:v>Structural: families + girls-football network + validated matchday access.</x:v>
      </x:c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</x:row>
    <x:row r="13">
      <x:c r="A13" s="138" t="str">
        <x:v>Calendar Whitespace</x:v>
      </x:c>
      <x:c r="B13" s="12" t="str">
        <x:v>Whether nearby competitors provide competing home women’s-football inventory that weekend.</x:v>
      </x:c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</x:row>
    <x:row r="14">
      <x:c r="A14" s="138" t="str">
        <x:v>Weather Suitability</x:v>
      </x:c>
      <x:c r="B14" s="12" t="str">
        <x:v>100 = highly conducive to family/walk-up attendance; lower for rain, strong wind, unusual cold/heat.</x:v>
      </x:c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</x:row>
    <x:row r="15">
      <x:c r="A15" s="138" t="str">
        <x:v>Attendance Momentum</x:v>
      </x:c>
      <x:c r="B15" s="12" t="str">
        <x:v>Current London City demand vs baseline/recent run; 50 = neutral baseline, &gt;50 positive momentum.</x:v>
      </x:c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</x:row>
    <x:row r="16">
      <x:c r="A16" s="138" t="str">
        <x:v>Dynamic score</x:v>
      </x:c>
      <x:c r="B16" s="12" t="str">
        <x:v>45% Territory + 25% Calendar + 15% Weather + 15% Attendance Momentum.</x:v>
      </x:c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</x:row>
    <x:row r="17">
      <x:c r="A17" s="138" t="str">
        <x:v>Key idea</x:v>
      </x:c>
      <x:c r="B17" s="12" t="str">
        <x:v>Structural geography chooses where. Calendar and weather choose when. Attendance tells us whether demand is actually responding.</x:v>
      </x:c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</x:row>
  </x:sheetData>
  <x:mergeCells>
    <x:mergeCell ref="A1:O1"/>
  </x:mergeCells>
  <x:conditionalFormatting sqref="H4:H7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20" hidden="0" customWidth="1"/>
    <x:col min="5" max="5" width="20" hidden="0" customWidth="1"/>
    <x:col min="6" max="6" width="16" hidden="0" customWidth="1"/>
    <x:col min="7" max="7" width="42" hidden="0" customWidth="1"/>
    <x:col min="8" max="8" width="42" hidden="0" customWidth="1"/>
    <x:col min="9" max="9" width="48" hidden="0" customWidth="1"/>
    <x:col min="10" max="10" width="48" hidden="0" customWidth="1"/>
    <x:col min="11" max="11" width="48" hidden="0" customWidth="1"/>
    <x:col min="12" max="12" width="54" hidden="0" customWidth="1"/>
    <x:col min="13" max="13" width="16" hidden="0" customWidth="1"/>
    <x:col min="14" max="14" width="54" hidden="0" customWidth="1"/>
    <x:col min="15" max="15" width="54" hidden="0" customWidth="1"/>
    <x:col min="16" max="16" width="54" hidden="0" customWidth="1"/>
    <x:col min="17" max="17" width="16" hidden="0" customWidth="1"/>
    <x:col min="18" max="18" width="24" hidden="0" customWidth="1"/>
  </x:cols>
  <x:sheetData>
    <x:row r="1">
      <x:c r="A1" s="141" t="str">
        <x:v>Women's Football Ticketing Strategy — 2026/27</x:v>
      </x:c>
    </x:row>
    <x:row r="2">
      <x:c r="A2" s="79" t="str">
        <x:v>Observed products and pricing are facts; strategic objectives below are explicitly labelled inference.</x:v>
      </x:c>
    </x:row>
    <x:row r="4">
      <x:c r="A4" s="144" t="str">
        <x:v>Club</x:v>
      </x:c>
      <x:c r="B4" s="144" t="str">
        <x:v>Product</x:v>
      </x:c>
      <x:c r="C4" s="144" t="str">
        <x:v>Coverage</x:v>
      </x:c>
      <x:c r="D4" s="144" t="str">
        <x:v>Adult price</x:v>
      </x:c>
      <x:c r="E4" s="144" t="str">
        <x:v>Junior price</x:v>
      </x:c>
      <x:c r="F4" s="144" t="str">
        <x:v>Per-game adult</x:v>
      </x:c>
      <x:c r="G4" s="144" t="str">
        <x:v>Bundle / flex product</x:v>
      </x:c>
      <x:c r="H4" s="144" t="str">
        <x:v>Premium / hospitality</x:v>
      </x:c>
      <x:c r="I4" s="144" t="str">
        <x:v>Family / supporter design</x:v>
      </x:c>
      <x:c r="J4" s="144" t="str">
        <x:v>Priority / benefits</x:v>
      </x:c>
      <x:c r="K4" s="144" t="str">
        <x:v>Observed signal</x:v>
      </x:c>
      <x:c r="L4" s="144" t="str">
        <x:v>Inferred ticketing objective</x:v>
      </x:c>
      <x:c r="M4" s="144" t="str">
        <x:v>Confidence</x:v>
      </x:c>
      <x:c r="N4" s="144" t="str">
        <x:v>What London City should learn</x:v>
      </x:c>
      <x:c r="O4" s="144" t="str">
        <x:v>Source 1</x:v>
      </x:c>
      <x:c r="P4" s="144" t="str">
        <x:v>Source 2</x:v>
      </x:c>
      <x:c r="Q4" s="144" t="str">
        <x:v>Price position</x:v>
      </x:c>
      <x:c r="R4" s="144" t="str">
        <x:v>Strategic model</x:v>
      </x:c>
    </x:row>
    <x:row r="5">
      <x:c r="A5" s="12" t="str">
        <x:v>London City Lionesses</x:v>
      </x:c>
      <x:c r="B5" s="12" t="str">
        <x:v>Full Season Ticket</x:v>
      </x:c>
      <x:c r="C5" s="12" t="str">
        <x:v>13 WSL home games</x:v>
      </x:c>
      <x:c r="D5" s="12" t="str">
        <x:v>From ~£104 early-bird equivalent</x:v>
      </x:c>
      <x:c r="E5" s="12" t="str">
        <x:v>From ~£52 early-bird equivalent</x:v>
      </x:c>
      <x:c r="F5" s="146" t="n">
        <x:v>8</x:v>
      </x:c>
      <x:c r="G5" s="12" t="str">
        <x:v>12-game Season Ticket after full ST sell-out: £115 adult / £50 junior</x:v>
      </x:c>
      <x:c r="H5" s="12" t="str">
        <x:v>No major seasonal hospitality product identified in current source set</x:v>
      </x:c>
      <x:c r="I5" s="12" t="str">
        <x:v>Family of four from £22/game; alcohol-free Family Area; seating + terraces</x:v>
      </x:c>
      <x:c r="J5" s="12" t="str">
        <x:v>Cup/away priority; exclusive first-team access; Mastercard rewards</x:v>
      </x:c>
      <x:c r="K5" s="12" t="str">
        <x:v>Full ST sold out; club immediately created a 12-game continuity product</x:v>
      </x:c>
      <x:c r="L5" s="12" t="str">
        <x:v>Convert star/promotion demand into recurring attendance and lock in habit before capacity becomes a constraint</x:v>
      </x:c>
      <x:c r="M5" s="12" t="str">
        <x:v>HIGH</x:v>
      </x:c>
      <x:c r="N5" s="12" t="str">
        <x:v>Keep building commitment ladder: single → 3-game → 6-game → season; use family product as acquisition entry point</x:v>
      </x:c>
      <x:c r="O5" s="12" t="str">
        <x:v>https://www.londoncitylionesses.com/post/2026-27-season-tickets-pricing-announced</x:v>
      </x:c>
      <x:c r="P5" s="12" t="str">
        <x:v>https://www.londoncitylionesses.com/post/2026-27-full-season-tickets-sold-out</x:v>
      </x:c>
      <x:c r="Q5" s="12" t="str">
        <x:v>LOW-MID</x:v>
      </x:c>
      <x:c r="R5" s="12" t="str">
        <x:v>HABIT / RETENTION</x:v>
      </x:c>
    </x:row>
    <x:row r="6">
      <x:c r="A6" s="12" t="str">
        <x:v>Arsenal Women</x:v>
      </x:c>
      <x:c r="B6" s="12" t="str">
        <x:v>Season Ticket</x:v>
      </x:c>
      <x:c r="C6" s="12" t="str">
        <x:v>13 WSL home games</x:v>
      </x:c>
      <x:c r="D6" s="12" t="str">
        <x:v>£130</x:v>
      </x:c>
      <x:c r="E6" s="12"/>
      <x:c r="F6" s="146" t="n">
        <x:v>10</x:v>
      </x:c>
      <x:c r="G6" s="12" t="str">
        <x:v>Six Game Bundle: £72 covering marquee fixtures</x:v>
      </x:c>
      <x:c r="H6" s="12" t="str">
        <x:v>Women's Super Lounge seasonal hospitality from £1,885</x:v>
      </x:c>
      <x:c r="I6" s="12" t="str">
        <x:v>Bring the Noise / Family areas; multiple seat tiers; junior, young adult, senior pricing</x:v>
      </x:c>
      <x:c r="J6" s="12" t="str">
        <x:v>Ticket exchange/transfer; away/Meadow Park priority; retail discount; meet &amp; greet ballot</x:v>
      </x:c>
      <x:c r="K6" s="12" t="str">
        <x:v>Full product ladder from single-game tiers to 6-game bundle, full ST and premium lounge</x:v>
      </x:c>
      <x:c r="L6" s="12" t="str">
        <x:v>Maximise Emirates utilisation while segmenting willingness-to-pay and reducing commitment barrier</x:v>
      </x:c>
      <x:c r="M6" s="12" t="str">
        <x:v>HIGH</x:v>
      </x:c>
      <x:c r="N6" s="12" t="str">
        <x:v>Introduce a mid-commitment bundle rather than forcing choice between one game and full season</x:v>
      </x:c>
      <x:c r="O6" s="12" t="str">
        <x:v>https://www.arsenal.com/arsenal-women-202627-season-ticket-information</x:v>
      </x:c>
      <x:c r="P6" s="12" t="str">
        <x:v>https://www.arsenal.com/arsenal-women-emirates-stadium</x:v>
      </x:c>
      <x:c r="Q6" s="12" t="str">
        <x:v>MID</x:v>
      </x:c>
      <x:c r="R6" s="12" t="str">
        <x:v>PORTFOLIO / YIELD</x:v>
      </x:c>
    </x:row>
    <x:row r="7">
      <x:c r="A7" s="12" t="str">
        <x:v>Chelsea Women</x:v>
      </x:c>
      <x:c r="B7" s="12" t="str">
        <x:v>Season Ticket</x:v>
      </x:c>
      <x:c r="C7" s="12" t="str">
        <x:v>13 WSL home games</x:v>
      </x:c>
      <x:c r="D7" s="12" t="str">
        <x:v>From £130</x:v>
      </x:c>
      <x:c r="E7" s="12" t="str">
        <x:v>From £65</x:v>
      </x:c>
      <x:c r="F7" s="146" t="n">
        <x:v>10</x:v>
      </x:c>
      <x:c r="G7" s="12" t="str">
        <x:v>Bridge Pass: 6 marquee games from £84 adult (~£14/game)</x:v>
      </x:c>
      <x:c r="H7" s="12" t="str">
        <x:v>Pitch View Lounge from £30/game seasonal; Bottomless at the Bridge £99/game seasonal</x:v>
      </x:c>
      <x:c r="I7" s="12" t="str">
        <x:v>Safe standing superfans; alcohol-free area; entertainment/vibes seating</x:v>
      </x:c>
      <x:c r="J7" s="12" t="str">
        <x:v>Priority to other games; exclusive events/gift; player arrivals; junior mascot waiting list</x:v>
      </x:c>
      <x:c r="K7" s="12" t="str">
        <x:v>All 13 WSL games moved to Stamford Bridge plus multiple commitment and premium tiers</x:v>
      </x:c>
      <x:c r="L7" s="12" t="str">
        <x:v>Fill a much larger stadium by widening funnel while simultaneously monetising higher-value experiences</x:v>
      </x:c>
      <x:c r="M7" s="12" t="str">
        <x:v>HIGH</x:v>
      </x:c>
      <x:c r="N7" s="12" t="str">
        <x:v>Separate volume products from premium experience; family-friendly and hospitality can coexist</x:v>
      </x:c>
      <x:c r="O7" s="12" t="str">
        <x:v>https://www.chelseafc.com/en/news/article/first-ever-chelsea-women-season-tickets-for-stamford-bridge-on-sale-now</x:v>
      </x:c>
      <x:c r="P7" s="12" t="str">
        <x:v>https://www.chelseafc.com/en/news/article/the-bridge-pass-for-cfcw-matches-now-on-sale</x:v>
      </x:c>
      <x:c r="Q7" s="12" t="str">
        <x:v>MID</x:v>
      </x:c>
      <x:c r="R7" s="12" t="str">
        <x:v>SCALE + YIELD</x:v>
      </x:c>
    </x:row>
    <x:row r="8">
      <x:c r="A8" s="12" t="str">
        <x:v>Tottenham Hotspur Women</x:v>
      </x:c>
      <x:c r="B8" s="12" t="str">
        <x:v>Season Ticket</x:v>
      </x:c>
      <x:c r="C8" s="12" t="str">
        <x:v>13 WSL home games</x:v>
      </x:c>
      <x:c r="D8" s="12" t="str">
        <x:v>£85</x:v>
      </x:c>
      <x:c r="E8" s="12" t="str">
        <x:v>£35</x:v>
      </x:c>
      <x:c r="F8" s="146" t="n">
        <x:v>6.54</x:v>
      </x:c>
      <x:c r="G8" s="12" t="str">
        <x:v>No multi-game bundle verified in current source set</x:v>
      </x:c>
      <x:c r="H8" s="12" t="str">
        <x:v>No comparable women-specific seasonal hospitality verified in current source set</x:v>
      </x:c>
      <x:c r="I8" s="12" t="str">
        <x:v>Very low junior and adult effective price</x:v>
      </x:c>
      <x:c r="J8" s="12" t="str">
        <x:v>Retail voucher + discount; stadium tour; SPURSPLAY; membership benefits; Athletic subscription; gift pack</x:v>
      </x:c>
      <x:c r="K8" s="12" t="str">
        <x:v>Extremely low ticket price combined with a high-value benefit bundle</x:v>
      </x:c>
      <x:c r="L8" s="12" t="str">
        <x:v>Drive season-ticket penetration, CRM depth and club ecosystem participation rather than ticket yield alone</x:v>
      </x:c>
      <x:c r="M8" s="12" t="str">
        <x:v>HIGH</x:v>
      </x:c>
      <x:c r="N8" s="12" t="str">
        <x:v>Ticket can be acquisition product for the broader club relationship; benefits can exceed ticket face value</x:v>
      </x:c>
      <x:c r="O8" s="12" t="str">
        <x:v>https://www.tottenhamhotspur.com/tickets/womens-season-tickets</x:v>
      </x:c>
      <x:c r="P8" s="12"/>
      <x:c r="Q8" s="12" t="str">
        <x:v>VERY LOW</x:v>
      </x:c>
      <x:c r="R8" s="12" t="str">
        <x:v>MEMBERSHIP / ECOSYSTEM</x:v>
      </x:c>
    </x:row>
    <x:row r="9">
      <x:c r="A9" s="12" t="str">
        <x:v>Crystal Palace Women</x:v>
      </x:c>
      <x:c r="B9" s="12" t="str">
        <x:v>Season Ticket</x:v>
      </x:c>
      <x:c r="C9" s="12" t="str">
        <x:v>2026/27 WSL home matches across VBS + selected Selhurst</x:v>
      </x:c>
      <x:c r="D9" s="12"/>
      <x:c r="E9" s="12"/>
      <x:c r="F9" s="146"/>
      <x:c r="G9" s="12" t="str">
        <x:v>Half-season product existed in 2025/26; current 2026/27 season ticket confirmed</x:v>
      </x:c>
      <x:c r="H9" s="12" t="str">
        <x:v>Mascot packages available separately</x:v>
      </x:c>
      <x:c r="I9" s="12" t="str">
        <x:v>No membership required for match tickets; concessions include senior, young adult, U16</x:v>
      </x:c>
      <x:c r="J9" s="12" t="str">
        <x:v>Two-ground fulfilment; seat selection required for Selhurst games; pro-rata credit process for men's/women's clashes</x:v>
      </x:c>
      <x:c r="K9" s="12" t="str">
        <x:v>Ticketing architecture is built around flexibility caused by two venues and overlap with men's supporter base</x:v>
      </x:c>
      <x:c r="L9" s="12" t="str">
        <x:v>Retain/promote existing Palace audience into the women's team while reducing friction from dual-ground / fixture-clash complexity</x:v>
      </x:c>
      <x:c r="M9" s="12" t="str">
        <x:v>MED-HIGH</x:v>
      </x:c>
      <x:c r="N9" s="12" t="str">
        <x:v>London City has a structural advantage: one women's-first identity and one regular venue can make the proposition simpler</x:v>
      </x:c>
      <x:c r="O9" s="12" t="str">
        <x:v>https://www.cpfc.co.uk/information/faqs-palace-womens-tickets/</x:v>
      </x:c>
      <x:c r="P9" s="12" t="str">
        <x:v>https://www.cpfc.co.uk/news/season-ticket/</x:v>
      </x:c>
      <x:c r="Q9" s="12" t="str">
        <x:v>UNKNOWN</x:v>
      </x:c>
      <x:c r="R9" s="12" t="str">
        <x:v>FLEXIBILITY / CROSS-SELL</x:v>
      </x:c>
    </x:row>
    <x:row r="10">
      <x:c r="A10" s="12" t="str">
        <x:v>Charlton Athletic Women</x:v>
      </x:c>
      <x:c r="B10" s="12" t="str">
        <x:v>Season Ticket</x:v>
      </x:c>
      <x:c r="C10" s="12" t="str">
        <x:v>2026/27 women's season</x:v>
      </x:c>
      <x:c r="D10" s="12" t="str">
        <x:v>From £65</x:v>
      </x:c>
      <x:c r="E10" s="12" t="str">
        <x:v>From £25</x:v>
      </x:c>
      <x:c r="F10" s="146"/>
      <x:c r="G10" s="12" t="str">
        <x:v>No verified multi-game bundle in current source set</x:v>
      </x:c>
      <x:c r="H10" s="12" t="str">
        <x:v>No verified seasonal premium product in current source set</x:v>
      </x:c>
      <x:c r="I10" s="12" t="str">
        <x:v>Low entry price, especially U18</x:v>
      </x:c>
      <x:c r="J10" s="12" t="str">
        <x:v>Season-ticket commitment messaging</x:v>
      </x:c>
      <x:c r="K10" s="12" t="str">
        <x:v>Very low headline season-ticket prices following promotion to WSL</x:v>
      </x:c>
      <x:c r="L10" s="12" t="str">
        <x:v>Prioritise rapid supporter-base growth and retention after promotion; keep family/youth barrier extremely low</x:v>
      </x:c>
      <x:c r="M10" s="12" t="str">
        <x:v>MEDIUM</x:v>
      </x:c>
      <x:c r="N10" s="12" t="str">
        <x:v>In Lewisham/Greenwich, London City cannot win on price alone; differentiate experience, stars and convenience by fixture</x:v>
      </x:c>
      <x:c r="O10" s="12" t="str">
        <x:v>Official 2026/27 Women's Season Ticket brochure/search result</x:v>
      </x:c>
      <x:c r="P10" s="12"/>
      <x:c r="Q10" s="12" t="str">
        <x:v>VERY LOW</x:v>
      </x:c>
      <x:c r="R10" s="12" t="str">
        <x:v>GROWTH / ACCESS</x:v>
      </x:c>
    </x:row>
    <x:row r="11">
      <x:c r="A11" s="12" t="str">
        <x:v>West Ham United Women</x:v>
      </x:c>
      <x:c r="B11" s="12" t="str">
        <x:v>Matchday / family football positioning</x:v>
      </x:c>
      <x:c r="C11" s="12" t="str">
        <x:v>WSL home matches</x:v>
      </x:c>
      <x:c r="D11" s="12"/>
      <x:c r="E11" s="12"/>
      <x:c r="F11" s="146"/>
      <x:c r="G11" s="12" t="str">
        <x:v>No current 2026/27 women-specific season bundle verified in this research pass</x:v>
      </x:c>
      <x:c r="H11" s="12" t="str">
        <x:v>Not verified</x:v>
      </x:c>
      <x:c r="I11" s="12" t="str">
        <x:v>Club's fan-engagement plan explicitly describes affordable family football and family activities</x:v>
      </x:c>
      <x:c r="J11" s="12" t="str">
        <x:v>Women's Supporters' Board and direct engagement with women-team ST holders / match attenders</x:v>
      </x:c>
      <x:c r="K11" s="12" t="str">
        <x:v>Women's product historically framed around affordability + family experience + supporter engagement</x:v>
      </x:c>
      <x:c r="L11" s="12" t="str">
        <x:v>Use women's matches as accessible family football and deepen long-term supporter relationship</x:v>
      </x:c>
      <x:c r="M11" s="12" t="str">
        <x:v>MEDIUM</x:v>
      </x:c>
      <x:c r="N11" s="12" t="str">
        <x:v>Family experience is not unique to London City; quantify and package what is genuinely distinctive</x:v>
      </x:c>
      <x:c r="O11" s="12" t="str">
        <x:v>https://cdn.whufc.com/sites/default/files/2023-08/WHU_FEP_A4.pdf</x:v>
      </x:c>
      <x:c r="P11" s="12"/>
      <x:c r="Q11" s="12" t="str">
        <x:v>UNKNOWN</x:v>
      </x:c>
      <x:c r="R11" s="12" t="str">
        <x:v>FAMILY / COMMUNITY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6" hidden="0" customWidth="1"/>
    <x:col min="4" max="4" width="22" hidden="0" customWidth="1"/>
    <x:col min="5" max="5" width="20" hidden="0" customWidth="1"/>
    <x:col min="6" max="6" width="28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  <x:col min="12" max="12" width="42" hidden="0" customWidth="1"/>
    <x:col min="13" max="13" width="48" hidden="0" customWidth="1"/>
  </x:cols>
  <x:sheetData>
    <x:row r="1">
      <x:c r="A1" s="141" t="str">
        <x:v>Ticketing Models — What Each Club Appears to Optimise</x:v>
      </x:c>
    </x:row>
    <x:row r="3">
      <x:c r="A3" s="144" t="str">
        <x:v>Club</x:v>
      </x:c>
      <x:c r="B3" s="144" t="str">
        <x:v>Adult ST £/game</x:v>
      </x:c>
      <x:c r="C3" s="144" t="str">
        <x:v>Mid-commitment bundle</x:v>
      </x:c>
      <x:c r="D3" s="144" t="str">
        <x:v>Family/youth emphasis</x:v>
      </x:c>
      <x:c r="E3" s="144" t="str">
        <x:v>Premium ladder</x:v>
      </x:c>
      <x:c r="F3" s="144" t="str">
        <x:v>Primary inferred objective</x:v>
      </x:c>
      <x:c r="G3" s="144" t="str">
        <x:v>Commitment barrier</x:v>
      </x:c>
      <x:c r="H3" s="144" t="str">
        <x:v>Yield focus</x:v>
      </x:c>
      <x:c r="I3" s="144" t="str">
        <x:v>Habit focus</x:v>
      </x:c>
      <x:c r="J3" s="144" t="str">
        <x:v>Scale focus</x:v>
      </x:c>
      <x:c r="K3" s="144" t="str">
        <x:v>Key strength</x:v>
      </x:c>
      <x:c r="L3" s="144" t="str">
        <x:v>Key weakness / risk</x:v>
      </x:c>
      <x:c r="M3" s="144" t="str">
        <x:v>London City response</x:v>
      </x:c>
    </x:row>
    <x:row r="4">
      <x:c r="A4" s="12" t="str">
        <x:v>London City</x:v>
      </x:c>
      <x:c r="B4" s="146" t="n">
        <x:v>8</x:v>
      </x:c>
      <x:c r="C4" s="12" t="str">
        <x:v>12-game fallback after sellout</x:v>
      </x:c>
      <x:c r="D4" s="12" t="str">
        <x:v>HIGH</x:v>
      </x:c>
      <x:c r="E4" s="12" t="str">
        <x:v>LOW / not yet visible</x:v>
      </x:c>
      <x:c r="F4" s="12" t="str">
        <x:v>HABIT / RETENTION</x:v>
      </x:c>
      <x:c r="G4" s="12" t="str">
        <x:v>LOW</x:v>
      </x:c>
      <x:c r="H4" s="12" t="str">
        <x:v>MEDIUM</x:v>
      </x:c>
      <x:c r="I4" s="12" t="str">
        <x:v>VERY HIGH</x:v>
      </x:c>
      <x:c r="J4" s="12" t="str">
        <x:v>HIGH</x:v>
      </x:c>
      <x:c r="K4" s="12" t="str">
        <x:v>Strong value + scarce capacity + women-first experience</x:v>
      </x:c>
      <x:c r="L4" s="12" t="str">
        <x:v>Missing obvious 3–6 match bridge between single ticket and season</x:v>
      </x:c>
      <x:c r="M4" s="12" t="str">
        <x:v>Build a 3-match Family Pass and fixture-specific acquisition bundles</x:v>
      </x:c>
    </x:row>
    <x:row r="5">
      <x:c r="A5" s="12" t="str">
        <x:v>Arsenal</x:v>
      </x:c>
      <x:c r="B5" s="146" t="n">
        <x:v>10</x:v>
      </x:c>
      <x:c r="C5" s="12" t="str">
        <x:v>6-game bundle</x:v>
      </x:c>
      <x:c r="D5" s="12" t="str">
        <x:v>HIGH</x:v>
      </x:c>
      <x:c r="E5" s="12" t="str">
        <x:v>VERY HIGH</x:v>
      </x:c>
      <x:c r="F5" s="12" t="str">
        <x:v>PORTFOLIO / YIELD</x:v>
      </x:c>
      <x:c r="G5" s="12" t="str">
        <x:v>MEDIUM</x:v>
      </x:c>
      <x:c r="H5" s="12" t="str">
        <x:v>VERY HIGH</x:v>
      </x:c>
      <x:c r="I5" s="12" t="str">
        <x:v>HIGH</x:v>
      </x:c>
      <x:c r="J5" s="12" t="str">
        <x:v>VERY HIGH</x:v>
      </x:c>
      <x:c r="K5" s="12" t="str">
        <x:v>Complete product ladder</x:v>
      </x:c>
      <x:c r="L5" s="12" t="str">
        <x:v>Complexity / premiumisation can price out casuals</x:v>
      </x:c>
      <x:c r="M5" s="12" t="str">
        <x:v>Borrow the bundle logic, not the scale</x:v>
      </x:c>
    </x:row>
    <x:row r="6">
      <x:c r="A6" s="12" t="str">
        <x:v>Chelsea</x:v>
      </x:c>
      <x:c r="B6" s="146" t="n">
        <x:v>10</x:v>
      </x:c>
      <x:c r="C6" s="12" t="str">
        <x:v>6-game Bridge Pass</x:v>
      </x:c>
      <x:c r="D6" s="12" t="str">
        <x:v>HIGH</x:v>
      </x:c>
      <x:c r="E6" s="12" t="str">
        <x:v>VERY HIGH</x:v>
      </x:c>
      <x:c r="F6" s="12" t="str">
        <x:v>SCALE + YIELD</x:v>
      </x:c>
      <x:c r="G6" s="12" t="str">
        <x:v>MEDIUM</x:v>
      </x:c>
      <x:c r="H6" s="12" t="str">
        <x:v>VERY HIGH</x:v>
      </x:c>
      <x:c r="I6" s="12" t="str">
        <x:v>HIGH</x:v>
      </x:c>
      <x:c r="J6" s="12" t="str">
        <x:v>VERY HIGH</x:v>
      </x:c>
      <x:c r="K6" s="12" t="str">
        <x:v>Stadium scale + segmented experiences</x:v>
      </x:c>
      <x:c r="L6" s="12" t="str">
        <x:v>Must fill much larger inventory consistently</x:v>
      </x:c>
      <x:c r="M6" s="12" t="str">
        <x:v>Use intimacy/access as counter-positioning</x:v>
      </x:c>
    </x:row>
    <x:row r="7">
      <x:c r="A7" s="12" t="str">
        <x:v>Tottenham</x:v>
      </x:c>
      <x:c r="B7" s="146" t="n">
        <x:v>6.54</x:v>
      </x:c>
      <x:c r="C7" s="12" t="str">
        <x:v>Not verified</x:v>
      </x:c>
      <x:c r="D7" s="12" t="str">
        <x:v>HIGH</x:v>
      </x:c>
      <x:c r="E7" s="12" t="str">
        <x:v>LOW</x:v>
      </x:c>
      <x:c r="F7" s="12" t="str">
        <x:v>MEMBERSHIP / ECOSYSTEM</x:v>
      </x:c>
      <x:c r="G7" s="12" t="str">
        <x:v>VERY LOW</x:v>
      </x:c>
      <x:c r="H7" s="12" t="str">
        <x:v>LOW</x:v>
      </x:c>
      <x:c r="I7" s="12" t="str">
        <x:v>VERY HIGH</x:v>
      </x:c>
      <x:c r="J7" s="12" t="str">
        <x:v>HIGH</x:v>
      </x:c>
      <x:c r="K7" s="12" t="str">
        <x:v>Exceptional perceived value</x:v>
      </x:c>
      <x:c r="L7" s="12" t="str">
        <x:v>Low ticket yield; depends on broader club economics</x:v>
      </x:c>
      <x:c r="M7" s="12" t="str">
        <x:v>Use partner benefits to increase perceived value without cutting price</x:v>
      </x:c>
    </x:row>
    <x:row r="8">
      <x:c r="A8" s="12" t="str">
        <x:v>Crystal Palace</x:v>
      </x:c>
      <x:c r="B8" s="146"/>
      <x:c r="C8" s="12" t="str">
        <x:v>Half-season precedent</x:v>
      </x:c>
      <x:c r="D8" s="12" t="str">
        <x:v>MEDIUM</x:v>
      </x:c>
      <x:c r="E8" s="12" t="str">
        <x:v>LOW</x:v>
      </x:c>
      <x:c r="F8" s="12" t="str">
        <x:v>FLEXIBILITY / CROSS-SELL</x:v>
      </x:c>
      <x:c r="G8" s="12" t="str">
        <x:v>MEDIUM</x:v>
      </x:c>
      <x:c r="H8" s="12" t="str">
        <x:v>LOW</x:v>
      </x:c>
      <x:c r="I8" s="12" t="str">
        <x:v>HIGH</x:v>
      </x:c>
      <x:c r="J8" s="12" t="str">
        <x:v>HIGH</x:v>
      </x:c>
      <x:c r="K8" s="12" t="str">
        <x:v>Existing men's fanbase + Croydon identity</x:v>
      </x:c>
      <x:c r="L8" s="12" t="str">
        <x:v>Two venues / fixture clashes add friction</x:v>
      </x:c>
      <x:c r="M8" s="12" t="str">
        <x:v>Exploit simplicity: one regular home, women-first identity</x:v>
      </x:c>
    </x:row>
    <x:row r="9">
      <x:c r="A9" s="12" t="str">
        <x:v>Charlton</x:v>
      </x:c>
      <x:c r="B9" s="146"/>
      <x:c r="C9" s="12" t="str">
        <x:v>Not verified</x:v>
      </x:c>
      <x:c r="D9" s="12" t="str">
        <x:v>VERY HIGH</x:v>
      </x:c>
      <x:c r="E9" s="12" t="str">
        <x:v>LOW</x:v>
      </x:c>
      <x:c r="F9" s="12" t="str">
        <x:v>GROWTH / ACCESS</x:v>
      </x:c>
      <x:c r="G9" s="12" t="str">
        <x:v>VERY LOW</x:v>
      </x:c>
      <x:c r="H9" s="12" t="str">
        <x:v>LOW</x:v>
      </x:c>
      <x:c r="I9" s="12" t="str">
        <x:v>VERY HIGH</x:v>
      </x:c>
      <x:c r="J9" s="12" t="str">
        <x:v>HIGH</x:v>
      </x:c>
      <x:c r="K9" s="12" t="str">
        <x:v>Very low family/youth barrier</x:v>
      </x:c>
      <x:c r="L9" s="12" t="str">
        <x:v>Price competition can compress revenue</x:v>
      </x:c>
      <x:c r="M9" s="12" t="str">
        <x:v>Compete on experience and calendar convenience, not cheapest price</x:v>
      </x:c>
    </x:row>
    <x:row r="10">
      <x:c r="A10" s="12" t="str">
        <x:v>West Ham</x:v>
      </x:c>
      <x:c r="B10" s="146"/>
      <x:c r="C10" s="12" t="str">
        <x:v>Not verified</x:v>
      </x:c>
      <x:c r="D10" s="12" t="str">
        <x:v>VERY HIGH</x:v>
      </x:c>
      <x:c r="E10" s="12" t="str">
        <x:v>Not verified</x:v>
      </x:c>
      <x:c r="F10" s="12" t="str">
        <x:v>FAMILY / COMMUNITY</x:v>
      </x:c>
      <x:c r="G10" s="12" t="str">
        <x:v>LOW</x:v>
      </x:c>
      <x:c r="H10" s="12" t="str">
        <x:v>LOW-MED</x:v>
      </x:c>
      <x:c r="I10" s="12" t="str">
        <x:v>HIGH</x:v>
      </x:c>
      <x:c r="J10" s="12" t="str">
        <x:v>MEDIUM</x:v>
      </x:c>
      <x:c r="K10" s="12" t="str">
        <x:v>Explicit family/community positioning</x:v>
      </x:c>
      <x:c r="L10" s="12" t="str">
        <x:v>Current product ladder not clear in source set</x:v>
      </x:c>
      <x:c r="M10" s="12" t="str">
        <x:v>Make London City's family proposition measurable and ownable</x:v>
      </x:c>
    </x:row>
  </x:sheetData>
  <x:mergeCells>
    <x:mergeCell ref="A1:M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  <x:col min="3" max="3" width="34" hidden="0" customWidth="1"/>
    <x:col min="4" max="4" width="36" hidden="0" customWidth="1"/>
    <x:col min="5" max="5" width="44" hidden="0" customWidth="1"/>
    <x:col min="6" max="6" width="40" hidden="0" customWidth="1"/>
    <x:col min="7" max="7" width="32" hidden="0" customWidth="1"/>
    <x:col min="8" max="8" width="38" hidden="0" customWidth="1"/>
    <x:col min="9" max="9" width="36" hidden="0" customWidth="1"/>
    <x:col min="10" max="10" width="18" hidden="0" customWidth="1"/>
  </x:cols>
  <x:sheetData>
    <x:row r="1">
      <x:c r="A1" s="141" t="str">
        <x:v>Recommended Ticketing Experiments for London City</x:v>
      </x:c>
    </x:row>
    <x:row r="3">
      <x:c r="A3" s="149" t="str">
        <x:v>Play</x:v>
      </x:c>
      <x:c r="B3" s="149" t="str">
        <x:v>Product</x:v>
      </x:c>
      <x:c r="C3" s="149" t="str">
        <x:v>Who</x:v>
      </x:c>
      <x:c r="D3" s="149" t="str">
        <x:v>When</x:v>
      </x:c>
      <x:c r="E3" s="149" t="str">
        <x:v>Why</x:v>
      </x:c>
      <x:c r="F3" s="149" t="str">
        <x:v>Price logic</x:v>
      </x:c>
      <x:c r="G3" s="149" t="str">
        <x:v>Success KPI</x:v>
      </x:c>
      <x:c r="H3" s="149" t="str">
        <x:v>Engine trigger</x:v>
      </x:c>
      <x:c r="I3" s="149" t="str">
        <x:v>Risk</x:v>
      </x:c>
      <x:c r="J3" s="149" t="str">
        <x:v>Status</x:v>
      </x:c>
    </x:row>
    <x:row r="4">
      <x:c r="A4" s="12" t="str">
        <x:v>1</x:v>
      </x:c>
      <x:c r="B4" s="12" t="str">
        <x:v>3-Match Family Pass</x:v>
      </x:c>
      <x:c r="C4" s="12" t="str">
        <x:v>2 adults + 2 juniors / flexible family configuration</x:v>
      </x:c>
      <x:c r="D4" s="12" t="str">
        <x:v>Calendar-whitespace fixtures, e.g. Liverpool + one marquee + one lower-pressure match</x:v>
      </x:c>
      <x:c r="E4" s="12" t="str">
        <x:v>Bridge between single-match trial and season commitment</x:v>
      </x:c>
      <x:c r="F4" s="12" t="str">
        <x:v>Discount vs 3 individual purchases, but above ST £/game</x:v>
      </x:c>
      <x:c r="G4" s="12" t="str">
        <x:v>% purchasers attending 2nd and 3rd game</x:v>
      </x:c>
      <x:c r="H4" s="12" t="str">
        <x:v>High Territory + high Calendar Whitespace</x:v>
      </x:c>
      <x:c r="I4" s="12" t="str">
        <x:v>Cannibalisation of full-price singles</x:v>
      </x:c>
      <x:c r="J4" s="12" t="str">
        <x:v>RECOMMEND TEST</x:v>
      </x:c>
    </x:row>
    <x:row r="5">
      <x:c r="A5" s="12" t="str">
        <x:v>2</x:v>
      </x:c>
      <x:c r="B5" s="12" t="str">
        <x:v>Croydon Sunday Pass</x:v>
      </x:c>
      <x:c r="C5" s="12" t="str">
        <x:v>Families / girls-football organisations in Croydon 045E</x:v>
      </x:c>
      <x:c r="D5" s="12" t="str">
        <x:v>Palace-away weekends only</x:v>
      </x:c>
      <x:c r="E5" s="12" t="str">
        <x:v>Turns competitor calendar into acquisition advantage</x:v>
      </x:c>
      <x:c r="F5" s="12" t="str">
        <x:v>Territory-specific promo code / group price</x:v>
      </x:c>
      <x:c r="G5" s="12" t="str">
        <x:v>New Croydon households + repeat within 90 days</x:v>
      </x:c>
      <x:c r="H5" s="12" t="str">
        <x:v>Palace away + Weather &gt;60 + Opportunity &gt;85</x:v>
      </x:c>
      <x:c r="I5" s="12" t="str">
        <x:v>Feels antagonistic if messaged as club-switching</x:v>
      </x:c>
      <x:c r="J5" s="12" t="str">
        <x:v>RECOMMEND TEST</x:v>
      </x:c>
    </x:row>
    <x:row r="6">
      <x:c r="A6" s="12" t="str">
        <x:v>3</x:v>
      </x:c>
      <x:c r="B6" s="12" t="str">
        <x:v>Grassroots Club Pack</x:v>
      </x:c>
      <x:c r="C6" s="12" t="str">
        <x:v>Girls teams, coaches, parents</x:v>
      </x:c>
      <x:c r="D6" s="12" t="str">
        <x:v>Selected 3–4 fixtures</x:v>
      </x:c>
      <x:c r="E6" s="12" t="str">
        <x:v>One organisation can distribute to dozens of families</x:v>
      </x:c>
      <x:c r="F6" s="12" t="str">
        <x:v>Group block + coach/organiser benefit</x:v>
      </x:c>
      <x:c r="G6" s="12" t="str">
        <x:v>Tickets per organisation + second purchase</x:v>
      </x:c>
      <x:c r="H6" s="12" t="str">
        <x:v>High Girls Network Score</x:v>
      </x:c>
      <x:c r="I6" s="12" t="str">
        <x:v>Discount leakage / one-off groups</x:v>
      </x:c>
      <x:c r="J6" s="12" t="str">
        <x:v>RECOMMEND TEST</x:v>
      </x:c>
    </x:row>
    <x:row r="7">
      <x:c r="A7" s="12" t="str">
        <x:v>4</x:v>
      </x:c>
      <x:c r="B7" s="12" t="str">
        <x:v>First-Timer → Second Match Credit</x:v>
      </x:c>
      <x:c r="C7" s="12" t="str">
        <x:v>First-time purchasers</x:v>
      </x:c>
      <x:c r="D7" s="12" t="str">
        <x:v>Every targeted acquisition fixture</x:v>
      </x:c>
      <x:c r="E7" s="12" t="str">
        <x:v>Directly optimises habit instead of vanity attendance</x:v>
      </x:c>
      <x:c r="F7" s="12" t="str">
        <x:v>Credit unlocked only after first attendance/purchase</x:v>
      </x:c>
      <x:c r="G7" s="12" t="str">
        <x:v>90-day repeat rate</x:v>
      </x:c>
      <x:c r="H7" s="12" t="str">
        <x:v>First-time buyer identified in CRM</x:v>
      </x:c>
      <x:c r="I7" s="12" t="str">
        <x:v>Margin cost if repeat would happen anyway</x:v>
      </x:c>
      <x:c r="J7" s="12" t="str">
        <x:v>RECOMMEND TEST</x:v>
      </x:c>
    </x:row>
    <x:row r="8">
      <x:c r="A8" s="12" t="str">
        <x:v>5</x:v>
      </x:c>
      <x:c r="B8" s="12" t="str">
        <x:v>Premium Intimacy Add-on</x:v>
      </x:c>
      <x:c r="C8" s="12" t="str">
        <x:v>Adults / sponsors / higher WTP fans</x:v>
      </x:c>
      <x:c r="D8" s="12" t="str">
        <x:v>Marquee fixtures</x:v>
      </x:c>
      <x:c r="E8" s="12" t="str">
        <x:v>Chelsea/Arsenal show demand for experience tiers; Hayes Lane can sell access/intimacy rather than scale</x:v>
      </x:c>
      <x:c r="F8" s="12" t="str">
        <x:v>Small premium over GA for experience/food/access where operationally feasible</x:v>
      </x:c>
      <x:c r="G8" s="12" t="str">
        <x:v>Incremental revenue per attendee</x:v>
      </x:c>
      <x:c r="H8" s="12" t="str">
        <x:v>High fixture appeal + sell-through pressure</x:v>
      </x:c>
      <x:c r="I8" s="12" t="str">
        <x:v>Operational complexity / capacity</x:v>
      </x:c>
      <x:c r="J8" s="12" t="str">
        <x:v>EXPLORE</x:v>
      </x:c>
    </x:row>
    <x:row r="11">
      <x:c r="A11" s="12" t="str">
        <x:v>Principle</x:v>
      </x:c>
      <x:c r="B11" s="12" t="str"/>
    </x:row>
    <x:row r="12">
      <x:c r="A12" s="12" t="str">
        <x:v>What not to do</x:v>
      </x:c>
      <x:c r="B12" s="12" t="str">
        <x:v>Do not default to blanket discounting. London City already sold out full season tickets.</x:v>
      </x:c>
    </x:row>
    <x:row r="13">
      <x:c r="A13" s="12" t="str">
        <x:v>Core gap</x:v>
      </x:c>
      <x:c r="B13" s="12" t="str">
        <x:v>The clearest product gap versus Arsenal/Chelsea is a true 3–6 game bridge for people not ready for a season ticket.</x:v>
      </x:c>
    </x:row>
    <x:row r="14">
      <x:c r="A14" s="12" t="str">
        <x:v>Data advantage</x:v>
      </x:c>
      <x:c r="B14" s="12" t="str">
        <x:v>Our engine can decide which bundle to offer by territory, competitor calendar, weather and attendance momentum.</x:v>
      </x:c>
    </x:row>
    <x:row r="15">
      <x:c r="A15" s="12" t="str">
        <x:v>Commercial question</x:v>
      </x:c>
      <x:c r="B15" s="12" t="str">
        <x:v>Can London City increase repeat rate without lowering average realised price?</x:v>
      </x:c>
    </x:row>
    <x:row r="16">
      <x:c r="A16" s="12" t="str">
        <x:v>Experiment design</x:v>
      </x:c>
      <x:c r="B16" s="12" t="str">
        <x:v>Every ticketing product should have a control group / baseline so attendance uplift is distinguishable from opponent/weather effects.</x:v>
      </x:c>
    </x:row>
  </x:sheetData>
  <x:mergeCells>
    <x:mergeCell ref="A1:J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4" hidden="0" customWidth="1"/>
    <x:col min="4" max="4" width="24" hidden="0" customWidth="1"/>
    <x:col min="5" max="5" width="48" hidden="0" customWidth="1"/>
    <x:col min="6" max="6" width="48" hidden="0" customWidth="1"/>
    <x:col min="7" max="7" width="48" hidden="0" customWidth="1"/>
    <x:col min="8" max="8" width="14" hidden="0" customWidth="1"/>
    <x:col min="9" max="9" width="56" hidden="0" customWidth="1"/>
    <x:col min="10" max="10" width="20" hidden="0" customWidth="1"/>
    <x:col min="11" max="11" width="28" hidden="0" customWidth="1"/>
    <x:col min="12" max="12" width="16" hidden="0" customWidth="1"/>
    <x:col min="13" max="13" width="52" hidden="0" customWidth="1"/>
  </x:cols>
  <x:sheetData>
    <x:row r="1">
      <x:c r="A1" s="151" t="str">
        <x:v>London City Local Market — Bromley Commercial &amp; Leisure Intelligence</x:v>
      </x:c>
    </x:row>
    <x:row r="2">
      <x:c r="A2" s="79" t="str">
        <x:v>Signals around Hayes Lane that can inform acquisition, partnerships and ticketing.</x:v>
      </x:c>
    </x:row>
    <x:row r="4">
      <x:c r="A4" s="154" t="str">
        <x:v>Theme</x:v>
      </x:c>
      <x:c r="B4" s="154" t="str">
        <x:v>Observed signal</x:v>
      </x:c>
      <x:c r="C4" s="154" t="str">
        <x:v>Value / evidence</x:v>
      </x:c>
      <x:c r="D4" s="154" t="str">
        <x:v>Geography</x:v>
      </x:c>
      <x:c r="E4" s="154" t="str">
        <x:v>Why it matters for London City</x:v>
      </x:c>
      <x:c r="F4" s="154" t="str">
        <x:v>Commercial implication</x:v>
      </x:c>
      <x:c r="G4" s="154" t="str">
        <x:v>Acquisition implication</x:v>
      </x:c>
      <x:c r="H4" s="154" t="str">
        <x:v>Confidence</x:v>
      </x:c>
      <x:c r="I4" s="154" t="str">
        <x:v>Source</x:v>
      </x:c>
      <x:c r="J4" s="154" t="str">
        <x:v>Update cadence</x:v>
      </x:c>
      <x:c r="K4" s="154" t="str">
        <x:v>Engine variable</x:v>
      </x:c>
      <x:c r="L4" s="154" t="str">
        <x:v>Use in score?</x:v>
      </x:c>
      <x:c r="M4" s="154" t="str">
        <x:v>Notes</x:v>
      </x:c>
    </x:row>
    <x:row r="5">
      <x:c r="A5" s="12" t="str">
        <x:v>Town-centre business base</x:v>
      </x:c>
      <x:c r="B5" s="12" t="str">
        <x:v>Your Bromley BID represents nearly 500 levy-paying businesses</x:v>
      </x:c>
      <x:c r="C5" s="12" t="str">
        <x:v>~500 businesses; BID plans ~£3m investment 2026–31</x:v>
      </x:c>
      <x:c r="D5" s="12" t="str">
        <x:v>Bromley town centre</x:v>
      </x:c>
      <x:c r="E5" s="12" t="str">
        <x:v>Dense local business network provides sponsor, cross-promotion and distribution opportunities</x:v>
      </x:c>
      <x:c r="F5" s="12" t="str">
        <x:v>Target clusters rather than individual cold outreach: hospitality, retail, health, family leisure</x:v>
      </x:c>
      <x:c r="G5" s="12" t="str">
        <x:v>Use business network to distribute fixture offers and local rewards</x:v>
      </x:c>
      <x:c r="H5" s="12" t="str">
        <x:v>HIGH</x:v>
      </x:c>
      <x:c r="I5" s="12" t="str">
        <x:v>https://yourbromley.com/</x:v>
      </x:c>
      <x:c r="J5" s="12" t="str">
        <x:v>Annual / BID updates</x:v>
      </x:c>
      <x:c r="K5" s="12" t="str">
        <x:v>Local business density</x:v>
      </x:c>
      <x:c r="L5" s="12" t="str">
        <x:v>NO</x:v>
      </x:c>
      <x:c r="M5" s="12" t="str">
        <x:v>Context and partner pipeline, not fan propensity</x:v>
      </x:c>
    </x:row>
    <x:row r="6">
      <x:c r="A6" s="12" t="str">
        <x:v>Town-centre footfall</x:v>
      </x:c>
      <x:c r="B6" s="12" t="str">
        <x:v>Bromley footfall grew faster than UK benchmark</x:v>
      </x:c>
      <x:c r="C6" s="12" t="str">
        <x:v>+3.7% in 2024 vs -0.7% UK average; visitors +4.8% over latest 52 weeks to Sep 2025</x:v>
      </x:c>
      <x:c r="D6" s="12" t="str">
        <x:v>Bromley town centre</x:v>
      </x:c>
      <x:c r="E6" s="12" t="str">
        <x:v>High-street activity can be converted into awareness and pre/post-match spend</x:v>
      </x:c>
      <x:c r="F6" s="12" t="str">
        <x:v>Joint promotions with town-centre businesses can create measurable economic value</x:v>
      </x:c>
      <x:c r="G6" s="12" t="str">
        <x:v>Geo-target local shoppers and retarget around high-footfall event dates</x:v>
      </x:c>
      <x:c r="H6" s="12" t="str">
        <x:v>HIGH</x:v>
      </x:c>
      <x:c r="I6" s="12" t="str">
        <x:v>https://yourbromley.com/business-hub</x:v>
      </x:c>
      <x:c r="J6" s="12" t="str">
        <x:v>Monthly / quarterly</x:v>
      </x:c>
      <x:c r="K6" s="12" t="str">
        <x:v>Town-centre demand</x:v>
      </x:c>
      <x:c r="L6" s="12" t="str">
        <x:v>OPTIONAL</x:v>
      </x:c>
      <x:c r="M6" s="12" t="str">
        <x:v>Could become an activation weighting rather than Opportunity Score</x:v>
      </x:c>
    </x:row>
    <x:row r="7">
      <x:c r="A7" s="12" t="str">
        <x:v>Rail mobility</x:v>
      </x:c>
      <x:c r="B7" s="12" t="str">
        <x:v>Bromley South is a major regional transport node</x:v>
      </x:c>
      <x:c r="C7" s="12" t="str">
        <x:v>6,193,798 entries/exits in 2024/25; ~17k origin/destination passengers per day</x:v>
      </x:c>
      <x:c r="D7" s="12" t="str">
        <x:v>Bromley South</x:v>
      </x:c>
      <x:c r="E7" s="12" t="str">
        <x:v>Large commuter/leisure flow creates awareness inventory and validates accessibility</x:v>
      </x:c>
      <x:c r="F7" s="12" t="str">
        <x:v>Transport partners / station-area businesses / OOH can reach local and inbound audiences</x:v>
      </x:c>
      <x:c r="G7" s="12" t="str">
        <x:v>Use station corridor for fixture-week messaging and travel reassurance</x:v>
      </x:c>
      <x:c r="H7" s="12" t="str">
        <x:v>HIGH</x:v>
      </x:c>
      <x:c r="I7" s="12" t="str">
        <x:v>https://dataportal.orr.gov.uk/station-usage</x:v>
      </x:c>
      <x:c r="J7" s="12" t="str">
        <x:v>Annual</x:v>
      </x:c>
      <x:c r="K7" s="12" t="str">
        <x:v>Mobility volume</x:v>
      </x:c>
      <x:c r="L7" s="12" t="str">
        <x:v>NO</x:v>
      </x:c>
      <x:c r="M7" s="12" t="str">
        <x:v>Use for media planning and access communications</x:v>
      </x:c>
    </x:row>
    <x:row r="8">
      <x:c r="A8" s="12" t="str">
        <x:v>Shopping / retail</x:v>
      </x:c>
      <x:c r="B8" s="12" t="str">
        <x:v>The Glades is a major retail and leisure destination</x:v>
      </x:c>
      <x:c r="C8" s="12" t="str">
        <x:v>Operator offers mall digital 6-sheets + lift-door advertising; centre is a key Metropolitan-town-centre anchor</x:v>
      </x:c>
      <x:c r="D8" s="12" t="str">
        <x:v>Bromley town centre</x:v>
      </x:c>
      <x:c r="E8" s="12" t="str">
        <x:v>Family and retail audiences overlap with matchday acquisition targets</x:v>
      </x:c>
      <x:c r="F8" s="12" t="str">
        <x:v>Retail media, pop-ups, ticket giveaways, player appearances and partner activations</x:v>
      </x:c>
      <x:c r="G8" s="12" t="str">
        <x:v>Fixture-week OOH + QR ticket offers + first-timer capture</x:v>
      </x:c>
      <x:c r="H8" s="12" t="str">
        <x:v>HIGH</x:v>
      </x:c>
      <x:c r="I8" s="12" t="str">
        <x:v>https://www.theglades.co.uk/advertising-opportunities</x:v>
      </x:c>
      <x:c r="J8" s="12" t="str">
        <x:v>Quarterly</x:v>
      </x:c>
      <x:c r="K8" s="12" t="str">
        <x:v>Retail activation inventory</x:v>
      </x:c>
      <x:c r="L8" s="12" t="str">
        <x:v>NO</x:v>
      </x:c>
      <x:c r="M8" s="12" t="str">
        <x:v>Operator claims &gt;20m annual visitors; another 2025 local source reported ~16.5m, so visitor total should be treated cautiously</x:v>
      </x:c>
    </x:row>
    <x:row r="9">
      <x:c r="A9" s="12" t="str">
        <x:v>Physical activity</x:v>
      </x:c>
      <x:c r="B9" s="12" t="str">
        <x:v>Bromley adults show broadly strong activity levels</x:v>
      </x:c>
      <x:c r="C9" s="12" t="str">
        <x:v>66.8% of adults physically active in 2022/23; similar England 67.1%, above London 66.3%</x:v>
      </x:c>
      <x:c r="D9" s="12" t="str">
        <x:v>Bromley borough</x:v>
      </x:c>
      <x:c r="E9" s="12" t="str">
        <x:v>Market is not sports-indifferent; participation and health framing can support partnerships</x:v>
      </x:c>
      <x:c r="F9" s="12" t="str">
        <x:v>Health, fitness and wellbeing categories are plausible partner pools</x:v>
      </x:c>
      <x:c r="G9" s="12" t="str">
        <x:v>Combine football with participation / family wellbeing campaigns</x:v>
      </x:c>
      <x:c r="H9" s="12" t="str">
        <x:v>HIGH</x:v>
      </x:c>
      <x:c r="I9" s="12" t="str">
        <x:v>https://www.bromley.gov.uk/downloads/file/3486/bromley-pharmaceutical-needs-assessment-2025-to-2028-draft-for-consultation</x:v>
      </x:c>
      <x:c r="J9" s="12" t="str">
        <x:v>Annual-ish</x:v>
      </x:c>
      <x:c r="K9" s="12" t="str">
        <x:v>Sport/physical-activity culture</x:v>
      </x:c>
      <x:c r="L9" s="12" t="str">
        <x:v>NO</x:v>
      </x:c>
      <x:c r="M9" s="12" t="str">
        <x:v>Participation is not the same as football spectatorship</x:v>
      </x:c>
    </x:row>
    <x:row r="10">
      <x:c r="A10" s="12" t="str">
        <x:v>Leisure consumption</x:v>
      </x:c>
      <x:c r="B10" s="12" t="str">
        <x:v>Bromley town centre is a strong local entertainment destination</x:v>
      </x:c>
      <x:c r="C10" s="12" t="str">
        <x:v>2025 retail/leisure study: town centre entertainment combined market share 46.6% in local Zone 1; Pavilion alone 20.9%</x:v>
      </x:c>
      <x:c r="D10" s="12" t="str">
        <x:v>Core Bromley catchment</x:v>
      </x:c>
      <x:c r="E10" s="12" t="str">
        <x:v>Families already travel into Bromley for leisure, not just shopping</x:v>
      </x:c>
      <x:c r="F10" s="12" t="str">
        <x:v>Matchday can be packaged as part of a broader leisure day</x:v>
      </x:c>
      <x:c r="G10" s="12" t="str">
        <x:v>Cross-sell with leisure venues and family activity providers</x:v>
      </x:c>
      <x:c r="H10" s="12" t="str">
        <x:v>HIGH</x:v>
      </x:c>
      <x:c r="I10" s="12" t="str">
        <x:v>https://www.bromley.gov.uk/downloads/file/3660/bromley-rl-study</x:v>
      </x:c>
      <x:c r="J10" s="12" t="str">
        <x:v>Multi-year</x:v>
      </x:c>
      <x:c r="K10" s="12" t="str">
        <x:v>Family leisure propensity</x:v>
      </x:c>
      <x:c r="L10" s="12" t="str">
        <x:v>POSSIBLE</x:v>
      </x:c>
      <x:c r="M10" s="12" t="str">
        <x:v>Promising contextual variable for family segments</x:v>
      </x:c>
    </x:row>
    <x:row r="11">
      <x:c r="A11" s="12" t="str">
        <x:v>Town-centre events</x:v>
      </x:c>
      <x:c r="B11" s="12" t="str">
        <x:v>Large events demonstrably move local footfall</x:v>
      </x:c>
      <x:c r="C11" s="12" t="str">
        <x:v>Bromley Motor Show 2025 delivered +62% footfall YoY on event day</x:v>
      </x:c>
      <x:c r="D11" s="12" t="str">
        <x:v>Bromley High Street</x:v>
      </x:c>
      <x:c r="E11" s="12" t="str">
        <x:v>Shows that destination programming can change behaviour materially</x:v>
      </x:c>
      <x:c r="F11" s="12" t="str">
        <x:v>London City can collaborate with existing town-centre event calendar rather than create all demand alone</x:v>
      </x:c>
      <x:c r="G11" s="12" t="str">
        <x:v>Sampling, ticket offers, mascot/player presence before high-opportunity fixtures</x:v>
      </x:c>
      <x:c r="H11" s="12" t="str">
        <x:v>HIGH</x:v>
      </x:c>
      <x:c r="I11" s="12" t="str">
        <x:v>https://yourbromley.com/customers/</x:v>
      </x:c>
      <x:c r="J11" s="12" t="str">
        <x:v>Event-based</x:v>
      </x:c>
      <x:c r="K11" s="12" t="str">
        <x:v>Event activation opportunity</x:v>
      </x:c>
      <x:c r="L11" s="12" t="str">
        <x:v>NO</x:v>
      </x:c>
      <x:c r="M11" s="12" t="str">
        <x:v>Activation timing variable</x:v>
      </x:c>
    </x:row>
    <x:row r="12">
      <x:c r="A12" s="12" t="str">
        <x:v>Digital local reach</x:v>
      </x:c>
      <x:c r="B12" s="12" t="str">
        <x:v>BID runs active local digital promotion</x:v>
      </x:c>
      <x:c r="C12" s="12" t="str">
        <x:v>17k followers across social; top TikTok post 350k+ views</x:v>
      </x:c>
      <x:c r="D12" s="12" t="str">
        <x:v>Bromley / regional digital audience</x:v>
      </x:c>
      <x:c r="E12" s="12" t="str">
        <x:v>Local discovery channels exist outside club-owned media</x:v>
      </x:c>
      <x:c r="F12" s="12" t="str">
        <x:v>Co-funded / co-created content can access established local audiences</x:v>
      </x:c>
      <x:c r="G12" s="12" t="str">
        <x:v>Use fixture-specific local content rather than generic club ads</x:v>
      </x:c>
      <x:c r="H12" s="12" t="str">
        <x:v>HIGH</x:v>
      </x:c>
      <x:c r="I12" s="12" t="str">
        <x:v>https://yourbromley.com/our-work</x:v>
      </x:c>
      <x:c r="J12" s="12" t="str">
        <x:v>Quarterly</x:v>
      </x:c>
      <x:c r="K12" s="12" t="str">
        <x:v>Local media reach</x:v>
      </x:c>
      <x:c r="L12" s="12" t="str">
        <x:v>NO</x:v>
      </x:c>
      <x:c r="M12" s="12" t="str">
        <x:v>Distribution channel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44" hidden="0" customWidth="1"/>
    <x:col min="5" max="5" width="40" hidden="0" customWidth="1"/>
    <x:col min="6" max="6" width="50" hidden="0" customWidth="1"/>
    <x:col min="7" max="7" width="28" hidden="0" customWidth="1"/>
    <x:col min="8" max="8" width="30" hidden="0" customWidth="1"/>
    <x:col min="9" max="9" width="38" hidden="0" customWidth="1"/>
    <x:col min="10" max="10" width="14" hidden="0" customWidth="1"/>
    <x:col min="11" max="11" width="54" hidden="0" customWidth="1"/>
    <x:col min="12" max="12" width="44" hidden="0" customWidth="1"/>
  </x:cols>
  <x:sheetData>
    <x:row r="1">
      <x:c r="A1" s="151" t="str">
        <x:v>Bromley Campaign &amp; Event Calendar — Activation Opportunities</x:v>
      </x:c>
    </x:row>
    <x:row r="3">
      <x:c r="A3" s="157" t="str">
        <x:v>Campaign / event</x:v>
      </x:c>
      <x:c r="B3" s="157" t="str">
        <x:v>Timing</x:v>
      </x:c>
      <x:c r="C3" s="157" t="str">
        <x:v>Audience</x:v>
      </x:c>
      <x:c r="D3" s="157" t="str">
        <x:v>Observed mechanic</x:v>
      </x:c>
      <x:c r="E3" s="157" t="str">
        <x:v>Evidence / scale</x:v>
      </x:c>
      <x:c r="F3" s="157" t="str">
        <x:v>London City opportunity</x:v>
      </x:c>
      <x:c r="G3" s="157" t="str">
        <x:v>Best ticketing product</x:v>
      </x:c>
      <x:c r="H3" s="157" t="str">
        <x:v>Best fixture use</x:v>
      </x:c>
      <x:c r="I3" s="157" t="str">
        <x:v>Partner categories</x:v>
      </x:c>
      <x:c r="J3" s="157" t="str">
        <x:v>Priority</x:v>
      </x:c>
      <x:c r="K3" s="157" t="str">
        <x:v>Source</x:v>
      </x:c>
      <x:c r="L3" s="157" t="str">
        <x:v>Comment</x:v>
      </x:c>
    </x:row>
    <x:row r="4">
      <x:c r="A4" s="12" t="str">
        <x:v>Restaurant Week 2026</x:v>
      </x:c>
      <x:c r="B4" s="12" t="str">
        <x:v>12–20 Sep 2026</x:v>
      </x:c>
      <x:c r="C4" s="12" t="str">
        <x:v>Families, couples, hospitality customers</x:v>
      </x:c>
      <x:c r="D4" s="12" t="str">
        <x:v>Fixed-price £5/£10/£15/£20/£25 offers across restaurants/cafés/pubs/bars</x:v>
      </x:c>
      <x:c r="E4" s="12" t="str">
        <x:v>Nine-day BID campaign fronted by Fred Sirieix</x:v>
      </x:c>
      <x:c r="F4" s="12" t="str">
        <x:v>Create 'match + meal' or ticket-code partnerships; acquire non-core leisure audiences</x:v>
      </x:c>
      <x:c r="G4" s="12" t="str">
        <x:v>Single match / Family Pass</x:v>
      </x:c>
      <x:c r="H4" s="12" t="str">
        <x:v>Brighton 26 Sep: retarget Restaurant Week participants after campaign</x:v>
      </x:c>
      <x:c r="I4" s="12" t="str">
        <x:v>Restaurants, cafés, food delivery, payment partners</x:v>
      </x:c>
      <x:c r="J4" s="12" t="str">
        <x:v>HIGH</x:v>
      </x:c>
      <x:c r="K4" s="12" t="str">
        <x:v>https://yourbromley.com/restaurantweek</x:v>
      </x:c>
      <x:c r="L4" s="12" t="str">
        <x:v>Strong timing for early-season acquisition</x:v>
      </x:c>
    </x:row>
    <x:row r="5">
      <x:c r="A5" s="12" t="str">
        <x:v>Bromley Lates</x:v>
      </x:c>
      <x:c r="B5" s="12" t="str">
        <x:v>Oct 2026</x:v>
      </x:c>
      <x:c r="C5" s="12" t="str">
        <x:v>Evening leisure, younger adults, families early evening</x:v>
      </x:c>
      <x:c r="D5" s="12" t="str">
        <x:v>Street performers, light installations, late opening, food &amp; drink</x:v>
      </x:c>
      <x:c r="E5" s="12" t="str">
        <x:v>Free town-centre event; businesses open late</x:v>
      </x:c>
      <x:c r="F5" s="12" t="str">
        <x:v>Player/brand pop-up + QR capture + fixture offer for Everton / Man City</x:v>
      </x:c>
      <x:c r="G5" s="12" t="str">
        <x:v>Single match / first-timer credit</x:v>
      </x:c>
      <x:c r="H5" s="12" t="str">
        <x:v>Man City 1 Nov</x:v>
      </x:c>
      <x:c r="I5" s="12" t="str">
        <x:v>Hospitality, nightlife, culture, retail</x:v>
      </x:c>
      <x:c r="J5" s="12" t="str">
        <x:v>MED-HIGH</x:v>
      </x:c>
      <x:c r="K5" s="12" t="str">
        <x:v>https://yourbromley.com/events/bromley-lates</x:v>
      </x:c>
      <x:c r="L5" s="12" t="str">
        <x:v>Good awareness channel; less directly family-only</x:v>
      </x:c>
    </x:row>
    <x:row r="6">
      <x:c r="A6" s="12" t="str">
        <x:v>Christmas Switch-On</x:v>
      </x:c>
      <x:c r="B6" s="12" t="str">
        <x:v>28 Nov 2026</x:v>
      </x:c>
      <x:c r="C6" s="12" t="str">
        <x:v>Families, local residents, shoppers</x:v>
      </x:c>
      <x:c r="D6" s="12" t="str">
        <x:v>Live music, family entertainment, fireworks, Christmas lights</x:v>
      </x:c>
      <x:c r="E6" s="12" t="str">
        <x:v>Large free town-centre event</x:v>
      </x:c>
      <x:c r="F6" s="12" t="str">
        <x:v>Family ticket lead-gen for January fixtures; junior-focused CRM capture</x:v>
      </x:c>
      <x:c r="G6" s="12" t="str">
        <x:v>3-Match Family Pass</x:v>
      </x:c>
      <x:c r="H6" s="12" t="str">
        <x:v>West Ham 10 Jan / Arsenal 24 Jan</x:v>
      </x:c>
      <x:c r="I6" s="12" t="str">
        <x:v>Retail, toys, family services, food</x:v>
      </x:c>
      <x:c r="J6" s="12" t="str">
        <x:v>VERY HIGH</x:v>
      </x:c>
      <x:c r="K6" s="12" t="str">
        <x:v>https://yourbromley.com/events</x:v>
      </x:c>
      <x:c r="L6" s="12" t="str">
        <x:v>Excellent family acquisition moment</x:v>
      </x:c>
    </x:row>
    <x:row r="7">
      <x:c r="A7" s="12" t="str">
        <x:v>Midsummer Movies</x:v>
      </x:c>
      <x:c r="B7" s="12" t="str">
        <x:v>Aug 2026 annual-type event</x:v>
      </x:c>
      <x:c r="C7" s="12" t="str">
        <x:v>Families + leisure audiences</x:v>
      </x:c>
      <x:c r="D7" s="12" t="str">
        <x:v>Free outdoor cinema in Queen's Gardens</x:v>
      </x:c>
      <x:c r="E7" s="12" t="str">
        <x:v>Seven films over two days in 2026</x:v>
      </x:c>
      <x:c r="F7" s="12" t="str">
        <x:v>Season-launch sampling / player appearances / ticket giveaways</x:v>
      </x:c>
      <x:c r="G7" s="12" t="str">
        <x:v>Season Ticket / 3-Match Pass</x:v>
      </x:c>
      <x:c r="H7" s="12" t="str">
        <x:v>Opening home fixtures</x:v>
      </x:c>
      <x:c r="I7" s="12" t="str">
        <x:v>Cinema, streaming, food, family brands</x:v>
      </x:c>
      <x:c r="J7" s="12" t="str">
        <x:v>HIGH</x:v>
      </x:c>
      <x:c r="K7" s="12" t="str">
        <x:v>https://yourbromley.com/events</x:v>
      </x:c>
      <x:c r="L7" s="12" t="str">
        <x:v>Repeat annually if BID continues</x:v>
      </x:c>
    </x:row>
    <x:row r="8">
      <x:c r="A8" s="12" t="str">
        <x:v>Bromley Motor Show</x:v>
      </x:c>
      <x:c r="B8" s="12" t="str">
        <x:v>July</x:v>
      </x:c>
      <x:c r="C8" s="12" t="str">
        <x:v>Regional family/leisure audience</x:v>
      </x:c>
      <x:c r="D8" s="12" t="str">
        <x:v>Large free destination event on pedestrianised High Street</x:v>
      </x:c>
      <x:c r="E8" s="12" t="str">
        <x:v>+62% footfall YoY in 2025; 100+ vehicles displayed</x:v>
      </x:c>
      <x:c r="F8" s="12" t="str">
        <x:v>Pre-season ticketing activation and sponsor prospecting</x:v>
      </x:c>
      <x:c r="G8" s="12" t="str">
        <x:v>Season Ticket / launch offer</x:v>
      </x:c>
      <x:c r="H8" s="12" t="str">
        <x:v>Pre-season / first home game</x:v>
      </x:c>
      <x:c r="I8" s="12" t="str">
        <x:v>Automotive, mobility, insurance, family retail</x:v>
      </x:c>
      <x:c r="J8" s="12" t="str">
        <x:v>VERY HIGH</x:v>
      </x:c>
      <x:c r="K8" s="12" t="str">
        <x:v>https://yourbromley.com/customers/</x:v>
      </x:c>
      <x:c r="L8" s="12" t="str">
        <x:v>Proof that Bromley events can shift footfall</x:v>
      </x:c>
    </x:row>
    <x:row r="9">
      <x:c r="A9" s="12" t="str">
        <x:v>Floral Fest</x:v>
      </x:c>
      <x:c r="B9" s="12" t="str">
        <x:v>June</x:v>
      </x:c>
      <x:c r="C9" s="12" t="str">
        <x:v>Schools, families, community</x:v>
      </x:c>
      <x:c r="D9" s="12" t="str">
        <x:v>Schools create floral installations on the High Street</x:v>
      </x:c>
      <x:c r="E9" s="12" t="str">
        <x:v>30 schools involved in 2026</x:v>
      </x:c>
      <x:c r="F9" s="12" t="str">
        <x:v>Direct route to school-family networks; community ticketing / girls-football activation</x:v>
      </x:c>
      <x:c r="G9" s="12" t="str">
        <x:v>Grassroots Club Pack / School Pack</x:v>
      </x:c>
      <x:c r="H9" s="12" t="str">
        <x:v>Season launch / selected family fixture</x:v>
      </x:c>
      <x:c r="I9" s="12" t="str">
        <x:v>Schools, gardening, sustainability, local services</x:v>
      </x:c>
      <x:c r="J9" s="12" t="str">
        <x:v>HIGH</x:v>
      </x:c>
      <x:c r="K9" s="12" t="str">
        <x:v>https://yourbromley.com/events</x:v>
      </x:c>
      <x:c r="L9" s="12" t="str">
        <x:v>Distribution-node logic fits engine thesis</x:v>
      </x:c>
    </x:row>
    <x:row r="10">
      <x:c r="A10" s="12" t="str">
        <x:v>The Glades retail media</x:v>
      </x:c>
      <x:c r="B10" s="12" t="str">
        <x:v>Always-on / bookable</x:v>
      </x:c>
      <x:c r="C10" s="12" t="str">
        <x:v>Shoppers, families, retail consumers</x:v>
      </x:c>
      <x:c r="D10" s="12" t="str">
        <x:v>Mall digital 6-sheets and external lift-door advertising</x:v>
      </x:c>
      <x:c r="E10" s="12" t="str">
        <x:v>Official advertising inventory via JCDecaux / Limited Space</x:v>
      </x:c>
      <x:c r="F10" s="12" t="str">
        <x:v>Fixture-week awareness around high-whitespace dates</x:v>
      </x:c>
      <x:c r="G10" s="12" t="str">
        <x:v>Single match / geo-specific code</x:v>
      </x:c>
      <x:c r="H10" s="12" t="str">
        <x:v>Arsenal / Liverpool / derby fixtures</x:v>
      </x:c>
      <x:c r="I10" s="12" t="str">
        <x:v>Retail, fashion, food, family leisure</x:v>
      </x:c>
      <x:c r="J10" s="12" t="str">
        <x:v>HIGH</x:v>
      </x:c>
      <x:c r="K10" s="12" t="str">
        <x:v>https://www.theglades.co.uk/advertising-opportunities</x:v>
      </x:c>
      <x:c r="L10" s="12" t="str">
        <x:v>Paid channel; test incrementality</x:v>
      </x:c>
    </x:row>
  </x:sheetData>
  <x:mergeCells>
    <x:mergeCell ref="A1:L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6" hidden="0" customWidth="1"/>
    <x:col min="4" max="4" width="50" hidden="0" customWidth="1"/>
    <x:col min="5" max="5" width="20" hidden="0" customWidth="1"/>
    <x:col min="6" max="6" width="16" hidden="0" customWidth="1"/>
    <x:col min="7" max="7" width="22" hidden="0" customWidth="1"/>
    <x:col min="8" max="8" width="16" hidden="0" customWidth="1"/>
    <x:col min="9" max="9" width="46" hidden="0" customWidth="1"/>
    <x:col min="10" max="10" width="40" hidden="0" customWidth="1"/>
    <x:col min="11" max="11" width="16" hidden="0" customWidth="1"/>
  </x:cols>
  <x:sheetData>
    <x:row r="1">
      <x:c r="A1" s="151" t="str">
        <x:v>Local Partner Categories — Where to Prospect First</x:v>
      </x:c>
    </x:row>
    <x:row r="3">
      <x:c r="A3" s="160" t="str">
        <x:v>Category</x:v>
      </x:c>
      <x:c r="B3" s="160" t="str">
        <x:v>Why present locally</x:v>
      </x:c>
      <x:c r="C3" s="160" t="str">
        <x:v>Audience overlap</x:v>
      </x:c>
      <x:c r="D3" s="160" t="str">
        <x:v>Activation idea</x:v>
      </x:c>
      <x:c r="E3" s="160" t="str">
        <x:v>Fan acquisition value</x:v>
      </x:c>
      <x:c r="F3" s="160" t="str">
        <x:v>Sponsor value</x:v>
      </x:c>
      <x:c r="G3" s="160" t="str">
        <x:v>Data / distribution value</x:v>
      </x:c>
      <x:c r="H3" s="160" t="str">
        <x:v>Priority</x:v>
      </x:c>
      <x:c r="I3" s="160" t="str">
        <x:v>Example ask</x:v>
      </x:c>
      <x:c r="J3" s="160" t="str">
        <x:v>Risk</x:v>
      </x:c>
      <x:c r="K3" s="160" t="str">
        <x:v>Decision</x:v>
      </x:c>
    </x:row>
    <x:row r="4">
      <x:c r="A4" s="12" t="str">
        <x:v>Retail / shopping</x:v>
      </x:c>
      <x:c r="B4" s="12" t="str">
        <x:v>Strong Metropolitan retail centre + The Glades</x:v>
      </x:c>
      <x:c r="C4" s="12" t="str">
        <x:v>Families, women, teens, leisure shoppers</x:v>
      </x:c>
      <x:c r="D4" s="12" t="str">
        <x:v>Retail-media + ticket rewards + player appearances</x:v>
      </x:c>
      <x:c r="E4" s="12" t="n">
        <x:v>95</x:v>
      </x:c>
      <x:c r="F4" s="12" t="n">
        <x:v>80</x:v>
      </x:c>
      <x:c r="G4" s="12" t="n">
        <x:v>75</x:v>
      </x:c>
      <x:c r="H4" s="12" t="str">
        <x:v>VERY HIGH</x:v>
      </x:c>
      <x:c r="I4" s="12" t="str">
        <x:v>Co-funded fixture campaign + QR offer + CRM opt-in</x:v>
      </x:c>
      <x:c r="J4" s="12" t="str">
        <x:v>Generic awareness without measurable conversion</x:v>
      </x:c>
      <x:c r="K4" s="12" t="str">
        <x:v>PROSPECT</x:v>
      </x:c>
    </x:row>
    <x:row r="5">
      <x:c r="A5" s="12" t="str">
        <x:v>Hospitality / food &amp; drink</x:v>
      </x:c>
      <x:c r="B5" s="12" t="str">
        <x:v>Active Restaurant Week and evening economy</x:v>
      </x:c>
      <x:c r="C5" s="12" t="str">
        <x:v>Pre/post-match families, couples, groups</x:v>
      </x:c>
      <x:c r="D5" s="12" t="str">
        <x:v>Match + meal; ticket-holder offers; family bundles</x:v>
      </x:c>
      <x:c r="E5" s="12" t="n">
        <x:v>90</x:v>
      </x:c>
      <x:c r="F5" s="12" t="n">
        <x:v>75</x:v>
      </x:c>
      <x:c r="G5" s="12" t="n">
        <x:v>80</x:v>
      </x:c>
      <x:c r="H5" s="12" t="str">
        <x:v>VERY HIGH</x:v>
      </x:c>
      <x:c r="I5" s="12" t="str">
        <x:v>Offer redemption tied to ticket code</x:v>
      </x:c>
      <x:c r="J5" s="12" t="str">
        <x:v>Margin / operational complexity</x:v>
      </x:c>
      <x:c r="K5" s="12" t="str">
        <x:v>PROSPECT</x:v>
      </x:c>
    </x:row>
    <x:row r="6">
      <x:c r="A6" s="12" t="str">
        <x:v>Leisure / fitness</x:v>
      </x:c>
      <x:c r="B6" s="12" t="str">
        <x:v>Pavilion, gyms, bowling, climbing / activity culture</x:v>
      </x:c>
      <x:c r="C6" s="12" t="str">
        <x:v>Active adults, parents, children</x:v>
      </x:c>
      <x:c r="D6" s="12" t="str">
        <x:v>Football + activity challenges; junior rewards; member ticket offers</x:v>
      </x:c>
      <x:c r="E6" s="12" t="n">
        <x:v>90</x:v>
      </x:c>
      <x:c r="F6" s="12" t="n">
        <x:v>85</x:v>
      </x:c>
      <x:c r="G6" s="12" t="n">
        <x:v>85</x:v>
      </x:c>
      <x:c r="H6" s="12" t="str">
        <x:v>VERY HIGH</x:v>
      </x:c>
      <x:c r="I6" s="12" t="str">
        <x:v>Member database campaign + family fixture</x:v>
      </x:c>
      <x:c r="J6" s="12" t="str">
        <x:v>Audience duplication / data permissions</x:v>
      </x:c>
      <x:c r="K6" s="12" t="str">
        <x:v>PROSPECT</x:v>
      </x:c>
    </x:row>
    <x:row r="7">
      <x:c r="A7" s="12" t="str">
        <x:v>Schools / education</x:v>
      </x:c>
      <x:c r="B7" s="12" t="str">
        <x:v>Floral Fest involved 30 schools; strong family concentration</x:v>
      </x:c>
      <x:c r="C7" s="12" t="str">
        <x:v>Children, parents, teachers</x:v>
      </x:c>
      <x:c r="D7" s="12" t="str">
        <x:v>School ticket packs + girls-football clinics + attendance challenge</x:v>
      </x:c>
      <x:c r="E7" s="12" t="n">
        <x:v>100</x:v>
      </x:c>
      <x:c r="F7" s="12" t="n">
        <x:v>55</x:v>
      </x:c>
      <x:c r="G7" s="12" t="n">
        <x:v>95</x:v>
      </x:c>
      <x:c r="H7" s="12" t="str">
        <x:v>VERY HIGH</x:v>
      </x:c>
      <x:c r="I7" s="12" t="str">
        <x:v>One school relationship → dozens/hundreds of families</x:v>
      </x:c>
      <x:c r="J7" s="12" t="str">
        <x:v>Safeguarding / school approval cycles</x:v>
      </x:c>
      <x:c r="K7" s="12" t="str">
        <x:v>PROSPECT</x:v>
      </x:c>
    </x:row>
    <x:row r="8">
      <x:c r="A8" s="12" t="str">
        <x:v>Transport / mobility</x:v>
      </x:c>
      <x:c r="B8" s="12" t="str">
        <x:v>Bromley South &gt;6.1m annual entries/exits</x:v>
      </x:c>
      <x:c r="C8" s="12" t="str">
        <x:v>Commuters, inbound fans, families</x:v>
      </x:c>
      <x:c r="D8" s="12" t="str">
        <x:v>Travel messaging; ticket + mobility reward; station media</x:v>
      </x:c>
      <x:c r="E8" s="12" t="n">
        <x:v>80</x:v>
      </x:c>
      <x:c r="F8" s="12" t="n">
        <x:v>90</x:v>
      </x:c>
      <x:c r="G8" s="12" t="n">
        <x:v>75</x:v>
      </x:c>
      <x:c r="H8" s="12" t="str">
        <x:v>HIGH</x:v>
      </x:c>
      <x:c r="I8" s="12" t="str">
        <x:v>Fixture-week travel partnership</x:v>
      </x:c>
      <x:c r="J8" s="12" t="str">
        <x:v>Harder commercial access / procurement</x:v>
      </x:c>
      <x:c r="K8" s="12" t="str">
        <x:v>EXPLORE</x:v>
      </x:c>
    </x:row>
    <x:row r="9">
      <x:c r="A9" s="12" t="str">
        <x:v>Health / wellbeing</x:v>
      </x:c>
      <x:c r="B9" s="12" t="str">
        <x:v>66.8% adult physical activity; family wellbeing infrastructure</x:v>
      </x:c>
      <x:c r="C9" s="12" t="str">
        <x:v>Women, families, active adults</x:v>
      </x:c>
      <x:c r="D9" s="12" t="str">
        <x:v>Women’s health + football participation campaign</x:v>
      </x:c>
      <x:c r="E9" s="12" t="n">
        <x:v>80</x:v>
      </x:c>
      <x:c r="F9" s="12" t="n">
        <x:v>90</x:v>
      </x:c>
      <x:c r="G9" s="12" t="n">
        <x:v>75</x:v>
      </x:c>
      <x:c r="H9" s="12" t="str">
        <x:v>HIGH</x:v>
      </x:c>
      <x:c r="I9" s="12" t="str">
        <x:v>Community impact + matchday activation</x:v>
      </x:c>
      <x:c r="J9" s="12" t="str">
        <x:v>Must avoid vague ESG claims</x:v>
      </x:c>
      <x:c r="K9" s="12" t="str">
        <x:v>PROSPECT</x:v>
      </x:c>
    </x:row>
    <x:row r="10">
      <x:c r="A10" s="12" t="str">
        <x:v>Family services</x:v>
      </x:c>
      <x:c r="B10" s="12" t="str">
        <x:v>Large dependent-child household base</x:v>
      </x:c>
      <x:c r="C10" s="12" t="str">
        <x:v>Parents + children</x:v>
      </x:c>
      <x:c r="D10" s="12" t="str">
        <x:v>Family-area benefits / childcare-adjacent rewards</x:v>
      </x:c>
      <x:c r="E10" s="12" t="n">
        <x:v>85</x:v>
      </x:c>
      <x:c r="F10" s="12" t="n">
        <x:v>65</x:v>
      </x:c>
      <x:c r="G10" s="12" t="n">
        <x:v>80</x:v>
      </x:c>
      <x:c r="H10" s="12" t="str">
        <x:v>HIGH</x:v>
      </x:c>
      <x:c r="I10" s="12" t="str">
        <x:v>CRM distribution + family-ticket benefit</x:v>
      </x:c>
      <x:c r="J10" s="12" t="str">
        <x:v>Fragmented category</x:v>
      </x:c>
      <x:c r="K10" s="12" t="str">
        <x:v>PROSPECT</x:v>
      </x:c>
    </x:row>
    <x:row r="11">
      <x:c r="A11" s="12" t="str">
        <x:v>Property / finance / professional services</x:v>
      </x:c>
      <x:c r="B11" s="12" t="str">
        <x:v>Large suburban household economy and town-centre business network</x:v>
      </x:c>
      <x:c r="C11" s="12" t="str">
        <x:v>Adults, homeowners, local SMEs</x:v>
      </x:c>
      <x:c r="D11" s="12" t="str">
        <x:v>Local-business hospitality + community investment</x:v>
      </x:c>
      <x:c r="E11" s="12" t="n">
        <x:v>55</x:v>
      </x:c>
      <x:c r="F11" s="12" t="n">
        <x:v>85</x:v>
      </x:c>
      <x:c r="G11" s="12" t="n">
        <x:v>50</x:v>
      </x:c>
      <x:c r="H11" s="12" t="str">
        <x:v>MED-HIGH</x:v>
      </x:c>
      <x:c r="I11" s="12" t="str">
        <x:v>Sponsor package + B2B network access</x:v>
      </x:c>
      <x:c r="J11" s="12" t="str">
        <x:v>Lower natural fan relevance</x:v>
      </x:c>
      <x:c r="K11" s="12" t="str">
        <x:v>PROSPECT</x:v>
      </x:c>
    </x:row>
    <x:row r="12">
      <x:c r="A12" s="12" t="str">
        <x:v>Automotive / insurance</x:v>
      </x:c>
      <x:c r="B12" s="12" t="str">
        <x:v>Motor Show is proven regional event</x:v>
      </x:c>
      <x:c r="C12" s="12" t="str">
        <x:v>Families, households, regional commuters</x:v>
      </x:c>
      <x:c r="D12" s="12" t="str">
        <x:v>Mobility/parking/travel content + pre-season activation</x:v>
      </x:c>
      <x:c r="E12" s="12" t="n">
        <x:v>65</x:v>
      </x:c>
      <x:c r="F12" s="12" t="n">
        <x:v>90</x:v>
      </x:c>
      <x:c r="G12" s="12" t="n">
        <x:v>65</x:v>
      </x:c>
      <x:c r="H12" s="12" t="str">
        <x:v>HIGH</x:v>
      </x:c>
      <x:c r="I12" s="12" t="str">
        <x:v>Motor Show + club co-activation</x:v>
      </x:c>
      <x:c r="J12" s="12" t="str">
        <x:v>May skew less female/family unless creative is right</x:v>
      </x:c>
      <x:c r="K12" s="12" t="str">
        <x:v>EXPLORE</x:v>
      </x:c>
    </x:row>
  </x:sheetData>
  <x:mergeCells>
    <x:mergeCell ref="A1:K1"/>
  </x:mergeCells>
  <x:conditionalFormatting sqref="E4:G12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36" hidden="0" customWidth="1"/>
    <x:col min="4" max="4" width="36" hidden="0" customWidth="1"/>
    <x:col min="5" max="5" width="32" hidden="0" customWidth="1"/>
    <x:col min="6" max="6" width="42" hidden="0" customWidth="1"/>
    <x:col min="7" max="7" width="38" hidden="0" customWidth="1"/>
    <x:col min="8" max="8" width="44" hidden="0" customWidth="1"/>
    <x:col min="9" max="9" width="16" hidden="0" customWidth="1"/>
    <x:col min="10" max="10" width="14" hidden="0" customWidth="1"/>
  </x:cols>
  <x:sheetData>
    <x:row r="1">
      <x:c r="A1" s="151" t="str">
        <x:v>Local Acquisition Plays — From Market Data to Action</x:v>
      </x:c>
    </x:row>
    <x:row r="3">
      <x:c r="A3" s="163" t="str">
        <x:v>Play</x:v>
      </x:c>
      <x:c r="B3" s="163" t="str">
        <x:v>Trigger</x:v>
      </x:c>
      <x:c r="C3" s="163" t="str">
        <x:v>Channel</x:v>
      </x:c>
      <x:c r="D3" s="163" t="str">
        <x:v>Audience</x:v>
      </x:c>
      <x:c r="E3" s="163" t="str">
        <x:v>Offer</x:v>
      </x:c>
      <x:c r="F3" s="163" t="str">
        <x:v>Message concept</x:v>
      </x:c>
      <x:c r="G3" s="163" t="str">
        <x:v>Measurement</x:v>
      </x:c>
      <x:c r="H3" s="163" t="str">
        <x:v>Expected learning</x:v>
      </x:c>
      <x:c r="I3" s="163" t="str">
        <x:v>Priority</x:v>
      </x:c>
      <x:c r="J3" s="163" t="str">
        <x:v>Status</x:v>
      </x:c>
    </x:row>
    <x:row r="4">
      <x:c r="A4" s="12" t="str">
        <x:v>Town-centre → Hayes Lane</x:v>
      </x:c>
      <x:c r="B4" s="12" t="str">
        <x:v>High Calendar Whitespace + weekend footfall event</x:v>
      </x:c>
      <x:c r="C4" s="12" t="str">
        <x:v>Your Bromley event + High Street QR + retargeting</x:v>
      </x:c>
      <x:c r="D4" s="12" t="str">
        <x:v>Families already in Bromley leisure mode</x:v>
      </x:c>
      <x:c r="E4" s="12" t="str">
        <x:v>First-timer family ticket / 3-Match Pass</x:v>
      </x:c>
      <x:c r="F4" s="12" t="str">
        <x:v>Make Sunday your next Bromley day out</x:v>
      </x:c>
      <x:c r="G4" s="12" t="str">
        <x:v>QR scans → ticket purchase → second purchase</x:v>
      </x:c>
      <x:c r="H4" s="12" t="str">
        <x:v>Can town-centre leisure audiences convert to football habit?</x:v>
      </x:c>
      <x:c r="I4" s="12" t="str">
        <x:v>VERY HIGH</x:v>
      </x:c>
      <x:c r="J4" s="12" t="str">
        <x:v>TEST</x:v>
      </x:c>
    </x:row>
    <x:row r="5">
      <x:c r="A5" s="12" t="str">
        <x:v>The Glades fixture burst</x:v>
      </x:c>
      <x:c r="B5" s="12" t="str">
        <x:v>Opportunity fixture within 7–10 days</x:v>
      </x:c>
      <x:c r="C5" s="12" t="str">
        <x:v>Mall digital 6-sheets + lift doors + geo-retargeting</x:v>
      </x:c>
      <x:c r="D5" s="12" t="str">
        <x:v>Retail/family shoppers</x:v>
      </x:c>
      <x:c r="E5" s="12" t="str">
        <x:v>Fixture-specific code</x:v>
      </x:c>
      <x:c r="F5" s="12" t="str">
        <x:v>Elite women’s football, minutes away</x:v>
      </x:c>
      <x:c r="G5" s="12" t="str">
        <x:v>Incremental code sales vs control period</x:v>
      </x:c>
      <x:c r="H5" s="12" t="str">
        <x:v>Does physical local media outperform generic paid social?</x:v>
      </x:c>
      <x:c r="I5" s="12" t="str">
        <x:v>HIGH</x:v>
      </x:c>
      <x:c r="J5" s="12" t="str">
        <x:v>TEST</x:v>
      </x:c>
    </x:row>
    <x:row r="6">
      <x:c r="A6" s="12" t="str">
        <x:v>Match + Meal</x:v>
      </x:c>
      <x:c r="B6" s="12" t="str">
        <x:v>Restaurant Week / participating hospitality cluster</x:v>
      </x:c>
      <x:c r="C6" s="12" t="str">
        <x:v>Restaurant partners + club CRM</x:v>
      </x:c>
      <x:c r="D6" s="12" t="str">
        <x:v>Families/couples/groups</x:v>
      </x:c>
      <x:c r="E6" s="12" t="str">
        <x:v>Ticket-holder restaurant offer or paired bundle</x:v>
      </x:c>
      <x:c r="F6" s="12" t="str">
        <x:v>Football + food = the Sunday plan</x:v>
      </x:c>
      <x:c r="G6" s="12" t="str">
        <x:v>Offer redemption + tickets + basket size</x:v>
      </x:c>
      <x:c r="H6" s="12" t="str">
        <x:v>Does bundling increase perceived value without ticket discount?</x:v>
      </x:c>
      <x:c r="I6" s="12" t="str">
        <x:v>VERY HIGH</x:v>
      </x:c>
      <x:c r="J6" s="12" t="str">
        <x:v>TEST</x:v>
      </x:c>
    </x:row>
    <x:row r="7">
      <x:c r="A7" s="12" t="str">
        <x:v>Leisure member conversion</x:v>
      </x:c>
      <x:c r="B7" s="12" t="str">
        <x:v>Pavilion / gym / family leisure partner</x:v>
      </x:c>
      <x:c r="C7" s="12" t="str">
        <x:v>Partner database + onsite activation</x:v>
      </x:c>
      <x:c r="D7" s="12" t="str">
        <x:v>Active families and women</x:v>
      </x:c>
      <x:c r="E7" s="12" t="str">
        <x:v>Member-only family ticket / first-timer credit</x:v>
      </x:c>
      <x:c r="F7" s="12" t="str">
        <x:v>Turn your active weekend into matchday</x:v>
      </x:c>
      <x:c r="G7" s="12" t="str">
        <x:v>New buyers + repeat rate</x:v>
      </x:c>
      <x:c r="H7" s="12" t="str">
        <x:v>Does sport participation predict spectator conversion locally?</x:v>
      </x:c>
      <x:c r="I7" s="12" t="str">
        <x:v>HIGH</x:v>
      </x:c>
      <x:c r="J7" s="12" t="str">
        <x:v>TEST</x:v>
      </x:c>
    </x:row>
    <x:row r="8">
      <x:c r="A8" s="12" t="str">
        <x:v>School network acquisition</x:v>
      </x:c>
      <x:c r="B8" s="12" t="str">
        <x:v>School/community event or girls-football cluster</x:v>
      </x:c>
      <x:c r="C8" s="12" t="str">
        <x:v>Schools + grassroots organisations</x:v>
      </x:c>
      <x:c r="D8" s="12" t="str">
        <x:v>Parents, girls, siblings</x:v>
      </x:c>
      <x:c r="E8" s="12" t="str">
        <x:v>School/club group pack</x:v>
      </x:c>
      <x:c r="F8" s="12" t="str">
        <x:v>Your team’s Sunday at Hayes Lane</x:v>
      </x:c>
      <x:c r="G8" s="12" t="str">
        <x:v>Tickets per organisation + repeat households</x:v>
      </x:c>
      <x:c r="H8" s="12" t="str">
        <x:v>How powerful is organisation-led distribution?</x:v>
      </x:c>
      <x:c r="I8" s="12" t="str">
        <x:v>VERY HIGH</x:v>
      </x:c>
      <x:c r="J8" s="12" t="str">
        <x:v>TEST</x:v>
      </x:c>
    </x:row>
    <x:row r="9">
      <x:c r="A9" s="12" t="str">
        <x:v>Station corridor</x:v>
      </x:c>
      <x:c r="B9" s="12" t="str">
        <x:v>High fixture appeal + low weather risk</x:v>
      </x:c>
      <x:c r="C9" s="12" t="str">
        <x:v>Bromley South / route-to-ground media + travel content</x:v>
      </x:c>
      <x:c r="D9" s="12" t="str">
        <x:v>Inbound and local rail users</x:v>
      </x:c>
      <x:c r="E9" s="12" t="str">
        <x:v>Single ticket / simple travel CTA</x:v>
      </x:c>
      <x:c r="F9" s="12" t="str">
        <x:v>From train to women’s football in minutes</x:v>
      </x:c>
      <x:c r="G9" s="12" t="str">
        <x:v>Landing-page traffic + sales by postcode</x:v>
      </x:c>
      <x:c r="H9" s="12" t="str">
        <x:v>Does reducing perceived travel friction increase conversion?</x:v>
      </x:c>
      <x:c r="I9" s="12" t="str">
        <x:v>MED-HIGH</x:v>
      </x:c>
      <x:c r="J9" s="12" t="str">
        <x:v>EXPLORE</x:v>
      </x:c>
    </x:row>
  </x:sheetData>
  <x:mergeCells>
    <x:mergeCell ref="A1:J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12" hidden="0" customWidth="1"/>
    <x:col min="4" max="4" width="12" hidden="0" customWidth="1"/>
    <x:col min="5" max="5" width="40" hidden="0" customWidth="1"/>
    <x:col min="6" max="6" width="32" hidden="0" customWidth="1"/>
    <x:col min="7" max="7" width="46" hidden="0" customWidth="1"/>
    <x:col min="8" max="8" width="58" hidden="0" customWidth="1"/>
    <x:col min="9" max="9" width="16" hidden="0" customWidth="1"/>
    <x:col min="10" max="10" width="18" hidden="0" customWidth="1"/>
    <x:col min="11" max="11" width="18" hidden="0" customWidth="1"/>
    <x:col min="12" max="12" width="14" hidden="0" customWidth="1"/>
    <x:col min="13" max="13" width="24" hidden="0" customWidth="1"/>
    <x:col min="14" max="14" width="56" hidden="0" customWidth="1"/>
    <x:col min="15" max="15" width="16" hidden="0" customWidth="1"/>
    <x:col min="16" max="16" width="58" hidden="0" customWidth="1"/>
    <x:col min="17" max="17" width="24" hidden="0" customWidth="1"/>
  </x:cols>
  <x:sheetData>
    <x:row r="1">
      <x:c r="A1" s="165" t="str">
        <x:v>Matchday Attention Competition — 2026/27</x:v>
      </x:c>
    </x:row>
    <x:row r="2">
      <x:c r="A2" s="79" t="str">
        <x:v>What else is competing for a family's time, spend and screen attention when London City plays at home?</x:v>
      </x:c>
    </x:row>
    <x:row r="4">
      <x:c r="A4" s="168" t="str">
        <x:v>Date</x:v>
      </x:c>
      <x:c r="B4" s="168" t="str">
        <x:v>London City fixture</x:v>
      </x:c>
      <x:c r="C4" s="168" t="str">
        <x:v>KO</x:v>
      </x:c>
      <x:c r="D4" s="168" t="str">
        <x:v>Day</x:v>
      </x:c>
      <x:c r="E4" s="168" t="str">
        <x:v>Local events / leisure</x:v>
      </x:c>
      <x:c r="F4" s="168" t="str">
        <x:v>National / cultural occasion</x:v>
      </x:c>
      <x:c r="G4" s="168" t="str">
        <x:v>Other sport in London / UK</x:v>
      </x:c>
      <x:c r="H4" s="168" t="str">
        <x:v>Major TV / screen competition</x:v>
      </x:c>
      <x:c r="I4" s="168" t="str">
        <x:v>Direct time overlap</x:v>
      </x:c>
      <x:c r="J4" s="168" t="str">
        <x:v>Attention pressure</x:v>
      </x:c>
      <x:c r="K4" s="168" t="str">
        <x:v>Family-time pressure</x:v>
      </x:c>
      <x:c r="L4" s="168" t="str">
        <x:v>TV pressure</x:v>
      </x:c>
      <x:c r="M4" s="168" t="str">
        <x:v>Opportunity / threat</x:v>
      </x:c>
      <x:c r="N4" s="168" t="str">
        <x:v>Recommended response</x:v>
      </x:c>
      <x:c r="O4" s="168" t="str">
        <x:v>Confidence</x:v>
      </x:c>
      <x:c r="P4" s="168" t="str">
        <x:v>Sources</x:v>
      </x:c>
      <x:c r="Q4" s="168" t="str">
        <x:v>Review status</x:v>
      </x:c>
    </x:row>
    <x:row r="5">
      <x:c r="A5" s="12" t="str">
        <x:v>2026-09-04</x:v>
      </x:c>
      <x:c r="B5" s="12" t="str">
        <x:v>London City v Manchester United</x:v>
      </x:c>
      <x:c r="C5" s="12" t="str">
        <x:v>19:00</x:v>
      </x:c>
      <x:c r="D5" s="12" t="str">
        <x:v>Friday</x:v>
      </x:c>
      <x:c r="E5" s="12" t="str">
        <x:v>No major Bromley event verified for exact evening</x:v>
      </x:c>
      <x:c r="F5" s="12" t="str">
        <x:v>Normal working/school Friday</x:v>
      </x:c>
      <x:c r="G5" s="12" t="str">
        <x:v>Opening weekend sports inventory; no larger local event verified</x:v>
      </x:c>
      <x:c r="H5" s="12" t="str">
        <x:v>Friday evening general entertainment / TV competition; no singular verified national clash</x:v>
      </x:c>
      <x:c r="I5" s="12" t="str">
        <x:v>LOW-MED</x:v>
      </x:c>
      <x:c r="J5" s="12" t="n">
        <x:v>40</x:v>
      </x:c>
      <x:c r="K5" s="12" t="n">
        <x:v>35</x:v>
      </x:c>
      <x:c r="L5" s="12" t="n">
        <x:v>40</x:v>
      </x:c>
      <x:c r="M5" s="12" t="str">
        <x:v>EVENT NIGHT</x:v>
      </x:c>
      <x:c r="N5" s="12" t="str">
        <x:v>Sell opening-night occasion and star power; family acquisition less important than event demand.</x:v>
      </x:c>
      <x:c r="O5" s="12" t="str">
        <x:v>MEDIUM</x:v>
      </x:c>
      <x:c r="P5" s="12" t="str">
        <x:v>London City fixtures + local event search</x:v>
      </x:c>
      <x:c r="Q5" s="12" t="str">
        <x:v>REVIEW 7 DAYS OUT</x:v>
      </x:c>
    </x:row>
    <x:row r="6">
      <x:c r="A6" s="12" t="str">
        <x:v>2026-09-26</x:v>
      </x:c>
      <x:c r="B6" s="12" t="str">
        <x:v>London City v Brighton</x:v>
      </x:c>
      <x:c r="C6" s="12" t="str">
        <x:v>17:00</x:v>
      </x:c>
      <x:c r="D6" s="12" t="str">
        <x:v>Saturday</x:v>
      </x:c>
      <x:c r="E6" s="12" t="str">
        <x:v>Restaurant Week ends 20 Sep, so no direct BID-event overlap verified</x:v>
      </x:c>
      <x:c r="F6" s="12" t="str">
        <x:v>Normal Saturday</x:v>
      </x:c>
      <x:c r="G6" s="12" t="str">
        <x:v>England men's Nations League: England v Spain at Wembley, 19:45</x:v>
      </x:c>
      <x:c r="H6" s="12" t="str">
        <x:v>England v Spain is a high-consumption national TV event starting &lt;1 hour after expected final whistle</x:v>
      </x:c>
      <x:c r="I6" s="12" t="str">
        <x:v>HIGH</x:v>
      </x:c>
      <x:c r="J6" s="12" t="n">
        <x:v>75</x:v>
      </x:c>
      <x:c r="K6" s="12" t="n">
        <x:v>60</x:v>
      </x:c>
      <x:c r="L6" s="12" t="n">
        <x:v>90</x:v>
      </x:c>
      <x:c r="M6" s="12" t="str">
        <x:v>THREAT + PRE-EVENT</x:v>
      </x:c>
      <x:c r="N6" s="12" t="str">
        <x:v>Kick off acquisition earlier; position as the live football part of a two-match day. Make travel home simple for England TV.</x:v>
      </x:c>
      <x:c r="O6" s="12" t="str">
        <x:v>HIGH</x:v>
      </x:c>
      <x:c r="P6" s="12" t="str">
        <x:v>England Football; London City calendar</x:v>
      </x:c>
      <x:c r="Q6" s="12" t="str">
        <x:v>LOCKED / MONITOR BROADCAST</x:v>
      </x:c>
    </x:row>
    <x:row r="7">
      <x:c r="A7" s="12" t="str">
        <x:v>2026-10-18</x:v>
      </x:c>
      <x:c r="B7" s="12" t="str">
        <x:v>London City v Everton</x:v>
      </x:c>
      <x:c r="C7" s="12" t="str">
        <x:v>15:00</x:v>
      </x:c>
      <x:c r="D7" s="12" t="str">
        <x:v>Sunday</x:v>
      </x:c>
      <x:c r="E7" s="12" t="str">
        <x:v>Bromley Lates is an October campaign but exact date not verified as this Sunday</x:v>
      </x:c>
      <x:c r="F7" s="12" t="str">
        <x:v>Normal Sunday</x:v>
      </x:c>
      <x:c r="G7" s="12" t="str">
        <x:v>NFL London: Jaguars v Texans at Wembley, 14:30</x:v>
      </x:c>
      <x:c r="H7" s="12" t="str">
        <x:v>Premier League on Sky: Bournemouth-Sunderland, Brighton-Palace, Leeds-Man Utd at 14:00; Forest-Arsenal 16:30</x:v>
      </x:c>
      <x:c r="I7" s="12" t="str">
        <x:v>VERY HIGH</x:v>
      </x:c>
      <x:c r="J7" s="12" t="n">
        <x:v>98</x:v>
      </x:c>
      <x:c r="K7" s="12" t="n">
        <x:v>85</x:v>
      </x:c>
      <x:c r="L7" s="12" t="n">
        <x:v>100</x:v>
      </x:c>
      <x:c r="M7" s="12" t="str">
        <x:v>AVOID BROAD CONQUEST</x:v>
      </x:c>
      <x:c r="N7" s="12" t="str">
        <x:v>Concentrate on core Bromley CRM/partners. Do not overspend on casual sports audiences; competing live + TV inventory is exceptional.</x:v>
      </x:c>
      <x:c r="O7" s="12" t="str">
        <x:v>VERY HIGH</x:v>
      </x:c>
      <x:c r="P7" s="12" t="str">
        <x:v>NFL.com/Wembley; Premier League official</x:v>
      </x:c>
      <x:c r="Q7" s="12" t="str">
        <x:v>LOCKED</x:v>
      </x:c>
    </x:row>
    <x:row r="8">
      <x:c r="A8" s="12" t="str">
        <x:v>2026-11-01</x:v>
      </x:c>
      <x:c r="B8" s="12" t="str">
        <x:v>London City v Manchester City</x:v>
      </x:c>
      <x:c r="C8" s="12" t="str">
        <x:v>15:00</x:v>
      </x:c>
      <x:c r="D8" s="12" t="str">
        <x:v>Sunday</x:v>
      </x:c>
      <x:c r="E8" s="12" t="str">
        <x:v>No major Bromley town-centre event verified exact day</x:v>
      </x:c>
      <x:c r="F8" s="12" t="str">
        <x:v>Normal Sunday</x:v>
      </x:c>
      <x:c r="G8" s="12" t="str">
        <x:v>Premier League Sunday schedule</x:v>
      </x:c>
      <x:c r="H8" s="12" t="str">
        <x:v>Aston Villa-Fulham 14:00 and Liverpool-Arsenal 16:30 live on Sky</x:v>
      </x:c>
      <x:c r="I8" s="12" t="str">
        <x:v>HIGH</x:v>
      </x:c>
      <x:c r="J8" s="12" t="n">
        <x:v>82</x:v>
      </x:c>
      <x:c r="K8" s="12" t="n">
        <x:v>60</x:v>
      </x:c>
      <x:c r="L8" s="12" t="n">
        <x:v>95</x:v>
      </x:c>
      <x:c r="M8" s="12" t="str">
        <x:v>SELECTIVE ATTACK</x:v>
      </x:c>
      <x:c r="N8" s="12" t="str">
        <x:v>Use Man City opponent appeal; target families less driven by men's PL. Avoid assuming all football audience is available.</x:v>
      </x:c>
      <x:c r="O8" s="12" t="str">
        <x:v>VERY HIGH</x:v>
      </x:c>
      <x:c r="P8" s="12" t="str">
        <x:v>Premier League official</x:v>
      </x:c>
      <x:c r="Q8" s="12" t="str">
        <x:v>LOCKED</x:v>
      </x:c>
    </x:row>
    <x:row r="9">
      <x:c r="A9" s="12" t="str">
        <x:v>2026-11-07</x:v>
      </x:c>
      <x:c r="B9" s="12" t="str">
        <x:v>London City v Birmingham City</x:v>
      </x:c>
      <x:c r="C9" s="12" t="str">
        <x:v>13:00</x:v>
      </x:c>
      <x:c r="D9" s="12" t="str">
        <x:v>Saturday</x:v>
      </x:c>
      <x:c r="E9" s="12" t="str">
        <x:v>No major Bromley event verified exact day</x:v>
      </x:c>
      <x:c r="F9" s="12" t="str">
        <x:v>Normal Saturday</x:v>
      </x:c>
      <x:c r="G9" s="12" t="str">
        <x:v>FA Cup First Round Proper weekend; Premier League slate includes Crystal Palace v Liverpool</x:v>
      </x:c>
      <x:c r="H9" s="12" t="str">
        <x:v>Men's football inventory is high, though exact PL broadcast kick-offs remain subject to selection</x:v>
      </x:c>
      <x:c r="I9" s="12" t="str">
        <x:v>MED-HIGH</x:v>
      </x:c>
      <x:c r="J9" s="12" t="n">
        <x:v>68</x:v>
      </x:c>
      <x:c r="K9" s="12" t="n">
        <x:v>55</x:v>
      </x:c>
      <x:c r="L9" s="12" t="n">
        <x:v>75</x:v>
      </x:c>
      <x:c r="M9" s="12" t="str">
        <x:v>EARLY-KO ADVANTAGE</x:v>
      </x:c>
      <x:c r="N9" s="12" t="str">
        <x:v>Use 13:00 as advantage: 'football before the football'. Cross-sell an early family day rather than compete head-on later.</x:v>
      </x:c>
      <x:c r="O9" s="12" t="str">
        <x:v>HIGH</x:v>
      </x:c>
      <x:c r="P9" s="12" t="str">
        <x:v>FA official round dates; Premier League official fixtures</x:v>
      </x:c>
      <x:c r="Q9" s="12" t="str">
        <x:v>MONITOR TV SELECTIONS</x:v>
      </x:c>
    </x:row>
    <x:row r="10">
      <x:c r="A10" s="12" t="str">
        <x:v>2026-11-22</x:v>
      </x:c>
      <x:c r="B10" s="12" t="str">
        <x:v>London City v Crystal Palace</x:v>
      </x:c>
      <x:c r="C10" s="12" t="str">
        <x:v>15:00</x:v>
      </x:c>
      <x:c r="D10" s="12" t="str">
        <x:v>Sunday</x:v>
      </x:c>
      <x:c r="E10" s="12" t="str">
        <x:v>Christmas Switch-On is 28 Nov, not this date</x:v>
      </x:c>
      <x:c r="F10" s="12" t="str">
        <x:v>Normal Sunday</x:v>
      </x:c>
      <x:c r="G10" s="12" t="str">
        <x:v>Direct local WSL derby itself is the primary sports occasion</x:v>
      </x:c>
      <x:c r="H10" s="12" t="str">
        <x:v>No singular national TV conflict verified yet; men's PL weekend fixture movements still possible</x:v>
      </x:c>
      <x:c r="I10" s="12" t="str">
        <x:v>MEDIUM</x:v>
      </x:c>
      <x:c r="J10" s="12" t="n">
        <x:v>55</x:v>
      </x:c>
      <x:c r="K10" s="12" t="n">
        <x:v>55</x:v>
      </x:c>
      <x:c r="L10" s="12" t="n">
        <x:v>55</x:v>
      </x:c>
      <x:c r="M10" s="12" t="str">
        <x:v>DERBY EVENT</x:v>
      </x:c>
      <x:c r="N10" s="12" t="str">
        <x:v>Treat competition as content: South London derby. Maximise neutrals, groups and occasion rather than 'alternative Sunday' messaging.</x:v>
      </x:c>
      <x:c r="O10" s="12" t="str">
        <x:v>MEDIUM</x:v>
      </x:c>
      <x:c r="P10" s="12" t="str">
        <x:v>London City/Palace schedules; Premier League fixture-release caveat</x:v>
      </x:c>
      <x:c r="Q10" s="12" t="str">
        <x:v>REVIEW 6 WEEKS OUT</x:v>
      </x:c>
    </x:row>
    <x:row r="11">
      <x:c r="A11" s="12" t="str">
        <x:v>2027-01-10</x:v>
      </x:c>
      <x:c r="B11" s="12" t="str">
        <x:v>London City v West Ham</x:v>
      </x:c>
      <x:c r="C11" s="12" t="str">
        <x:v>15:00</x:v>
      </x:c>
      <x:c r="D11" s="12" t="str">
        <x:v>Sunday</x:v>
      </x:c>
      <x:c r="E11" s="12" t="str">
        <x:v>Post-Christmas leisure period</x:v>
      </x:c>
      <x:c r="F11" s="12" t="str">
        <x:v>New Year / school-return period</x:v>
      </x:c>
      <x:c r="G11" s="12" t="str">
        <x:v>FA Cup Third Round weekend (round centred on Sat 9 Jan); Sunday ties likely possible</x:v>
      </x:c>
      <x:c r="H11" s="12" t="str">
        <x:v>FA Cup third-round TV traditionally draws high football attention; exact Sunday ties not yet known</x:v>
      </x:c>
      <x:c r="I11" s="12" t="str">
        <x:v>MED-HIGH</x:v>
      </x:c>
      <x:c r="J11" s="12" t="n">
        <x:v>70</x:v>
      </x:c>
      <x:c r="K11" s="12" t="n">
        <x:v>55</x:v>
      </x:c>
      <x:c r="L11" s="12" t="n">
        <x:v>80</x:v>
      </x:c>
      <x:c r="M11" s="12" t="str">
        <x:v>CORE / MONITOR</x:v>
      </x:c>
      <x:c r="N11" s="12" t="str">
        <x:v>Keep spend flexible until FA Cup TV ties are known; focus family value and local partners.</x:v>
      </x:c>
      <x:c r="O11" s="12" t="str">
        <x:v>HIGH</x:v>
      </x:c>
      <x:c r="P11" s="12" t="str">
        <x:v>FA official round dates</x:v>
      </x:c>
      <x:c r="Q11" s="12" t="str">
        <x:v>MONITOR FA DRAW/TV</x:v>
      </x:c>
    </x:row>
    <x:row r="12">
      <x:c r="A12" s="12" t="str">
        <x:v>2027-01-24</x:v>
      </x:c>
      <x:c r="B12" s="12" t="str">
        <x:v>London City v Arsenal</x:v>
      </x:c>
      <x:c r="C12" s="12" t="str">
        <x:v>15:00</x:v>
      </x:c>
      <x:c r="D12" s="12" t="str">
        <x:v>Sunday</x:v>
      </x:c>
      <x:c r="E12" s="12" t="str">
        <x:v>London Short Film Festival runs 22–31 Jan; Burns Night next day</x:v>
      </x:c>
      <x:c r="F12" s="12" t="str">
        <x:v>No major public holiday</x:v>
      </x:c>
      <x:c r="G12" s="12" t="str">
        <x:v>Premier League weekend; exact Sunday broadcast selections not yet confirmed</x:v>
      </x:c>
      <x:c r="H12" s="12" t="str">
        <x:v>Potential Premier League Super Sunday competition; exact games TBC</x:v>
      </x:c>
      <x:c r="I12" s="12" t="str">
        <x:v>MEDIUM</x:v>
      </x:c>
      <x:c r="J12" s="12" t="n">
        <x:v>58</x:v>
      </x:c>
      <x:c r="K12" s="12" t="n">
        <x:v>50</x:v>
      </x:c>
      <x:c r="L12" s="12" t="n">
        <x:v>65</x:v>
      </x:c>
      <x:c r="M12" s="12" t="str">
        <x:v>PREMIUM FIXTURE</x:v>
      </x:c>
      <x:c r="N12" s="12" t="str">
        <x:v>Arsenal appeal should withstand moderate external noise. Use scarcity, proximity and premium opponent rather than discount.</x:v>
      </x:c>
      <x:c r="O12" s="12" t="str">
        <x:v>MEDIUM</x:v>
      </x:c>
      <x:c r="P12" s="12" t="str">
        <x:v>Visit London; Premier League release timetable</x:v>
      </x:c>
      <x:c r="Q12" s="12" t="str">
        <x:v>REVIEW TV SELECTION</x:v>
      </x:c>
    </x:row>
    <x:row r="13">
      <x:c r="A13" s="12" t="str">
        <x:v>2027-02-14</x:v>
      </x:c>
      <x:c r="B13" s="12" t="str">
        <x:v>London City v Chelsea</x:v>
      </x:c>
      <x:c r="C13" s="12" t="str">
        <x:v>15:00</x:v>
      </x:c>
      <x:c r="D13" s="12" t="str">
        <x:v>Sunday</x:v>
      </x:c>
      <x:c r="E13" s="12" t="str">
        <x:v>Valentine's Day leisure/dining demand across London</x:v>
      </x:c>
      <x:c r="F13" s="12" t="str">
        <x:v>Valentine's Day</x:v>
      </x:c>
      <x:c r="G13" s="12" t="str">
        <x:v>Six Nations: England v France at Allianz Stadium, 15:10</x:v>
      </x:c>
      <x:c r="H13" s="12" t="str">
        <x:v>England-France starts 10 minutes after LCL kick-off; huge national live-TV overlap. FA Cup Fourth Round weekend also falls 13 Feb.</x:v>
      </x:c>
      <x:c r="I13" s="12" t="str">
        <x:v>EXTREME</x:v>
      </x:c>
      <x:c r="J13" s="12" t="n">
        <x:v>100</x:v>
      </x:c>
      <x:c r="K13" s="12" t="n">
        <x:v>95</x:v>
      </x:c>
      <x:c r="L13" s="12" t="n">
        <x:v>100</x:v>
      </x:c>
      <x:c r="M13" s="12" t="str">
        <x:v>MAJOR THREAT / NICHE EVENT</x:v>
      </x:c>
      <x:c r="N13" s="12" t="str">
        <x:v>Do NOT market as generic Sunday entertainment. Sell Chelsea as a committed football event; target existing fans/groups and pre-sold families.</x:v>
      </x:c>
      <x:c r="O13" s="12" t="str">
        <x:v>VERY HIGH</x:v>
      </x:c>
      <x:c r="P13" s="12" t="str">
        <x:v>Six Nations official; FA official; London event calendar</x:v>
      </x:c>
      <x:c r="Q13" s="12" t="str">
        <x:v>LOCKED</x:v>
      </x:c>
    </x:row>
    <x:row r="14">
      <x:c r="A14" s="12" t="str">
        <x:v>2027-03-14</x:v>
      </x:c>
      <x:c r="B14" s="12" t="str">
        <x:v>London City v Liverpool</x:v>
      </x:c>
      <x:c r="C14" s="12" t="str">
        <x:v>15:00</x:v>
      </x:c>
      <x:c r="D14" s="12" t="str">
        <x:v>Sunday</x:v>
      </x:c>
      <x:c r="E14" s="12" t="str">
        <x:v>No major Bromley event verified exact day</x:v>
      </x:c>
      <x:c r="F14" s="12" t="str">
        <x:v>One week after UK Mother's Day (7 Mar), so no direct clash</x:v>
      </x:c>
      <x:c r="G14" s="12" t="str">
        <x:v>Six Nations Super Saturday was 13 Mar; Premier League weekend also 13 Mar with Sunday TV moves possible</x:v>
      </x:c>
      <x:c r="H14" s="12" t="str">
        <x:v>Residual rugby attention is lower than previous day; exact Premier League Sunday broadcasts not yet selected</x:v>
      </x:c>
      <x:c r="I14" s="12" t="str">
        <x:v>LOW-MED</x:v>
      </x:c>
      <x:c r="J14" s="12" t="n">
        <x:v>38</x:v>
      </x:c>
      <x:c r="K14" s="12" t="n">
        <x:v>35</x:v>
      </x:c>
      <x:c r="L14" s="12" t="n">
        <x:v>45</x:v>
      </x:c>
      <x:c r="M14" s="12" t="str">
        <x:v>WHITESPACE ATTACK</x:v>
      </x:c>
      <x:c r="N14" s="12" t="str">
        <x:v>Still one of the best acquisition dates. Preserve 'Own Sunday' strategy unless later TV selections create a major clash.</x:v>
      </x:c>
      <x:c r="O14" s="12" t="str">
        <x:v>HIGH</x:v>
      </x:c>
      <x:c r="P14" s="12" t="str">
        <x:v>Six Nations official; Premier League fixture list</x:v>
      </x:c>
      <x:c r="Q14" s="12" t="str">
        <x:v>MONITOR TV SELECTION</x:v>
      </x:c>
    </x:row>
    <x:row r="15">
      <x:c r="A15" s="12" t="str">
        <x:v>2027-04-04</x:v>
      </x:c>
      <x:c r="B15" s="12" t="str">
        <x:v>London City v Charlton</x:v>
      </x:c>
      <x:c r="C15" s="12" t="str">
        <x:v>15:00</x:v>
      </x:c>
      <x:c r="D15" s="12" t="str">
        <x:v>Sunday</x:v>
      </x:c>
      <x:c r="E15" s="12" t="str">
        <x:v>No major Bromley event verified exact day</x:v>
      </x:c>
      <x:c r="F15" s="12" t="str">
        <x:v>Sunday after Easter weekend (Easter Sunday is 28 Mar; Easter Monday 29 Mar)</x:v>
      </x:c>
      <x:c r="G15" s="12" t="str">
        <x:v>FA Cup Quarter-Final round scheduled around Sat 3 Apr; ties can create major weekend attention</x:v>
      </x:c>
      <x:c r="H15" s="12" t="str">
        <x:v>Exact quarter-final TV schedule not yet known</x:v>
      </x:c>
      <x:c r="I15" s="12" t="str">
        <x:v>MED-HIGH</x:v>
      </x:c>
      <x:c r="J15" s="12" t="n">
        <x:v>68</x:v>
      </x:c>
      <x:c r="K15" s="12" t="n">
        <x:v>60</x:v>
      </x:c>
      <x:c r="L15" s="12" t="n">
        <x:v>80</x:v>
      </x:c>
      <x:c r="M15" s="12" t="str">
        <x:v>DERBY + CUP NOISE</x:v>
      </x:c>
      <x:c r="N15" s="12" t="str">
        <x:v>Sell South London derby strongly; monitor FA Cup quarter-final scheduling before scaling casual-family spend.</x:v>
      </x:c>
      <x:c r="O15" s="12" t="str">
        <x:v>HIGH</x:v>
      </x:c>
      <x:c r="P15" s="12" t="str">
        <x:v>FA official round dates; GOV.UK bank holidays</x:v>
      </x:c>
      <x:c r="Q15" s="12" t="str">
        <x:v>MONITOR FA CUP SCHEDULE</x:v>
      </x:c>
    </x:row>
    <x:row r="16">
      <x:c r="A16" s="12" t="str">
        <x:v>2027-05-02</x:v>
      </x:c>
      <x:c r="B16" s="12" t="str">
        <x:v>London City v Tottenham</x:v>
      </x:c>
      <x:c r="C16" s="12" t="str">
        <x:v>15:00</x:v>
      </x:c>
      <x:c r="D16" s="12" t="str">
        <x:v>Sunday</x:v>
      </x:c>
      <x:c r="E16" s="12" t="str">
        <x:v>Early May bank-holiday weekend</x:v>
      </x:c>
      <x:c r="F16" s="12" t="str">
        <x:v>Day before Early May bank holiday (Mon 3 May)</x:v>
      </x:c>
      <x:c r="G16" s="12" t="str">
        <x:v>Premier League: Arsenal v Fulham Sat 17:30; major Sunday PL games are on 3 May, so direct 2 May screen pressure is lower</x:v>
      </x:c>
      <x:c r="H16" s="12" t="str">
        <x:v>Long-weekend travel, day trips and family leisure compete more than TV on the Sunday</x:v>
      </x:c>
      <x:c r="I16" s="12" t="str">
        <x:v>MEDIUM</x:v>
      </x:c>
      <x:c r="J16" s="12" t="n">
        <x:v>62</x:v>
      </x:c>
      <x:c r="K16" s="12" t="n">
        <x:v>85</x:v>
      </x:c>
      <x:c r="L16" s="12" t="n">
        <x:v>45</x:v>
      </x:c>
      <x:c r="M16" s="12" t="str">
        <x:v>LEISURE COMPETITION</x:v>
      </x:c>
      <x:c r="N16" s="12" t="str">
        <x:v>Position as a bank-holiday-weekend family activity; bundle local food/leisure. Weather becomes especially important for spontaneous attendance.</x:v>
      </x:c>
      <x:c r="O16" s="12" t="str">
        <x:v>HIGH</x:v>
      </x:c>
      <x:c r="P16" s="12" t="str">
        <x:v>GOV.UK bank holidays; Premier League official</x:v>
      </x:c>
      <x:c r="Q16" s="12" t="str">
        <x:v>LOCKED / WEATHER-SENSITIVE</x:v>
      </x:c>
    </x:row>
    <x:row r="17">
      <x:c r="A17" s="12" t="str">
        <x:v>2027-05-22</x:v>
      </x:c>
      <x:c r="B17" s="12" t="str">
        <x:v>London City v Aston Villa</x:v>
      </x:c>
      <x:c r="C17" s="12" t="str">
        <x:v>TBC</x:v>
      </x:c>
      <x:c r="D17" s="12" t="str">
        <x:v>Saturday</x:v>
      </x:c>
      <x:c r="E17" s="12" t="str">
        <x:v>Spring leisure / final home weekend</x:v>
      </x:c>
      <x:c r="F17" s="12" t="str">
        <x:v>Normal Saturday, nine days before Spring Bank Holiday</x:v>
      </x:c>
      <x:c r="G17" s="12" t="str">
        <x:v>Emirates FA Cup Final at Wembley on the same day</x:v>
      </x:c>
      <x:c r="H17" s="12" t="str">
        <x:v>FA Cup Final is one of UK's largest football broadcasts; exact KO still to be considered against LCL final-round timing</x:v>
      </x:c>
      <x:c r="I17" s="12" t="str">
        <x:v>EXTREME</x:v>
      </x:c>
      <x:c r="J17" s="12" t="n">
        <x:v>100</x:v>
      </x:c>
      <x:c r="K17" s="12" t="n">
        <x:v>75</x:v>
      </x:c>
      <x:c r="L17" s="12" t="n">
        <x:v>100</x:v>
      </x:c>
      <x:c r="M17" s="12" t="str">
        <x:v>AVOID HEAD-ON TV CLASH</x:v>
      </x:c>
      <x:c r="N17" s="12" t="str">
        <x:v>Make this a season-finale destination event and prioritise advance sales. If kick-off timing overlaps FA Cup Final, avoid casual sports-audience paid media.</x:v>
      </x:c>
      <x:c r="O17" s="12" t="str">
        <x:v>VERY HIGH</x:v>
      </x:c>
      <x:c r="P17" s="12" t="str">
        <x:v>FA official round dates</x:v>
      </x:c>
      <x:c r="Q17" s="12" t="str">
        <x:v>LOCKED DATE / MONITOR KO</x:v>
      </x:c>
    </x:row>
  </x:sheetData>
  <x:mergeCells>
    <x:mergeCell ref="A1:Q1"/>
    <x:mergeCell ref="A2:Q2"/>
  </x:mergeCells>
  <x:conditionalFormatting sqref="J5:L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  <x:col min="3" max="3" width="16" hidden="0" customWidth="1"/>
    <x:col min="4" max="4" width="20" hidden="0" customWidth="1"/>
    <x:col min="5" max="5" width="54" hidden="0" customWidth="1"/>
    <x:col min="6" max="6" width="24" hidden="0" customWidth="1"/>
    <x:col min="7" max="7" width="50" hidden="0" customWidth="1"/>
    <x:col min="8" max="8" width="48" hidden="0" customWidth="1"/>
    <x:col min="9" max="9" width="30" hidden="0" customWidth="1"/>
    <x:col min="10" max="10" width="16" hidden="0" customWidth="1"/>
  </x:cols>
  <x:sheetData>
    <x:row r="1">
      <x:c r="A1" s="165" t="str">
        <x:v>Attention Plays — Where to Attack vs Defend</x:v>
      </x:c>
    </x:row>
    <x:row r="3">
      <x:c r="A3" s="171" t="str">
        <x:v>Rank</x:v>
      </x:c>
      <x:c r="B3" s="171" t="str">
        <x:v>Fixture</x:v>
      </x:c>
      <x:c r="C3" s="171" t="str">
        <x:v>Date</x:v>
      </x:c>
      <x:c r="D3" s="171" t="str">
        <x:v>Attention pressure</x:v>
      </x:c>
      <x:c r="E3" s="171" t="str">
        <x:v>Main competing attention</x:v>
      </x:c>
      <x:c r="F3" s="171" t="str">
        <x:v>Strategic mode</x:v>
      </x:c>
      <x:c r="G3" s="171" t="str">
        <x:v>Media implication</x:v>
      </x:c>
      <x:c r="H3" s="171" t="str">
        <x:v>Ticketing implication</x:v>
      </x:c>
      <x:c r="I3" s="171" t="str">
        <x:v>Review trigger</x:v>
      </x:c>
      <x:c r="J3" s="171" t="str">
        <x:v>Confidence</x:v>
      </x:c>
    </x:row>
    <x:row r="4">
      <x:c r="A4" s="12" t="n">
        <x:v>1</x:v>
      </x:c>
      <x:c r="B4" s="12" t="str">
        <x:v>Chelsea</x:v>
      </x:c>
      <x:c r="C4" s="12" t="str">
        <x:v>14 Feb 2027</x:v>
      </x:c>
      <x:c r="D4" s="12" t="n">
        <x:v>100</x:v>
      </x:c>
      <x:c r="E4" s="12" t="str">
        <x:v>England v France Six Nations 15:10 + Valentine's</x:v>
      </x:c>
      <x:c r="F4" s="12" t="str">
        <x:v>DEFEND / EVENT</x:v>
      </x:c>
      <x:c r="G4" s="12" t="str">
        <x:v>Avoid generic family-leisure paid spend</x:v>
      </x:c>
      <x:c r="H4" s="12" t="str">
        <x:v>Pre-sell committed fans; premium-event framing</x:v>
      </x:c>
      <x:c r="I4" s="12" t="str">
        <x:v>Locked sports clash</x:v>
      </x:c>
      <x:c r="J4" s="12" t="str">
        <x:v>VERY HIGH</x:v>
      </x:c>
    </x:row>
    <x:row r="5">
      <x:c r="A5" s="12" t="n">
        <x:v>2</x:v>
      </x:c>
      <x:c r="B5" s="12" t="str">
        <x:v>Everton</x:v>
      </x:c>
      <x:c r="C5" s="12" t="str">
        <x:v>18 Oct 2026</x:v>
      </x:c>
      <x:c r="D5" s="12" t="n">
        <x:v>98</x:v>
      </x:c>
      <x:c r="E5" s="12" t="str">
        <x:v>NFL Wembley 14:30 + four televised PL games</x:v>
      </x:c>
      <x:c r="F5" s="12" t="str">
        <x:v>DEFEND CORE</x:v>
      </x:c>
      <x:c r="G5" s="12" t="str">
        <x:v>Core CRM/grassroots only</x:v>
      </x:c>
      <x:c r="H5" s="12" t="str">
        <x:v>Value + convenience, not conquest</x:v>
      </x:c>
      <x:c r="I5" s="12" t="str">
        <x:v>Locked</x:v>
      </x:c>
      <x:c r="J5" s="12" t="str">
        <x:v>VERY HIGH</x:v>
      </x:c>
    </x:row>
    <x:row r="6">
      <x:c r="A6" s="12" t="n">
        <x:v>3</x:v>
      </x:c>
      <x:c r="B6" s="12" t="str">
        <x:v>Aston Villa</x:v>
      </x:c>
      <x:c r="C6" s="12" t="str">
        <x:v>22 May 2027</x:v>
      </x:c>
      <x:c r="D6" s="12" t="n">
        <x:v>100</x:v>
      </x:c>
      <x:c r="E6" s="12" t="str">
        <x:v>Men's FA Cup Final at Wembley</x:v>
      </x:c>
      <x:c r="F6" s="12" t="str">
        <x:v>SEASON-FINALE EVENT</x:v>
      </x:c>
      <x:c r="G6" s="12" t="str">
        <x:v>Advance-sale event campaign</x:v>
      </x:c>
      <x:c r="H6" s="12" t="str">
        <x:v>Make destination/finale product; avoid late casual acquisition</x:v>
      </x:c>
      <x:c r="I6" s="12" t="str">
        <x:v>Final KO confirmation</x:v>
      </x:c>
      <x:c r="J6" s="12" t="str">
        <x:v>VERY HIGH</x:v>
      </x:c>
    </x:row>
    <x:row r="7">
      <x:c r="A7" s="12" t="n">
        <x:v>4</x:v>
      </x:c>
      <x:c r="B7" s="12" t="str">
        <x:v>Brighton</x:v>
      </x:c>
      <x:c r="C7" s="12" t="str">
        <x:v>26 Sep 2026</x:v>
      </x:c>
      <x:c r="D7" s="12" t="n">
        <x:v>75</x:v>
      </x:c>
      <x:c r="E7" s="12" t="str">
        <x:v>England v Spain 19:45 at Wembley / TV</x:v>
      </x:c>
      <x:c r="F7" s="12" t="str">
        <x:v>PRE-EVENT</x:v>
      </x:c>
      <x:c r="G7" s="12" t="str">
        <x:v>Market as first half of football day</x:v>
      </x:c>
      <x:c r="H7" s="12" t="str">
        <x:v>Fast exit/travel reassurance; early family proposition</x:v>
      </x:c>
      <x:c r="I7" s="12" t="str">
        <x:v>Locked</x:v>
      </x:c>
      <x:c r="J7" s="12" t="str">
        <x:v>HIGH</x:v>
      </x:c>
    </x:row>
    <x:row r="8">
      <x:c r="A8" s="12" t="n">
        <x:v>5</x:v>
      </x:c>
      <x:c r="B8" s="12" t="str">
        <x:v>West Ham</x:v>
      </x:c>
      <x:c r="C8" s="12" t="str">
        <x:v>10 Jan 2027</x:v>
      </x:c>
      <x:c r="D8" s="12" t="n">
        <x:v>70</x:v>
      </x:c>
      <x:c r="E8" s="12" t="str">
        <x:v>FA Cup Third Round weekend</x:v>
      </x:c>
      <x:c r="F8" s="12" t="str">
        <x:v>MONITOR</x:v>
      </x:c>
      <x:c r="G8" s="12" t="str">
        <x:v>Hold flexible media budget</x:v>
      </x:c>
      <x:c r="H8" s="12" t="str">
        <x:v>Core family offer until cup TV ties known</x:v>
      </x:c>
      <x:c r="I8" s="12" t="str">
        <x:v>FA Cup draw/TV</x:v>
      </x:c>
      <x:c r="J8" s="12" t="str">
        <x:v>HIGH</x:v>
      </x:c>
    </x:row>
    <x:row r="9">
      <x:c r="A9" s="12" t="n">
        <x:v>6</x:v>
      </x:c>
      <x:c r="B9" s="12" t="str">
        <x:v>Charlton</x:v>
      </x:c>
      <x:c r="C9" s="12" t="str">
        <x:v>4 Apr 2027</x:v>
      </x:c>
      <x:c r="D9" s="12" t="n">
        <x:v>68</x:v>
      </x:c>
      <x:c r="E9" s="12" t="str">
        <x:v>FA Cup Quarter-Final weekend</x:v>
      </x:c>
      <x:c r="F9" s="12" t="str">
        <x:v>DERBY ATTACK</x:v>
      </x:c>
      <x:c r="G9" s="12" t="str">
        <x:v>Derby creative can outperform generic noise</x:v>
      </x:c>
      <x:c r="H9" s="12" t="str">
        <x:v>Group/derby product</x:v>
      </x:c>
      <x:c r="I9" s="12" t="str">
        <x:v>FA Cup schedule</x:v>
      </x:c>
      <x:c r="J9" s="12" t="str">
        <x:v>HIGH</x:v>
      </x:c>
    </x:row>
    <x:row r="10">
      <x:c r="A10" s="12" t="n">
        <x:v>7</x:v>
      </x:c>
      <x:c r="B10" s="12" t="str">
        <x:v>Tottenham</x:v>
      </x:c>
      <x:c r="C10" s="12" t="str">
        <x:v>2 May 2027</x:v>
      </x:c>
      <x:c r="D10" s="12" t="n">
        <x:v>62</x:v>
      </x:c>
      <x:c r="E10" s="12" t="str">
        <x:v>Bank-holiday leisure/travel competition</x:v>
      </x:c>
      <x:c r="F10" s="12" t="str">
        <x:v>FAMILY LEISURE</x:v>
      </x:c>
      <x:c r="G10" s="12" t="str">
        <x:v>Local partnerships &gt; national sports targeting</x:v>
      </x:c>
      <x:c r="H10" s="12" t="str">
        <x:v>Match + meal / day-out bundle</x:v>
      </x:c>
      <x:c r="I10" s="12" t="str">
        <x:v>Weather forecast</x:v>
      </x:c>
      <x:c r="J10" s="12" t="str">
        <x:v>HIGH</x:v>
      </x:c>
    </x:row>
    <x:row r="11">
      <x:c r="A11" s="12" t="n">
        <x:v>8</x:v>
      </x:c>
      <x:c r="B11" s="12" t="str">
        <x:v>Liverpool</x:v>
      </x:c>
      <x:c r="C11" s="12" t="str">
        <x:v>14 Mar 2027</x:v>
      </x:c>
      <x:c r="D11" s="12" t="n">
        <x:v>38</x:v>
      </x:c>
      <x:c r="E11" s="12" t="str">
        <x:v>Low direct conflict currently verified</x:v>
      </x:c>
      <x:c r="F11" s="12" t="str">
        <x:v>ATTACK HARD</x:v>
      </x:c>
      <x:c r="G11" s="12" t="str">
        <x:v>Best candidate for broad territory acquisition</x:v>
      </x:c>
      <x:c r="H11" s="12" t="str">
        <x:v>3-Match / first-timer product</x:v>
      </x:c>
      <x:c r="I11" s="12" t="str">
        <x:v>Future PL TV selection</x:v>
      </x:c>
      <x:c r="J11" s="12" t="str">
        <x:v>HIGH</x:v>
      </x:c>
    </x:row>
    <x:row r="14">
      <x:c r="A14" s="174" t="str">
        <x:v>Method</x:v>
      </x:c>
      <x:c r="B14" s="12" t="str"/>
    </x:row>
    <x:row r="15">
      <x:c r="A15" s="174" t="str">
        <x:v>Attention pressure</x:v>
      </x:c>
      <x:c r="B15" s="12" t="str">
        <x:v>Heuristic 0–100 combining verified local/national events, competing live sport and major screen events.</x:v>
      </x:c>
    </x:row>
    <x:row r="16">
      <x:c r="A16" s="174" t="str">
        <x:v>Family-time pressure</x:v>
      </x:c>
      <x:c r="B16" s="12" t="str">
        <x:v>Leisure/family competition: holidays, day trips, dining occasions, local events.</x:v>
      </x:c>
    </x:row>
    <x:row r="17">
      <x:c r="A17" s="174" t="str">
        <x:v>TV pressure</x:v>
      </x:c>
      <x:c r="B17" s="12" t="str">
        <x:v>Large broadcast events likely to absorb sports attention during or immediately around kick-off.</x:v>
      </x:c>
    </x:row>
    <x:row r="18">
      <x:c r="A18" s="174" t="str">
        <x:v>Not static</x:v>
      </x:c>
      <x:c r="B18" s="12" t="str">
        <x:v>Future Premier League/FA Cup broadcast choices can materially change the score.</x:v>
      </x:c>
    </x:row>
    <x:row r="19">
      <x:c r="A19" s="174" t="str">
        <x:v>Operating rule</x:v>
      </x:c>
      <x:c r="B19" s="12" t="str">
        <x:v>Re-run attention scan 6 weeks out, 7 days out and 24–48h out for every home match.</x:v>
      </x:c>
    </x:row>
    <x:row r="20">
      <x:c r="A20" s="174" t="str">
        <x:v>Use</x:v>
      </x:c>
      <x:c r="B20" s="12" t="str">
        <x:v>This should modify campaign timing/spend, not the structural Territory Opportunity score.</x:v>
      </x:c>
    </x:row>
  </x:sheetData>
  <x:mergeCells>
    <x:mergeCell ref="A1:J1"/>
  </x:mergeCells>
  <x:conditionalFormatting sqref="D4:D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20" hidden="0" customWidth="1"/>
    <x:col min="5" max="5" width="18" hidden="0" customWidth="1"/>
    <x:col min="6" max="6" width="52" hidden="0" customWidth="1"/>
    <x:col min="7" max="7" width="52" hidden="0" customWidth="1"/>
    <x:col min="8" max="8" width="52" hidden="0" customWidth="1"/>
    <x:col min="9" max="9" width="14" hidden="0" customWidth="1"/>
    <x:col min="10" max="10" width="24" hidden="0" customWidth="1"/>
    <x:col min="11" max="11" width="54" hidden="0" customWidth="1"/>
    <x:col min="12" max="12" width="20" hidden="0" customWidth="1"/>
    <x:col min="13" max="13" width="28" hidden="0" customWidth="1"/>
    <x:col min="14" max="14" width="48" hidden="0" customWidth="1"/>
  </x:cols>
  <x:sheetData>
    <x:row r="1">
      <x:c r="A1" s="176" t="str">
        <x:v>Bromley Consumer &amp; Business Trends — Strategic Demand Signals</x:v>
      </x:c>
    </x:row>
    <x:row r="2">
      <x:c r="A2" s="79" t="str">
        <x:v>Observed local trends, forward-looking forecasts, and implications for London City.</x:v>
      </x:c>
    </x:row>
    <x:row r="4">
      <x:c r="A4" s="179" t="str">
        <x:v>Theme</x:v>
      </x:c>
      <x:c r="B4" s="179" t="str">
        <x:v>Metric / trend</x:v>
      </x:c>
      <x:c r="C4" s="179" t="str">
        <x:v>Current / forecast value</x:v>
      </x:c>
      <x:c r="D4" s="179" t="str">
        <x:v>Period</x:v>
      </x:c>
      <x:c r="E4" s="179" t="str">
        <x:v>Direction</x:v>
      </x:c>
      <x:c r="F4" s="179" t="str">
        <x:v>What it says about the population / market</x:v>
      </x:c>
      <x:c r="G4" s="179" t="str">
        <x:v>London City implication</x:v>
      </x:c>
      <x:c r="H4" s="179" t="str">
        <x:v>Sponsor / partner implication</x:v>
      </x:c>
      <x:c r="I4" s="179" t="str">
        <x:v>Confidence</x:v>
      </x:c>
      <x:c r="J4" s="179" t="str">
        <x:v>Geography</x:v>
      </x:c>
      <x:c r="K4" s="179" t="str">
        <x:v>Source</x:v>
      </x:c>
      <x:c r="L4" s="179" t="str">
        <x:v>Observed or forecast</x:v>
      </x:c>
      <x:c r="M4" s="179" t="str">
        <x:v>Engine use</x:v>
      </x:c>
      <x:c r="N4" s="179" t="str">
        <x:v>Caveat</x:v>
      </x:c>
    </x:row>
    <x:row r="5">
      <x:c r="A5" s="12" t="str">
        <x:v>Disposable income</x:v>
      </x:c>
      <x:c r="B5" s="12" t="str">
        <x:v>Gross disposable household income per head</x:v>
      </x:c>
      <x:c r="C5" s="12" t="str">
        <x:v>£34,399; UK index 138.5</x:v>
      </x:c>
      <x:c r="D5" s="12" t="str">
        <x:v>2023</x:v>
      </x:c>
      <x:c r="E5" s="12" t="str">
        <x:v>HIGH / GROWING</x:v>
      </x:c>
      <x:c r="F5" s="12" t="str">
        <x:v>Residents have relatively strong capacity to spend/save compared with UK average</x:v>
      </x:c>
      <x:c r="G5" s="12" t="str">
        <x:v>Supports family leisure and premium add-ons, but does not justify assuming price-insensitivity</x:v>
      </x:c>
      <x:c r="H5" s="12" t="str">
        <x:v>Attractive market for financial services, retail, leisure, family and premium local partners</x:v>
      </x:c>
      <x:c r="I5" s="12" t="str">
        <x:v>HIGH</x:v>
      </x:c>
      <x:c r="J5" s="12" t="str">
        <x:v>Bromley</x:v>
      </x:c>
      <x:c r="K5" s="12" t="str">
        <x:v>ONS Regional GDHI 2023</x:v>
      </x:c>
      <x:c r="L5" s="12" t="str">
        <x:v>OBSERVED</x:v>
      </x:c>
      <x:c r="M5" s="12" t="str">
        <x:v>Affordability context</x:v>
      </x:c>
      <x:c r="N5" s="12" t="str">
        <x:v>Income is unevenly distributed within the borough</x:v>
      </x:c>
    </x:row>
    <x:row r="6">
      <x:c r="A6" s="12" t="str">
        <x:v>Resident earnings</x:v>
      </x:c>
      <x:c r="B6" s="12" t="str">
        <x:v>Median gross weekly pay, full-time residents</x:v>
      </x:c>
      <x:c r="C6" s="12" t="str">
        <x:v>£964.50; London £902.70; GB £766.60</x:v>
      </x:c>
      <x:c r="D6" s="12" t="str">
        <x:v>2025</x:v>
      </x:c>
      <x:c r="E6" s="12" t="str">
        <x:v>ABOVE BENCHMARK</x:v>
      </x:c>
      <x:c r="F6" s="12" t="str">
        <x:v>Bromley residents earn more than London median despite local workplaces paying less</x:v>
      </x:c>
      <x:c r="G6" s="12" t="str">
        <x:v>Many residents likely commute to higher-paid jobs; evening/weekend leisure proposition is relevant</x:v>
      </x:c>
      <x:c r="H6" s="12" t="str">
        <x:v>Commuter-oriented finance, travel, retail and convenience categories fit</x:v>
      </x:c>
      <x:c r="I6" s="12" t="str">
        <x:v>HIGH</x:v>
      </x:c>
      <x:c r="J6" s="12" t="str">
        <x:v>Bromley</x:v>
      </x:c>
      <x:c r="K6" s="12" t="str">
        <x:v>Nomis / ONS ASHE</x:v>
      </x:c>
      <x:c r="L6" s="12" t="str">
        <x:v>OBSERVED</x:v>
      </x:c>
      <x:c r="M6" s="12" t="str">
        <x:v>Audience spending-power context</x:v>
      </x:c>
      <x:c r="N6" s="12" t="str">
        <x:v>Earnings cover employees, not all households</x:v>
      </x:c>
    </x:row>
    <x:row r="7">
      <x:c r="A7" s="12" t="str">
        <x:v>Qualifications</x:v>
      </x:c>
      <x:c r="B7" s="12" t="str">
        <x:v>RQF4+ among residents aged 16–64</x:v>
      </x:c>
      <x:c r="C7" s="12" t="str">
        <x:v>58.6%; GB 48.6%, London 63.7%</x:v>
      </x:c>
      <x:c r="D7" s="12" t="str">
        <x:v>2025</x:v>
      </x:c>
      <x:c r="E7" s="12" t="str">
        <x:v>HIGH</x:v>
      </x:c>
      <x:c r="F7" s="12" t="str">
        <x:v>Relatively well-qualified population, though below London average</x:v>
      </x:c>
      <x:c r="G7" s="12" t="str">
        <x:v>Supports digital-first CRM, experience-led marketing and content rather than only discount messaging</x:v>
      </x:c>
      <x:c r="H7" s="12" t="str">
        <x:v>Education, professional services and career brands may find audience fit</x:v>
      </x:c>
      <x:c r="I7" s="12" t="str">
        <x:v>HIGH</x:v>
      </x:c>
      <x:c r="J7" s="12" t="str">
        <x:v>Bromley</x:v>
      </x:c>
      <x:c r="K7" s="12" t="str">
        <x:v>Nomis / ONS APS</x:v>
      </x:c>
      <x:c r="L7" s="12" t="str">
        <x:v>OBSERVED</x:v>
      </x:c>
      <x:c r="M7" s="12" t="str">
        <x:v>Audience profile</x:v>
      </x:c>
      <x:c r="N7" s="12" t="str">
        <x:v>Qualification does not directly predict fandom</x:v>
      </x:c>
    </x:row>
    <x:row r="8">
      <x:c r="A8" s="12" t="str">
        <x:v>Leisure spend</x:v>
      </x:c>
      <x:c r="B8" s="12" t="str">
        <x:v>Commercial leisure expenditure growth</x:v>
      </x:c>
      <x:c r="C8" s="12" t="str">
        <x:v>+£471.7m by 2034; +£842.8m indicative by 2041</x:v>
      </x:c>
      <x:c r="D8" s="12" t="str">
        <x:v>2024–34 / 2041</x:v>
      </x:c>
      <x:c r="E8" s="12" t="str">
        <x:v>STRONG GROWTH</x:v>
      </x:c>
      <x:c r="F8" s="12" t="str">
        <x:v>More household spending is expected to flow into paid leisure activities</x:v>
      </x:c>
      <x:c r="G8" s="12" t="str">
        <x:v>London City competes in a growing leisure wallet, not a fixed football-only wallet</x:v>
      </x:c>
      <x:c r="H8" s="12" t="str">
        <x:v>Strong case for leisure, hospitality and experience partnerships</x:v>
      </x:c>
      <x:c r="I8" s="12" t="str">
        <x:v>HIGH</x:v>
      </x:c>
      <x:c r="J8" s="12" t="str">
        <x:v>Bromley survey area</x:v>
      </x:c>
      <x:c r="K8" s="12" t="str">
        <x:v>Bromley Retail &amp; Leisure Study 2025</x:v>
      </x:c>
      <x:c r="L8" s="12" t="str">
        <x:v>FORECAST</x:v>
      </x:c>
      <x:c r="M8" s="12" t="str">
        <x:v>Market growth context</x:v>
      </x:c>
      <x:c r="N8" s="12" t="str">
        <x:v>2041 figures explicitly indicative</x:v>
      </x:c>
    </x:row>
    <x:row r="9">
      <x:c r="A9" s="12" t="str">
        <x:v>Restaurants / cafés</x:v>
      </x:c>
      <x:c r="B9" s="12" t="str">
        <x:v>Forecast expenditure growth</x:v>
      </x:c>
      <x:c r="C9" s="12" t="str">
        <x:v>+£340.2m by 2034; 72% of total commercial-leisure growth</x:v>
      </x:c>
      <x:c r="D9" s="12" t="str">
        <x:v>2024–34</x:v>
      </x:c>
      <x:c r="E9" s="12" t="str">
        <x:v>VERY STRONG</x:v>
      </x:c>
      <x:c r="F9" s="12" t="str">
        <x:v>Eating out is expected to absorb the majority of incremental leisure spend</x:v>
      </x:c>
      <x:c r="G9" s="12" t="str">
        <x:v>Match + meal / pre-post game economy is strategically stronger than ticket-only thinking</x:v>
      </x:c>
      <x:c r="H9" s="12" t="str">
        <x:v>Hospitality and food brands should be among first commercial categories targeted</x:v>
      </x:c>
      <x:c r="I9" s="12" t="str">
        <x:v>HIGH</x:v>
      </x:c>
      <x:c r="J9" s="12" t="str">
        <x:v>Bromley survey area</x:v>
      </x:c>
      <x:c r="K9" s="12" t="str">
        <x:v>Bromley Retail &amp; Leisure Study 2025</x:v>
      </x:c>
      <x:c r="L9" s="12" t="str">
        <x:v>FORECAST</x:v>
      </x:c>
      <x:c r="M9" s="12" t="str">
        <x:v>Activation opportunity</x:v>
      </x:c>
      <x:c r="N9" s="12" t="str">
        <x:v>Survey area wider than borough</x:v>
      </x:c>
    </x:row>
    <x:row r="10">
      <x:c r="A10" s="12" t="str">
        <x:v>Sport / recreation services</x:v>
      </x:c>
      <x:c r="B10" s="12" t="str">
        <x:v>Forecast expenditure growth</x:v>
      </x:c>
      <x:c r="C10" s="12" t="str">
        <x:v>+£57.6m by 2034; +£102.9m indicative by 2041</x:v>
      </x:c>
      <x:c r="D10" s="12" t="str">
        <x:v>2024–34 / 2041</x:v>
      </x:c>
      <x:c r="E10" s="12" t="str">
        <x:v>GROWING</x:v>
      </x:c>
      <x:c r="F10" s="12" t="str">
        <x:v>Paid recreation/sport is forecast to expand meaningfully</x:v>
      </x:c>
      <x:c r="G10" s="12" t="str">
        <x:v>Football attendance can be marketed within an active-leisure portfolio rather than as fandom only</x:v>
      </x:c>
      <x:c r="H10" s="12" t="str">
        <x:v>Fitness, leisure centres, sporting goods, health/wellbeing and participation partners fit</x:v>
      </x:c>
      <x:c r="I10" s="12" t="str">
        <x:v>HIGH</x:v>
      </x:c>
      <x:c r="J10" s="12" t="str">
        <x:v>Bromley survey area</x:v>
      </x:c>
      <x:c r="K10" s="12" t="str">
        <x:v>Bromley Retail &amp; Leisure Study 2025</x:v>
      </x:c>
      <x:c r="L10" s="12" t="str">
        <x:v>FORECAST</x:v>
      </x:c>
      <x:c r="M10" s="12" t="str">
        <x:v>Category opportunity</x:v>
      </x:c>
      <x:c r="N10" s="12" t="str">
        <x:v>Does not isolate football spending</x:v>
      </x:c>
    </x:row>
    <x:row r="11">
      <x:c r="A11" s="12" t="str">
        <x:v>Cultural services</x:v>
      </x:c>
      <x:c r="B11" s="12" t="str">
        <x:v>Forecast expenditure growth</x:v>
      </x:c>
      <x:c r="C11" s="12" t="str">
        <x:v>+£73.8m by 2034</x:v>
      </x:c>
      <x:c r="D11" s="12" t="str">
        <x:v>2024–34</x:v>
      </x:c>
      <x:c r="E11" s="12" t="str">
        <x:v>GROWING</x:v>
      </x:c>
      <x:c r="F11" s="12" t="str">
        <x:v>Consumers are expected to spend more on cultural/experience activities</x:v>
      </x:c>
      <x:c r="G11" s="12" t="str">
        <x:v>Matchday must compete with cinema, events and culture on quality of experience</x:v>
      </x:c>
      <x:c r="H11" s="12" t="str">
        <x:v>Entertainment, streaming, cinema and cultural partners can be useful distribution partners</x:v>
      </x:c>
      <x:c r="I11" s="12" t="str">
        <x:v>HIGH</x:v>
      </x:c>
      <x:c r="J11" s="12" t="str">
        <x:v>Bromley survey area</x:v>
      </x:c>
      <x:c r="K11" s="12" t="str">
        <x:v>Bromley Retail &amp; Leisure Study 2025</x:v>
      </x:c>
      <x:c r="L11" s="12" t="str">
        <x:v>FORECAST</x:v>
      </x:c>
      <x:c r="M11" s="12" t="str">
        <x:v>Attention competition</x:v>
      </x:c>
      <x:c r="N11" s="12" t="str">
        <x:v>Broad category definition</x:v>
      </x:c>
    </x:row>
    <x:row r="12">
      <x:c r="A12" s="12" t="str">
        <x:v>Retail structure</x:v>
      </x:c>
      <x:c r="B12" s="12" t="str">
        <x:v>Comparison-goods floorspace need</x:v>
      </x:c>
      <x:c r="C12" s="12" t="str">
        <x:v>No positive additional need; modest oversupply to 2041</x:v>
      </x:c>
      <x:c r="D12" s="12" t="str">
        <x:v>2024–41</x:v>
      </x:c>
      <x:c r="E12" s="12" t="str">
        <x:v>STRUCTURAL SHIFT</x:v>
      </x:c>
      <x:c r="F12" s="12" t="str">
        <x:v>Traditional non-food retail space is not where strongest future demand is expected</x:v>
      </x:c>
      <x:c r="G12" s="12" t="str">
        <x:v>Avoid over-indexing on conventional retail sponsorship; favour experiential retail and leisure-linked activation</x:v>
      </x:c>
      <x:c r="H12" s="12" t="str">
        <x:v>Retail partners need measurable footfall/experience propositions, not generic signage</x:v>
      </x:c>
      <x:c r="I12" s="12" t="str">
        <x:v>HIGH</x:v>
      </x:c>
      <x:c r="J12" s="12" t="str">
        <x:v>Bromley borough</x:v>
      </x:c>
      <x:c r="K12" s="12" t="str">
        <x:v>Bromley Retail &amp; Leisure Study 2025</x:v>
      </x:c>
      <x:c r="L12" s="12" t="str">
        <x:v>FORECAST</x:v>
      </x:c>
      <x:c r="M12" s="12" t="str">
        <x:v>Partner category strategy</x:v>
      </x:c>
      <x:c r="N12" s="12" t="str">
        <x:v>Does not mean retail spending disappears</x:v>
      </x:c>
    </x:row>
    <x:row r="13">
      <x:c r="A13" s="12" t="str">
        <x:v>Convenience shopping</x:v>
      </x:c>
      <x:c r="B13" s="12" t="str">
        <x:v>Local expenditure retention</x:v>
      </x:c>
      <x:c r="C13" s="12" t="str">
        <x:v>82.7% of convenience-goods expenditure retained in survey area</x:v>
      </x:c>
      <x:c r="D13" s="12" t="str">
        <x:v>2024 household survey</x:v>
      </x:c>
      <x:c r="E13" s="12" t="str">
        <x:v>LOCALLY STICKY</x:v>
      </x:c>
      <x:c r="F13" s="12" t="str">
        <x:v>Everyday spending remains highly local</x:v>
      </x:c>
      <x:c r="G13" s="12" t="str">
        <x:v>Local supermarket / food / household categories can reach residents repeatedly</x:v>
      </x:c>
      <x:c r="H13" s="12" t="str">
        <x:v>Potential for neighbourhood-level ticket rewards and family CRM partnerships</x:v>
      </x:c>
      <x:c r="I13" s="12" t="str">
        <x:v>HIGH</x:v>
      </x:c>
      <x:c r="J13" s="12" t="str">
        <x:v>Bromley survey area</x:v>
      </x:c>
      <x:c r="K13" s="12" t="str">
        <x:v>Bromley Retail &amp; Leisure Study 2025</x:v>
      </x:c>
      <x:c r="L13" s="12" t="str">
        <x:v>OBSERVED</x:v>
      </x:c>
      <x:c r="M13" s="12" t="str">
        <x:v>Local distribution context</x:v>
      </x:c>
      <x:c r="N13" s="12" t="str">
        <x:v>Convenience shopping differs from leisure travel</x:v>
      </x:c>
    </x:row>
    <x:row r="14">
      <x:c r="A14" s="12" t="str">
        <x:v>Business base</x:v>
      </x:c>
      <x:c r="B14" s="12" t="str">
        <x:v>Businesses and jobs</x:v>
      </x:c>
      <x:c r="C14" s="12" t="str">
        <x:v>~15,100 businesses and 109,000 jobs</x:v>
      </x:c>
      <x:c r="D14" s="12" t="str">
        <x:v>2024/25 evidence base</x:v>
      </x:c>
      <x:c r="E14" s="12" t="str">
        <x:v>LARGE / STAGNANT JOB BASE</x:v>
      </x:c>
      <x:c r="F14" s="12" t="str">
        <x:v>Bromley has a substantial SME/business population even though total employment has been broadly stagnant</x:v>
      </x:c>
      <x:c r="G14" s="12" t="str">
        <x:v>Commercial pipeline should be broad and local; do not assume high-growth tech economy</x:v>
      </x:c>
      <x:c r="H14" s="12" t="str">
        <x:v>SME networks and sectors with local job growth are useful partnership prospects</x:v>
      </x:c>
      <x:c r="I14" s="12" t="str">
        <x:v>HIGH</x:v>
      </x:c>
      <x:c r="J14" s="12" t="str">
        <x:v>Bromley</x:v>
      </x:c>
      <x:c r="K14" s="12" t="str">
        <x:v>Bromley Local Plan evidence base</x:v>
      </x:c>
      <x:c r="L14" s="12" t="str">
        <x:v>OBSERVED / TREND</x:v>
      </x:c>
      <x:c r="M14" s="12" t="str">
        <x:v>Sponsor pipeline</x:v>
      </x:c>
      <x:c r="N14" s="12" t="str">
        <x:v>Employment base and business stock are different concepts</x:v>
      </x:c>
    </x:row>
    <x:row r="15">
      <x:c r="A15" s="12" t="str">
        <x:v>Growing sectors</x:v>
      </x:c>
      <x:c r="B15" s="12" t="str">
        <x:v>Job growth by selected sector</x:v>
      </x:c>
      <x:c r="C15" s="12" t="str">
        <x:v>Business admin/support +20%; motor trades +17%; arts/recreation/other +14%; health +13%</x:v>
      </x:c>
      <x:c r="D15" s="12" t="str">
        <x:v>approx. prior 5–10 years</x:v>
      </x:c>
      <x:c r="E15" s="12" t="str">
        <x:v>SECTOR GROWTH</x:v>
      </x:c>
      <x:c r="F15" s="12" t="str">
        <x:v>Growth is concentrated in practical services, health and recreation rather than only professional sectors</x:v>
      </x:c>
      <x:c r="G15" s="12" t="str">
        <x:v>Local sponsorship prospecting should include health, recreation, automotive and service businesses</x:v>
      </x:c>
      <x:c r="H15" s="12" t="str">
        <x:v>Category growth can signal businesses with budgets and expansion objectives</x:v>
      </x:c>
      <x:c r="I15" s="12" t="str">
        <x:v>MED-HIGH</x:v>
      </x:c>
      <x:c r="J15" s="12" t="str">
        <x:v>Bromley</x:v>
      </x:c>
      <x:c r="K15" s="12" t="str">
        <x:v>Bromley Local Plan Integrated Impact Assessment</x:v>
      </x:c>
      <x:c r="L15" s="12" t="str">
        <x:v>OBSERVED TREND</x:v>
      </x:c>
      <x:c r="M15" s="12" t="str">
        <x:v>Sponsor discovery</x:v>
      </x:c>
      <x:c r="N15" s="12" t="str">
        <x:v>Exact base years vary in evidence report</x:v>
      </x:c>
    </x:row>
    <x:row r="16">
      <x:c r="A16" s="12" t="str">
        <x:v>Employment mix</x:v>
      </x:c>
      <x:c r="B16" s="12" t="str">
        <x:v>Largest employee sectors</x:v>
      </x:c>
      <x:c r="C16" s="12" t="str">
        <x:v>Health 17.1%; retail 14.3%; education 10.5%; admin/support 10.5%; accommodation/food 8.6%</x:v>
      </x:c>
      <x:c r="D16" s="12" t="str">
        <x:v>latest Nomis profile</x:v>
      </x:c>
      <x:c r="E16" s="12" t="str">
        <x:v>SERVICE-HEAVY</x:v>
      </x:c>
      <x:c r="F16" s="12" t="str">
        <x:v>Population and local economy are strongly exposed to family/community/service categories</x:v>
      </x:c>
      <x:c r="G16" s="12" t="str">
        <x:v>Community/family ticketing and employer partnerships can reach sizeable local workforces</x:v>
      </x:c>
      <x:c r="H16" s="12" t="str">
        <x:v>Health, retail, education and hospitality employers are natural B2B activation targets</x:v>
      </x:c>
      <x:c r="I16" s="12" t="str">
        <x:v>HIGH</x:v>
      </x:c>
      <x:c r="J16" s="12" t="str">
        <x:v>Bromley</x:v>
      </x:c>
      <x:c r="K16" s="12" t="str">
        <x:v>Nomis / ONS BRES</x:v>
      </x:c>
      <x:c r="L16" s="12" t="str">
        <x:v>OBSERVED</x:v>
      </x:c>
      <x:c r="M16" s="12" t="str">
        <x:v>Employer-channel strategy</x:v>
      </x:c>
      <x:c r="N16" s="12" t="str">
        <x:v>Employee jobs exclude self-employed</x:v>
      </x:c>
    </x:row>
    <x:row r="17">
      <x:c r="A17" s="12" t="str">
        <x:v>Housing cost</x:v>
      </x:c>
      <x:c r="B17" s="12" t="str">
        <x:v>Average private rent</x:v>
      </x:c>
      <x:c r="C17" s="12" t="str">
        <x:v>£1,681/month; +2.6% YoY</x:v>
      </x:c>
      <x:c r="D17" s="12" t="str">
        <x:v>Jul 2026</x:v>
      </x:c>
      <x:c r="E17" s="12" t="str">
        <x:v>RISING</x:v>
      </x:c>
      <x:c r="F17" s="12" t="str">
        <x:v>Even relatively affluent households face rising recurring costs</x:v>
      </x:c>
      <x:c r="G17" s="12" t="str">
        <x:v>Value still matters: bundles and partner-added value may outperform pure premiumisation</x:v>
      </x:c>
      <x:c r="H17" s="12" t="str">
        <x:v>Partners that reduce total day-out cost (food/travel/rewards) become more valuable</x:v>
      </x:c>
      <x:c r="I17" s="12" t="str">
        <x:v>HIGH</x:v>
      </x:c>
      <x:c r="J17" s="12" t="str">
        <x:v>Bromley</x:v>
      </x:c>
      <x:c r="K17" s="12" t="str">
        <x:v>ONS local housing prices</x:v>
      </x:c>
      <x:c r="L17" s="12" t="str">
        <x:v>OBSERVED</x:v>
      </x:c>
      <x:c r="M17" s="12" t="str">
        <x:v>Price sensitivity context</x:v>
      </x:c>
      <x:c r="N17" s="12" t="str">
        <x:v>Average hides sub-area variation</x:v>
      </x:c>
    </x:row>
    <x:row r="18">
      <x:c r="A18" s="12" t="str">
        <x:v>Housing wealth</x:v>
      </x:c>
      <x:c r="B18" s="12" t="str">
        <x:v>Average house price</x:v>
      </x:c>
      <x:c r="C18" s="12" t="str">
        <x:v>£518,000; -1.4% YoY</x:v>
      </x:c>
      <x:c r="D18" s="12" t="str">
        <x:v>Jun 2026</x:v>
      </x:c>
      <x:c r="E18" s="12" t="str">
        <x:v>SOFTENING</x:v>
      </x:c>
      <x:c r="F18" s="12" t="str">
        <x:v>Housing wealth is high but current prices are slightly weaker year-on-year</x:v>
      </x:c>
      <x:c r="G18" s="12" t="str">
        <x:v>Do not read affluent housing stock as automatic discretionary-spend growth</x:v>
      </x:c>
      <x:c r="H18" s="12" t="str">
        <x:v>Home, finance and property partners remain relevant, but consumer confidence may be mixed</x:v>
      </x:c>
      <x:c r="I18" s="12" t="str">
        <x:v>HIGH</x:v>
      </x:c>
      <x:c r="J18" s="12" t="str">
        <x:v>Bromley</x:v>
      </x:c>
      <x:c r="K18" s="12" t="str">
        <x:v>ONS local housing prices</x:v>
      </x:c>
      <x:c r="L18" s="12" t="str">
        <x:v>OBSERVED</x:v>
      </x:c>
      <x:c r="M18" s="12" t="str">
        <x:v>Consumer confidence context</x:v>
      </x:c>
      <x:c r="N18" s="12" t="str">
        <x:v>House prices are not disposable income</x:v>
      </x:c>
    </x:row>
    <x:row r="19">
      <x:c r="A19" s="12" t="str">
        <x:v>Population / households</x:v>
      </x:c>
      <x:c r="B19" s="12" t="str">
        <x:v>Projected growth</x:v>
      </x:c>
      <x:c r="C19" s="12" t="str">
        <x:v>Population +4% over 10 years; households +6% (commercial estimate)</x:v>
      </x:c>
      <x:c r="D19" s="12" t="str">
        <x:v>2025 outlook</x:v>
      </x:c>
      <x:c r="E19" s="12" t="str">
        <x:v>GROWING</x:v>
      </x:c>
      <x:c r="F19" s="12" t="str">
        <x:v>Household growth may outpace population growth, suggesting more household units / smaller households over time</x:v>
      </x:c>
      <x:c r="G19" s="12" t="str">
        <x:v>Acquisition pool can grow, but family segmentation should be refreshed rather than assumed static</x:v>
      </x:c>
      <x:c r="H19" s="12" t="str">
        <x:v>Housing, utilities, home services and family categories remain strategically relevant</x:v>
      </x:c>
      <x:c r="I19" s="12" t="str">
        <x:v>MEDIUM</x:v>
      </x:c>
      <x:c r="J19" s="12" t="str">
        <x:v>Bromley</x:v>
      </x:c>
      <x:c r="K19" s="12" t="str">
        <x:v>CBRE 2025 using Experian / public sources</x:v>
      </x:c>
      <x:c r="L19" s="12" t="str">
        <x:v>FORECAST</x:v>
      </x:c>
      <x:c r="M19" s="12" t="str">
        <x:v>Long-term market size</x:v>
      </x:c>
      <x:c r="N19" s="12" t="str">
        <x:v>Commercial projection; official GLA scenario may differ</x:v>
      </x:c>
    </x:row>
    <x:row r="20">
      <x:c r="A20" s="12" t="str">
        <x:v>Town-centre housing</x:v>
      </x:c>
      <x:c r="B20" s="12" t="str">
        <x:v>Bromley Town Centre Opportunity Area</x:v>
      </x:c>
      <x:c r="C20" s="12" t="str">
        <x:v>Indicative target of 2,500 homes</x:v>
      </x:c>
      <x:c r="D20" s="12" t="str">
        <x:v>Local Plan horizon</x:v>
      </x:c>
      <x:c r="E20" s="12" t="str">
        <x:v>GROWTH / DENSIFICATION</x:v>
      </x:c>
      <x:c r="F20" s="12" t="str">
        <x:v>More residents may be added close to transport, retail and leisure infrastructure</x:v>
      </x:c>
      <x:c r="G20" s="12" t="str">
        <x:v>Future fan acquisition could become easier around Bromley South/town-centre corridor</x:v>
      </x:c>
      <x:c r="H20" s="12" t="str">
        <x:v>Property developers and place-making partners can link resident acquisition to club/community activity</x:v>
      </x:c>
      <x:c r="I20" s="12" t="str">
        <x:v>HIGH</x:v>
      </x:c>
      <x:c r="J20" s="12" t="str">
        <x:v>Bromley town centre</x:v>
      </x:c>
      <x:c r="K20" s="12" t="str">
        <x:v>Bromley Local Plan Direction of Travel</x:v>
      </x:c>
      <x:c r="L20" s="12" t="str">
        <x:v>PLANNING TARGET</x:v>
      </x:c>
      <x:c r="M20" s="12" t="str">
        <x:v>Future catchment</x:v>
      </x:c>
      <x:c r="N20" s="12" t="str">
        <x:v>Delivery timing uncertain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52" hidden="0" customWidth="1"/>
    <x:col min="4" max="4" width="48" hidden="0" customWidth="1"/>
    <x:col min="5" max="5" width="44" hidden="0" customWidth="1"/>
    <x:col min="6" max="6" width="40" hidden="0" customWidth="1"/>
    <x:col min="7" max="7" width="38" hidden="0" customWidth="1"/>
    <x:col min="8" max="8" width="42" hidden="0" customWidth="1"/>
    <x:col min="9" max="9" width="16" hidden="0" customWidth="1"/>
    <x:col min="10" max="10" width="16" hidden="0" customWidth="1"/>
    <x:col min="11" max="11" width="20" hidden="0" customWidth="1"/>
  </x:cols>
  <x:sheetData>
    <x:row r="1">
      <x:c r="A1" s="176" t="str">
        <x:v>Market Trend Plays — What London City Can Exploit</x:v>
      </x:c>
    </x:row>
    <x:row r="3">
      <x:c r="A3" s="182" t="str">
        <x:v>Trend</x:v>
      </x:c>
      <x:c r="B3" s="182" t="str">
        <x:v>Signal strength</x:v>
      </x:c>
      <x:c r="C3" s="182" t="str">
        <x:v>Strategic hypothesis</x:v>
      </x:c>
      <x:c r="D3" s="182" t="str">
        <x:v>Ticketing implication</x:v>
      </x:c>
      <x:c r="E3" s="182" t="str">
        <x:v>Local activation</x:v>
      </x:c>
      <x:c r="F3" s="182" t="str">
        <x:v>Sponsor categories</x:v>
      </x:c>
      <x:c r="G3" s="182" t="str">
        <x:v>Metric to monitor</x:v>
      </x:c>
      <x:c r="H3" s="182" t="str">
        <x:v>Risk</x:v>
      </x:c>
      <x:c r="I3" s="182" t="str">
        <x:v>Time horizon</x:v>
      </x:c>
      <x:c r="J3" s="182" t="str">
        <x:v>Priority</x:v>
      </x:c>
      <x:c r="K3" s="182" t="str">
        <x:v>Status</x:v>
      </x:c>
    </x:row>
    <x:row r="4">
      <x:c r="A4" s="12" t="str">
        <x:v>Leisure wallet growing</x:v>
      </x:c>
      <x:c r="B4" s="12" t="str">
        <x:v>VERY HIGH</x:v>
      </x:c>
      <x:c r="C4" s="12" t="str">
        <x:v>London City should compete for the leisure budget, not only the football budget</x:v>
      </x:c>
      <x:c r="D4" s="12" t="str">
        <x:v>Bundle experience/value rather than relying only on ticket discounts</x:v>
      </x:c>
      <x:c r="E4" s="12" t="str">
        <x:v>Match + meal / leisure-day partnerships</x:v>
      </x:c>
      <x:c r="F4" s="12" t="str">
        <x:v>Hospitality, leisure, entertainment, payments</x:v>
      </x:c>
      <x:c r="G4" s="12" t="str">
        <x:v>Leisure spend forecasts + local footfall + attendance</x:v>
      </x:c>
      <x:c r="H4" s="12" t="str">
        <x:v>Forecast growth may not translate directly to club spend</x:v>
      </x:c>
      <x:c r="I4" s="12" t="str">
        <x:v>3–10 years</x:v>
      </x:c>
      <x:c r="J4" s="12" t="str">
        <x:v>VERY HIGH</x:v>
      </x:c>
      <x:c r="K4" s="12" t="str">
        <x:v>BUILD INTO ENGINE</x:v>
      </x:c>
    </x:row>
    <x:row r="5">
      <x:c r="A5" s="12" t="str">
        <x:v>Restaurant/café growth</x:v>
      </x:c>
      <x:c r="B5" s="12" t="str">
        <x:v>VERY HIGH</x:v>
      </x:c>
      <x:c r="C5" s="12" t="str">
        <x:v>Food is likely to be the strongest local co-consumption category around matchday</x:v>
      </x:c>
      <x:c r="D5" s="12" t="str">
        <x:v>Ticket-holder rewards / family bundles can increase total perceived value</x:v>
      </x:c>
      <x:c r="E5" s="12" t="str">
        <x:v>Restaurant Week-style matchday network</x:v>
      </x:c>
      <x:c r="F5" s="12" t="str">
        <x:v>Restaurants, cafés, delivery, payment cards</x:v>
      </x:c>
      <x:c r="G5" s="12" t="str">
        <x:v>Redemptions, pre/post-match spend, ticket conversion</x:v>
      </x:c>
      <x:c r="H5" s="12" t="str">
        <x:v>Operational coordination across many SMEs</x:v>
      </x:c>
      <x:c r="I5" s="12" t="str">
        <x:v>Now–2034</x:v>
      </x:c>
      <x:c r="J5" s="12" t="str">
        <x:v>VERY HIGH</x:v>
      </x:c>
      <x:c r="K5" s="12" t="str">
        <x:v>TEST</x:v>
      </x:c>
    </x:row>
    <x:row r="6">
      <x:c r="A6" s="12" t="str">
        <x:v>Sport/recreation growth</x:v>
      </x:c>
      <x:c r="B6" s="12" t="str">
        <x:v>HIGH</x:v>
      </x:c>
      <x:c r="C6" s="12" t="str">
        <x:v>Participation households can be converted into spectator households</x:v>
      </x:c>
      <x:c r="D6" s="12" t="str">
        <x:v>Grassroots Club Pack + first-timer-to-repeat journey</x:v>
      </x:c>
      <x:c r="E6" s="12" t="str">
        <x:v>Fitness/leisure centre CRM partnerships</x:v>
      </x:c>
      <x:c r="F6" s="12" t="str">
        <x:v>Fitness, sports retail, health, recreation</x:v>
      </x:c>
      <x:c r="G6" s="12" t="str">
        <x:v>Partner-referred buyers + repeat attendance</x:v>
      </x:c>
      <x:c r="H6" s="12" t="str">
        <x:v>Active people may prefer participation to spectating</x:v>
      </x:c>
      <x:c r="I6" s="12" t="str">
        <x:v>Now–2034</x:v>
      </x:c>
      <x:c r="J6" s="12" t="str">
        <x:v>HIGH</x:v>
      </x:c>
      <x:c r="K6" s="12" t="str">
        <x:v>TEST</x:v>
      </x:c>
    </x:row>
    <x:row r="7">
      <x:c r="A7" s="12" t="str">
        <x:v>Traditional retail space mature</x:v>
      </x:c>
      <x:c r="B7" s="12" t="str">
        <x:v>HIGH</x:v>
      </x:c>
      <x:c r="C7" s="12" t="str">
        <x:v>Physical retail is more useful as media/experience inventory than as generic sponsor category</x:v>
      </x:c>
      <x:c r="D7" s="12" t="str">
        <x:v>Use retail sites for acquisition moments, not just discounting</x:v>
      </x:c>
      <x:c r="E7" s="12" t="str">
        <x:v>The Glades OOH/pop-up/player appearance</x:v>
      </x:c>
      <x:c r="F7" s="12" t="str">
        <x:v>Retail centres, fashion, consumer brands</x:v>
      </x:c>
      <x:c r="G7" s="12" t="str">
        <x:v>QR leads + incremental sales</x:v>
      </x:c>
      <x:c r="H7" s="12" t="str">
        <x:v>Retail media may have weak incrementality if untargeted</x:v>
      </x:c>
      <x:c r="I7" s="12" t="str">
        <x:v>Now</x:v>
      </x:c>
      <x:c r="J7" s="12" t="str">
        <x:v>HIGH</x:v>
      </x:c>
      <x:c r="K7" s="12" t="str">
        <x:v>TEST</x:v>
      </x:c>
    </x:row>
    <x:row r="8">
      <x:c r="A8" s="12" t="str">
        <x:v>Affluent but cost-conscious</x:v>
      </x:c>
      <x:c r="B8" s="12" t="str">
        <x:v>HIGH</x:v>
      </x:c>
      <x:c r="C8" s="12" t="str">
        <x:v>Strong income coexists with rising rents and expensive housing</x:v>
      </x:c>
      <x:c r="D8" s="12" t="str">
        <x:v>Maintain accessible ticket entry while monetising optional experience/premium layers</x:v>
      </x:c>
      <x:c r="E8" s="12" t="str">
        <x:v>Partner-added value rather than blanket price cuts</x:v>
      </x:c>
      <x:c r="F8" s="12" t="str">
        <x:v>Finance, utilities, food, mobility, rewards</x:v>
      </x:c>
      <x:c r="G8" s="12" t="str">
        <x:v>Realised £/ticket + repeat + family basket</x:v>
      </x:c>
      <x:c r="H8" s="12" t="str">
        <x:v>Borough averages hide lower-income segments</x:v>
      </x:c>
      <x:c r="I8" s="12" t="str">
        <x:v>Now</x:v>
      </x:c>
      <x:c r="J8" s="12" t="str">
        <x:v>VERY HIGH</x:v>
      </x:c>
      <x:c r="K8" s="12" t="str">
        <x:v>BUILD</x:v>
      </x:c>
    </x:row>
    <x:row r="9">
      <x:c r="A9" s="12" t="str">
        <x:v>Service-sector employer network</x:v>
      </x:c>
      <x:c r="B9" s="12" t="str">
        <x:v>HIGH</x:v>
      </x:c>
      <x:c r="C9" s="12" t="str">
        <x:v>Local employers can function as distribution nodes as well as sponsors</x:v>
      </x:c>
      <x:c r="D9" s="12" t="str">
        <x:v>Employer family offers / staff ticket blocks / community days</x:v>
      </x:c>
      <x:c r="E9" s="12" t="str">
        <x:v>Health, retail, education, admin/support employer campaigns</x:v>
      </x:c>
      <x:c r="F9" s="12" t="str">
        <x:v>Health, retail, education, services</x:v>
      </x:c>
      <x:c r="G9" s="12" t="str">
        <x:v>Tickets per employer + CRM opt-ins</x:v>
      </x:c>
      <x:c r="H9" s="12" t="str">
        <x:v>B2B sales cycles / employee relevance varies</x:v>
      </x:c>
      <x:c r="I9" s="12" t="str">
        <x:v>Now</x:v>
      </x:c>
      <x:c r="J9" s="12" t="str">
        <x:v>HIGH</x:v>
      </x:c>
      <x:c r="K9" s="12" t="str">
        <x:v>TEST</x:v>
      </x:c>
    </x:row>
    <x:row r="10">
      <x:c r="A10" s="12" t="str">
        <x:v>Town-centre densification</x:v>
      </x:c>
      <x:c r="B10" s="12" t="str">
        <x:v>MED-HIGH</x:v>
      </x:c>
      <x:c r="C10" s="12" t="str">
        <x:v>More residents near Bromley South can enlarge the lowest-friction fan pool</x:v>
      </x:c>
      <x:c r="D10" s="12" t="str">
        <x:v>Future local resident onboarding / newcomer ticket offers</x:v>
      </x:c>
      <x:c r="E10" s="12" t="str">
        <x:v>Developer welcome packs + place-making activity</x:v>
      </x:c>
      <x:c r="F10" s="12" t="str">
        <x:v>Property, utilities, home services</x:v>
      </x:c>
      <x:c r="G10" s="12" t="str">
        <x:v>New-build postcodes + first-time buyer attendance</x:v>
      </x:c>
      <x:c r="H10" s="12" t="str">
        <x:v>Housing delivery may lag plans</x:v>
      </x:c>
      <x:c r="I10" s="12" t="str">
        <x:v>3–10 years</x:v>
      </x:c>
      <x:c r="J10" s="12" t="str">
        <x:v>MED-HIGH</x:v>
      </x:c>
      <x:c r="K10" s="12" t="str">
        <x:v>MONITOR</x:v>
      </x:c>
    </x:row>
  </x:sheetData>
  <x:mergeCells>
    <x:mergeCell ref="A1:K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22" hidden="0" customWidth="1"/>
    <x:col min="4" max="4" width="22" hidden="0" customWidth="1"/>
    <x:col min="5" max="5" width="16" hidden="0" customWidth="1"/>
    <x:col min="6" max="6" width="14" hidden="0" customWidth="1"/>
    <x:col min="7" max="7" width="34" hidden="0" customWidth="1"/>
    <x:col min="8" max="8" width="16" hidden="0" customWidth="1"/>
    <x:col min="9" max="9" width="32" hidden="0" customWidth="1"/>
    <x:col min="10" max="10" width="48" hidden="0" customWidth="1"/>
    <x:col min="11" max="11" width="18" hidden="0" customWidth="1"/>
    <x:col min="12" max="12" width="20" hidden="0" customWidth="1"/>
  </x:cols>
  <x:sheetData>
    <x:row r="1">
      <x:c r="A1" s="176" t="str">
        <x:v>Local Consumer &amp; Business Monitor</x:v>
      </x:c>
    </x:row>
    <x:row r="3">
      <x:c r="A3" s="185" t="str">
        <x:v>Signal</x:v>
      </x:c>
      <x:c r="B3" s="185" t="str">
        <x:v>Metric</x:v>
      </x:c>
      <x:c r="C3" s="185" t="str">
        <x:v>Latest value</x:v>
      </x:c>
      <x:c r="D3" s="185" t="str">
        <x:v>Previous value</x:v>
      </x:c>
      <x:c r="E3" s="185" t="str">
        <x:v>Change</x:v>
      </x:c>
      <x:c r="F3" s="185" t="str">
        <x:v>Direction</x:v>
      </x:c>
      <x:c r="G3" s="185" t="str">
        <x:v>Source</x:v>
      </x:c>
      <x:c r="H3" s="185" t="str">
        <x:v>Frequency</x:v>
      </x:c>
      <x:c r="I3" s="185" t="str">
        <x:v>Alert threshold</x:v>
      </x:c>
      <x:c r="J3" s="185" t="str">
        <x:v>Why alert matters</x:v>
      </x:c>
      <x:c r="K3" s="185" t="str">
        <x:v>Last checked</x:v>
      </x:c>
      <x:c r="L3" s="185" t="str">
        <x:v>Status</x:v>
      </x:c>
    </x:row>
    <x:row r="4">
      <x:c r="A4" s="12" t="str">
        <x:v>Town centre footfall</x:v>
      </x:c>
      <x:c r="B4" s="12" t="str">
        <x:v>Monthly/rolling Bromley footfall</x:v>
      </x:c>
      <x:c r="C4" s="12"/>
      <x:c r="D4" s="12"/>
      <x:c r="E4" s="26"/>
      <x:c r="F4" s="12"/>
      <x:c r="G4" s="12" t="str">
        <x:v>Your Bromley footfall archive</x:v>
      </x:c>
      <x:c r="H4" s="12" t="str">
        <x:v>MONTHLY</x:v>
      </x:c>
      <x:c r="I4" s="12" t="str">
        <x:v>±5% YoY or major event uplift</x:v>
      </x:c>
      <x:c r="J4" s="12" t="str">
        <x:v>Changes local activation opportunity</x:v>
      </x:c>
      <x:c r="K4" s="12"/>
      <x:c r="L4" s="12" t="str">
        <x:v>TO MONITOR</x:v>
      </x:c>
    </x:row>
    <x:row r="5">
      <x:c r="A5" s="12" t="str">
        <x:v>Private rents</x:v>
      </x:c>
      <x:c r="B5" s="12" t="str">
        <x:v>Average Bromley monthly rent</x:v>
      </x:c>
      <x:c r="C5" s="12" t="n">
        <x:v>1681</x:v>
      </x:c>
      <x:c r="D5" s="12" t="n">
        <x:v>1638</x:v>
      </x:c>
      <x:c r="E5" s="26" t="n">
        <x:v>0.026</x:v>
      </x:c>
      <x:c r="F5" s="12" t="str">
        <x:v>UP</x:v>
      </x:c>
      <x:c r="G5" s="12" t="str">
        <x:v>ONS</x:v>
      </x:c>
      <x:c r="H5" s="12" t="str">
        <x:v>MONTHLY</x:v>
      </x:c>
      <x:c r="I5" s="12" t="str">
        <x:v>&gt;5% YoY</x:v>
      </x:c>
      <x:c r="J5" s="12" t="str">
        <x:v>Signals pressure on family discretionary budgets</x:v>
      </x:c>
      <x:c r="K5" s="12"/>
      <x:c r="L5" s="12" t="str">
        <x:v>ACTIVE BASELINE</x:v>
      </x:c>
    </x:row>
    <x:row r="6">
      <x:c r="A6" s="12" t="str">
        <x:v>House prices</x:v>
      </x:c>
      <x:c r="B6" s="12" t="str">
        <x:v>Average Bromley house price</x:v>
      </x:c>
      <x:c r="C6" s="12" t="n">
        <x:v>518000</x:v>
      </x:c>
      <x:c r="D6" s="12"/>
      <x:c r="E6" s="26" t="n">
        <x:v>-0.014</x:v>
      </x:c>
      <x:c r="F6" s="12" t="str">
        <x:v>DOWN</x:v>
      </x:c>
      <x:c r="G6" s="12" t="str">
        <x:v>ONS</x:v>
      </x:c>
      <x:c r="H6" s="12" t="str">
        <x:v>MONTHLY</x:v>
      </x:c>
      <x:c r="I6" s="12" t="str">
        <x:v>±5% YoY</x:v>
      </x:c>
      <x:c r="J6" s="12" t="str">
        <x:v>Consumer wealth/confidence context</x:v>
      </x:c>
      <x:c r="K6" s="12"/>
      <x:c r="L6" s="12" t="str">
        <x:v>ACTIVE BASELINE</x:v>
      </x:c>
    </x:row>
    <x:row r="7">
      <x:c r="A7" s="12" t="str">
        <x:v>Resident earnings</x:v>
      </x:c>
      <x:c r="B7" s="12" t="str">
        <x:v>Median full-time weekly resident pay</x:v>
      </x:c>
      <x:c r="C7" s="12" t="n">
        <x:v>964.5</x:v>
      </x:c>
      <x:c r="D7" s="12"/>
      <x:c r="E7" s="26"/>
      <x:c r="F7" s="12"/>
      <x:c r="G7" s="12" t="str">
        <x:v>Nomis / ONS ASHE</x:v>
      </x:c>
      <x:c r="H7" s="12" t="str">
        <x:v>ANNUAL</x:v>
      </x:c>
      <x:c r="I7" s="12" t="str">
        <x:v>Material real-income change</x:v>
      </x:c>
      <x:c r="J7" s="12" t="str">
        <x:v>Affordability / willingness-to-pay context</x:v>
      </x:c>
      <x:c r="K7" s="12"/>
      <x:c r="L7" s="12" t="str">
        <x:v>ACTIVE BASELINE</x:v>
      </x:c>
    </x:row>
    <x:row r="8">
      <x:c r="A8" s="12" t="str">
        <x:v>Business creations / closures</x:v>
      </x:c>
      <x:c r="B8" s="12" t="str">
        <x:v>Bromley business demography</x:v>
      </x:c>
      <x:c r="C8" s="12"/>
      <x:c r="D8" s="12"/>
      <x:c r="E8" s="26"/>
      <x:c r="F8" s="12"/>
      <x:c r="G8" s="12" t="str">
        <x:v>ONS IDBR low-level geography</x:v>
      </x:c>
      <x:c r="H8" s="12" t="str">
        <x:v>QUARTERLY</x:v>
      </x:c>
      <x:c r="I8" s="12" t="str">
        <x:v>Creation/closure gap shifts materially</x:v>
      </x:c>
      <x:c r="J8" s="12" t="str">
        <x:v>Sponsor pipeline and local economic confidence</x:v>
      </x:c>
      <x:c r="K8" s="12"/>
      <x:c r="L8" s="12" t="str">
        <x:v>TO INGEST</x:v>
      </x:c>
    </x:row>
    <x:row r="9">
      <x:c r="A9" s="12" t="str">
        <x:v>Leisure expenditure outlook</x:v>
      </x:c>
      <x:c r="B9" s="12" t="str">
        <x:v>Commercial leisure forecast</x:v>
      </x:c>
      <x:c r="C9" s="12" t="n">
        <x:v>471.7</x:v>
      </x:c>
      <x:c r="D9" s="12"/>
      <x:c r="E9" s="26"/>
      <x:c r="F9" s="12" t="str">
        <x:v>UP</x:v>
      </x:c>
      <x:c r="G9" s="12" t="str">
        <x:v>Bromley Retail &amp; Leisure Study</x:v>
      </x:c>
      <x:c r="H9" s="12" t="str">
        <x:v>MULTI-YEAR</x:v>
      </x:c>
      <x:c r="I9" s="12" t="str">
        <x:v>New study / major revision</x:v>
      </x:c>
      <x:c r="J9" s="12" t="str">
        <x:v>Structural market demand</x:v>
      </x:c>
      <x:c r="K9" s="12"/>
      <x:c r="L9" s="12" t="str">
        <x:v>ACTIVE BASELINE</x:v>
      </x:c>
    </x:row>
    <x:row r="10">
      <x:c r="A10" s="12" t="str">
        <x:v>Local business employment</x:v>
      </x:c>
      <x:c r="B10" s="12" t="str">
        <x:v>Jobs by sector</x:v>
      </x:c>
      <x:c r="C10" s="12"/>
      <x:c r="D10" s="12"/>
      <x:c r="E10" s="26"/>
      <x:c r="F10" s="12"/>
      <x:c r="G10" s="12" t="str">
        <x:v>Nomis / ONS BRES</x:v>
      </x:c>
      <x:c r="H10" s="12" t="str">
        <x:v>ANNUAL</x:v>
      </x:c>
      <x:c r="I10" s="12" t="str">
        <x:v>&gt;10% change in priority sector</x:v>
      </x:c>
      <x:c r="J10" s="12" t="str">
        <x:v>Sponsor/category growth signals</x:v>
      </x:c>
      <x:c r="K10" s="12"/>
      <x:c r="L10" s="12" t="str">
        <x:v>TO MONITOR</x:v>
      </x:c>
    </x:row>
  </x:sheetData>
  <x:mergeCells>
    <x:mergeCell ref="A1:L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6" hidden="0" customWidth="1"/>
    <x:col min="4" max="4" width="48" hidden="0" customWidth="1"/>
    <x:col min="5" max="5" width="30" hidden="0" customWidth="1"/>
    <x:col min="6" max="6" width="46" hidden="0" customWidth="1"/>
    <x:col min="7" max="7" width="42" hidden="0" customWidth="1"/>
    <x:col min="8" max="8" width="16" hidden="0" customWidth="1"/>
    <x:col min="9" max="9" width="42" hidden="0" customWidth="1"/>
    <x:col min="10" max="10" width="50" hidden="0" customWidth="1"/>
    <x:col min="11" max="11" width="22" hidden="0" customWidth="1"/>
    <x:col min="12" max="12" width="34" hidden="0" customWidth="1"/>
    <x:col min="13" max="13" width="54" hidden="0" customWidth="1"/>
    <x:col min="14" max="14" width="14" hidden="0" customWidth="1"/>
    <x:col min="15" max="15" width="30" hidden="0" customWidth="1"/>
    <x:col min="16" max="16" width="34" hidden="0" customWidth="1"/>
  </x:cols>
  <x:sheetData>
    <x:row r="1">
      <x:c r="A1" s="187" t="str">
        <x:v>London City Lionesses — Marketing / Ticketing / Matchday Audit</x:v>
      </x:c>
    </x:row>
    <x:row r="2">
      <x:c r="A2" t="str">
        <x:v>What has already been tested, what signal it gives, and what to carry into 2026/27.</x:v>
      </x:c>
    </x:row>
    <x:row r="4">
      <x:c r="A4" s="190" t="str">
        <x:v>Area</x:v>
      </x:c>
      <x:c r="B4" s="190" t="str">
        <x:v>Action / product</x:v>
      </x:c>
      <x:c r="C4" s="190" t="str">
        <x:v>Season</x:v>
      </x:c>
      <x:c r="D4" s="190" t="str">
        <x:v>Observed detail</x:v>
      </x:c>
      <x:c r="E4" s="190" t="str">
        <x:v>Audience</x:v>
      </x:c>
      <x:c r="F4" s="190" t="str">
        <x:v>Strategic objective inferred</x:v>
      </x:c>
      <x:c r="G4" s="190" t="str">
        <x:v>Evidence of traction</x:v>
      </x:c>
      <x:c r="H4" s="190" t="str">
        <x:v>Strength</x:v>
      </x:c>
      <x:c r="I4" s="190" t="str">
        <x:v>Gap / risk</x:v>
      </x:c>
      <x:c r="J4" s="190" t="str">
        <x:v>2026/27 implication</x:v>
      </x:c>
      <x:c r="K4" s="190" t="str">
        <x:v>Keep / scale / change</x:v>
      </x:c>
      <x:c r="L4" s="190" t="str">
        <x:v>KPI to monitor</x:v>
      </x:c>
      <x:c r="M4" s="190" t="str">
        <x:v>Source</x:v>
      </x:c>
      <x:c r="N4" s="190" t="str">
        <x:v>Confidence</x:v>
      </x:c>
      <x:c r="O4" s="190" t="str">
        <x:v>Engine connection</x:v>
      </x:c>
      <x:c r="P4" s="190" t="str">
        <x:v>Notes</x:v>
      </x:c>
    </x:row>
    <x:row r="5">
      <x:c r="A5" s="12" t="str">
        <x:v>Ticketing</x:v>
      </x:c>
      <x:c r="B5" s="12" t="str">
        <x:v>Early-bird Season Tickets</x:v>
      </x:c>
      <x:c r="C5" s="12" t="str">
        <x:v>2025/26</x:v>
      </x:c>
      <x:c r="D5" s="12" t="str">
        <x:v>Adult from £6.55/game; junior £2.45; family of four £14.73</x:v>
      </x:c>
      <x:c r="E5" s="12" t="str">
        <x:v>Families + committed fans</x:v>
      </x:c>
      <x:c r="F5" s="12" t="str">
        <x:v>Lower entry barrier and lock in debut-WSL habit</x:v>
      </x:c>
      <x:c r="G5" s="12" t="str">
        <x:v>Helped establish recurring base in first WSL year</x:v>
      </x:c>
      <x:c r="H5" s="12" t="str">
        <x:v>HIGH</x:v>
      </x:c>
      <x:c r="I5" s="12" t="str">
        <x:v>Very low pricing can anchor perceived value</x:v>
      </x:c>
      <x:c r="J5" s="12" t="str">
        <x:v>Maintain accessible entry but shift more value into bundles/experience</x:v>
      </x:c>
      <x:c r="K5" s="12" t="str">
        <x:v>KEEP, evolve pricing architecture</x:v>
      </x:c>
      <x:c r="L5" s="12" t="str">
        <x:v>ST renewal, utilisation, realised £/seat</x:v>
      </x:c>
      <x:c r="M5" s="12" t="str">
        <x:v>https://www.londoncitylionesses.com/post/season-tickets-for-2025-26-are-now-on-sale</x:v>
      </x:c>
      <x:c r="N5" s="12" t="str">
        <x:v>HIGH</x:v>
      </x:c>
      <x:c r="O5" s="12" t="str">
        <x:v>Ticketing strategy</x:v>
      </x:c>
      <x:c r="P5" s="12" t="str"/>
    </x:row>
    <x:row r="6">
      <x:c r="A6" s="12" t="str">
        <x:v>Ticketing</x:v>
      </x:c>
      <x:c r="B6" s="12" t="str">
        <x:v>Full Season Ticket + 12-game fallback</x:v>
      </x:c>
      <x:c r="C6" s="12" t="str">
        <x:v>2026/27</x:v>
      </x:c>
      <x:c r="D6" s="12" t="str">
        <x:v>Full ST sold out; 12-game product launched at £115 adult / £50 junior</x:v>
      </x:c>
      <x:c r="E6" s="12" t="str">
        <x:v>High-intent fans</x:v>
      </x:c>
      <x:c r="F6" s="12" t="str">
        <x:v>Convert star-driven demand into commitment</x:v>
      </x:c>
      <x:c r="G6" s="12" t="str">
        <x:v>Full season inventory sold out</x:v>
      </x:c>
      <x:c r="H6" s="12" t="str">
        <x:v>VERY HIGH</x:v>
      </x:c>
      <x:c r="I6" s="12" t="str">
        <x:v>Capacity can create false confidence if utilisation lags</x:v>
      </x:c>
      <x:c r="J6" s="12" t="str">
        <x:v>Measure seat utilisation, not only tickets sold</x:v>
      </x:c>
      <x:c r="K6" s="12" t="str">
        <x:v>SCALE + UTILISATION CONTROL</x:v>
      </x:c>
      <x:c r="L6" s="12" t="str">
        <x:v>Attendance per ST holder; resale/no-show rate</x:v>
      </x:c>
      <x:c r="M6" s="12" t="str">
        <x:v>https://www.londoncitylionesses.com/post/2026-27-full-season-tickets-sold-out</x:v>
      </x:c>
      <x:c r="N6" s="12" t="str">
        <x:v>HIGH</x:v>
      </x:c>
      <x:c r="O6" s="12" t="str">
        <x:v>Attendance monitor</x:v>
      </x:c>
      <x:c r="P6" s="12" t="str"/>
    </x:row>
    <x:row r="7">
      <x:c r="A7" s="12" t="str">
        <x:v>Ticketing</x:v>
      </x:c>
      <x:c r="B7" s="12" t="str">
        <x:v>LCL Hat-Trick 3-game bundle</x:v>
      </x:c>
      <x:c r="C7" s="12" t="str">
        <x:v>2026/27</x:v>
      </x:c>
      <x:c r="D7" s="12" t="str">
        <x:v>Any 3 home WSL games; from £35 adult / £15 junior; 24h early access</x:v>
      </x:c>
      <x:c r="E7" s="12" t="str">
        <x:v>First-timers + flexible fans</x:v>
      </x:c>
      <x:c r="F7" s="12" t="str">
        <x:v>Bridge single ticket to season commitment</x:v>
      </x:c>
      <x:c r="G7" s="12" t="str">
        <x:v>Product launched before season; priority access integrated</x:v>
      </x:c>
      <x:c r="H7" s="12" t="str">
        <x:v>VERY HIGH</x:v>
      </x:c>
      <x:c r="I7" s="12" t="str">
        <x:v>Flexibility can concentrate redemptions on marquee games</x:v>
      </x:c>
      <x:c r="J7" s="12" t="str">
        <x:v>Use engine to recommend fixtures rather than leave bundle entirely unguided</x:v>
      </x:c>
      <x:c r="K7" s="12" t="str">
        <x:v>SCALE + PERSONALISE</x:v>
      </x:c>
      <x:c r="L7" s="12" t="str">
        <x:v>Bundle redemption mix; 2nd/3rd game usage; upgrade to ST</x:v>
      </x:c>
      <x:c r="M7" s="12" t="str">
        <x:v>https://www.londoncitylionesses.com/post/the-lcl-hat-trick</x:v>
      </x:c>
      <x:c r="N7" s="12" t="str">
        <x:v>HIGH</x:v>
      </x:c>
      <x:c r="O7" s="12" t="str">
        <x:v>Calendar + ticketing engine</x:v>
      </x:c>
      <x:c r="P7" s="12" t="str">
        <x:v>This already closes the product gap previously identified.</x:v>
      </x:c>
    </x:row>
    <x:row r="8">
      <x:c r="A8" s="12" t="str">
        <x:v>Ticketing</x:v>
      </x:c>
      <x:c r="B8" s="12" t="str">
        <x:v>Priority sales ladder</x:v>
      </x:c>
      <x:c r="C8" s="12" t="str">
        <x:v>2026/27</x:v>
      </x:c>
      <x:c r="D8" s="12" t="str">
        <x:v>ST / Hat-Trick / Sister Clubs first, then previous buyers + registered interest, then general sale</x:v>
      </x:c>
      <x:c r="E8" s="12" t="str">
        <x:v>CRM segments</x:v>
      </x:c>
      <x:c r="F8" s="12" t="str">
        <x:v>Reward commitment and create scarcity / data capture</x:v>
      </x:c>
      <x:c r="G8" s="12" t="str">
        <x:v>Multi-stage presale architecture in use</x:v>
      </x:c>
      <x:c r="H8" s="12" t="str">
        <x:v>HIGH</x:v>
      </x:c>
      <x:c r="I8" s="12" t="str">
        <x:v>Can become operationally complex</x:v>
      </x:c>
      <x:c r="J8" s="12" t="str">
        <x:v>Make priority dynamic by propensity and territory</x:v>
      </x:c>
      <x:c r="K8" s="12" t="str">
        <x:v>KEEP + OPTIMISE</x:v>
      </x:c>
      <x:c r="L8" s="12" t="str">
        <x:v>Conversion by presale segment</x:v>
      </x:c>
      <x:c r="M8" s="12" t="str">
        <x:v>https://www.londoncitylionesses.com/post/how-to-buy-tickets</x:v>
      </x:c>
      <x:c r="N8" s="12" t="str">
        <x:v>HIGH</x:v>
      </x:c>
      <x:c r="O8" s="12" t="str">
        <x:v>CRM / propensity</x:v>
      </x:c>
      <x:c r="P8" s="12" t="str"/>
    </x:row>
    <x:row r="9">
      <x:c r="A9" s="12" t="str">
        <x:v>Ticketing</x:v>
      </x:c>
      <x:c r="B9" s="12" t="str">
        <x:v>Group ticket discount</x:v>
      </x:c>
      <x:c r="C9" s="12" t="str">
        <x:v>2026/27</x:v>
      </x:c>
      <x:c r="D9" s="12" t="str">
        <x:v>10+ group discount advertised for Man Utd</x:v>
      </x:c>
      <x:c r="E9" s="12" t="str">
        <x:v>Teams, schools, birthdays, organisations</x:v>
      </x:c>
      <x:c r="F9" s="12" t="str">
        <x:v>Use group organisers as distribution nodes</x:v>
      </x:c>
      <x:c r="G9" s="12" t="str">
        <x:v>Current-season product exists</x:v>
      </x:c>
      <x:c r="H9" s="12" t="str">
        <x:v>HIGH</x:v>
      </x:c>
      <x:c r="I9" s="12" t="str">
        <x:v>Could remain generic and reactive</x:v>
      </x:c>
      <x:c r="J9" s="12" t="str">
        <x:v>Formalise organisation packs with referral codes + repeat logic</x:v>
      </x:c>
      <x:c r="K9" s="12" t="str">
        <x:v>SCALE</x:v>
      </x:c>
      <x:c r="L9" s="12" t="str">
        <x:v>Tickets per organiser; repeat households</x:v>
      </x:c>
      <x:c r="M9" s="12" t="str">
        <x:v>https://www.londoncitylionesses.com/man-united-h-2627</x:v>
      </x:c>
      <x:c r="N9" s="12" t="str">
        <x:v>HIGH</x:v>
      </x:c>
      <x:c r="O9" s="12" t="str">
        <x:v>Grassroots distribution</x:v>
      </x:c>
      <x:c r="P9" s="12" t="str"/>
    </x:row>
    <x:row r="10">
      <x:c r="A10" s="12" t="str">
        <x:v>Premium</x:v>
      </x:c>
      <x:c r="B10" s="12" t="str">
        <x:v>VIP Terrace</x:v>
      </x:c>
      <x:c r="C10" s="12" t="str">
        <x:v>2026/27</x:v>
      </x:c>
      <x:c r="D10" s="12" t="str">
        <x:v>£50; lounge-style booths, premium bar/food, complimentary drink, gifts, DJ; Man Utd sold out within 24h</x:v>
      </x:c>
      <x:c r="E10" s="12" t="str">
        <x:v>Groups, celebrations, corporate, higher WTP</x:v>
      </x:c>
      <x:c r="F10" s="12" t="str">
        <x:v>Add yield without changing general-entry pricing</x:v>
      </x:c>
      <x:c r="G10" s="12" t="str">
        <x:v>Man Utd allocation sold out within 24 hours</x:v>
      </x:c>
      <x:c r="H10" s="12" t="str">
        <x:v>VERY HIGH</x:v>
      </x:c>
      <x:c r="I10" s="12" t="str">
        <x:v>Small inventory / opponent effect</x:v>
      </x:c>
      <x:c r="J10" s="12" t="str">
        <x:v>Test elasticity on non-marquee fixtures and corporate/group demand</x:v>
      </x:c>
      <x:c r="K10" s="12" t="str">
        <x:v>SCALE TEST</x:v>
      </x:c>
      <x:c r="L10" s="12" t="str">
        <x:v>Sell-through speed; premium uplift; repeat premium buyers</x:v>
      </x:c>
      <x:c r="M10" s="12" t="str">
        <x:v>https://www.londoncitylionesses.com/vip-terrace</x:v>
      </x:c>
      <x:c r="N10" s="12" t="str">
        <x:v>HIGH</x:v>
      </x:c>
      <x:c r="O10" s="12" t="str">
        <x:v>Yield strategy</x:v>
      </x:c>
      <x:c r="P10" s="12" t="str"/>
    </x:row>
    <x:row r="11">
      <x:c r="A11" s="12" t="str">
        <x:v>Premium</x:v>
      </x:c>
      <x:c r="B11" s="12" t="str">
        <x:v>Directors Area hospitality</x:v>
      </x:c>
      <x:c r="C11" s="12" t="str">
        <x:v>2026/27</x:v>
      </x:c>
      <x:c r="D11" s="12" t="str">
        <x:v>Premium lounge, food/drink, padded Directors Area seating</x:v>
      </x:c>
      <x:c r="E11" s="12" t="str">
        <x:v>Corporate / premium buyers</x:v>
      </x:c>
      <x:c r="F11" s="12" t="str">
        <x:v>Expand high-value matchday inventory</x:v>
      </x:c>
      <x:c r="G11" s="12" t="str">
        <x:v>Promoted for opening match</x:v>
      </x:c>
      <x:c r="H11" s="12" t="str">
        <x:v>MED-HIGH</x:v>
      </x:c>
      <x:c r="I11" s="12" t="str">
        <x:v>May overlap VIP Terrace without clear segmentation</x:v>
      </x:c>
      <x:c r="J11" s="12" t="str">
        <x:v>Clarify product ladder and occasions</x:v>
      </x:c>
      <x:c r="K11" s="12" t="str">
        <x:v>REFINE</x:v>
      </x:c>
      <x:c r="L11" s="12" t="str">
        <x:v>Revenue per premium seat; segment overlap</x:v>
      </x:c>
      <x:c r="M11" s="12" t="str">
        <x:v>https://www.londoncitylionesses.com/post/season-opener-selling-fast-70-of-tickets-already-gone</x:v>
      </x:c>
      <x:c r="N11" s="12" t="str">
        <x:v>HIGH</x:v>
      </x:c>
      <x:c r="O11" s="12" t="str">
        <x:v>Yield strategy</x:v>
      </x:c>
      <x:c r="P11" s="12" t="str"/>
    </x:row>
    <x:row r="12">
      <x:c r="A12" s="12" t="str">
        <x:v>Matchday</x:v>
      </x:c>
      <x:c r="B12" s="12" t="str">
        <x:v>Family Fanzone</x:v>
      </x:c>
      <x:c r="C12" s="12" t="str">
        <x:v>2025/26</x:v>
      </x:c>
      <x:c r="D12" s="12" t="str">
        <x:v>Games, football simulator, face painting, arts/crafts, photobooth, prizes, food/coffee</x:v>
      </x:c>
      <x:c r="E12" s="12" t="str">
        <x:v>Families + first-timers</x:v>
      </x:c>
      <x:c r="F12" s="12" t="str">
        <x:v>Extend dwell time and make matchday a family leisure product</x:v>
      </x:c>
      <x:c r="G12" s="12" t="str">
        <x:v>Repeated across fixtures / fan guides</x:v>
      </x:c>
      <x:c r="H12" s="12" t="str">
        <x:v>VERY HIGH</x:v>
      </x:c>
      <x:c r="I12" s="12" t="str">
        <x:v>Can become repetitive if content does not rotate</x:v>
      </x:c>
      <x:c r="J12" s="12" t="str">
        <x:v>Create fixture-specific modules and partner-owned activations</x:v>
      </x:c>
      <x:c r="K12" s="12" t="str">
        <x:v>KEEP + ROTATE</x:v>
      </x:c>
      <x:c r="L12" s="12" t="str">
        <x:v>Fanzone dwell, participation, attendee NPS, repeat</x:v>
      </x:c>
      <x:c r="M12" s="12" t="str">
        <x:v>https://www.londoncitylionesses.com/post/fan-guide-arsenal-h</x:v>
      </x:c>
      <x:c r="N12" s="12" t="str">
        <x:v>HIGH</x:v>
      </x:c>
      <x:c r="O12" s="12" t="str">
        <x:v>Experience layer</x:v>
      </x:c>
      <x:c r="P12" s="12" t="str"/>
    </x:row>
    <x:row r="13">
      <x:c r="A13" s="12" t="str">
        <x:v>Matchday</x:v>
      </x:c>
      <x:c r="B13" s="12" t="str">
        <x:v>Giveaways + merch cannon + Spin to Win</x:v>
      </x:c>
      <x:c r="C13" s="12" t="str">
        <x:v>2025/26</x:v>
      </x:c>
      <x:c r="D13" s="12" t="str">
        <x:v>Clappers, foam fingers, merch, half-time cannon, prize mechanics</x:v>
      </x:c>
      <x:c r="E13" s="12" t="str">
        <x:v>Families + atmosphere seekers</x:v>
      </x:c>
      <x:c r="F13" s="12" t="str">
        <x:v>Increase energy, memory and in-bowl engagement</x:v>
      </x:c>
      <x:c r="G13" s="12" t="str">
        <x:v>Repeated in matchday guides</x:v>
      </x:c>
      <x:c r="H13" s="12" t="str">
        <x:v>HIGH</x:v>
      </x:c>
      <x:c r="I13" s="12" t="str">
        <x:v>Low differentiation if generic</x:v>
      </x:c>
      <x:c r="J13" s="12" t="str">
        <x:v>Tie prizes to CRM, sponsors and repeat attendance</x:v>
      </x:c>
      <x:c r="K13" s="12" t="str">
        <x:v>KEEP, DATAFY</x:v>
      </x:c>
      <x:c r="L13" s="12" t="str">
        <x:v>Participation → CRM opt-in → repeat</x:v>
      </x:c>
      <x:c r="M13" s="12" t="str">
        <x:v>https://www.londoncitylionesses.com/post/fan-guide-arsenal-h</x:v>
      </x:c>
      <x:c r="N13" s="12" t="str">
        <x:v>HIGH</x:v>
      </x:c>
      <x:c r="O13" s="12" t="str">
        <x:v>CRM capture</x:v>
      </x:c>
      <x:c r="P13" s="12" t="str"/>
    </x:row>
    <x:row r="14">
      <x:c r="A14" s="12" t="str">
        <x:v>Matchday</x:v>
      </x:c>
      <x:c r="B14" s="12" t="str">
        <x:v>Post-match player interaction</x:v>
      </x:c>
      <x:c r="C14" s="12" t="str">
        <x:v>2025/26</x:v>
      </x:c>
      <x:c r="D14" s="12" t="str">
        <x:v>Player lap; signed mini-balls; meet-your-heroes positioning</x:v>
      </x:c>
      <x:c r="E14" s="12" t="str">
        <x:v>Girls, families, player-led fans</x:v>
      </x:c>
      <x:c r="F14" s="12" t="str">
        <x:v>Exploit intimacy/access impossible at larger stadiums</x:v>
      </x:c>
      <x:c r="G14" s="12" t="str">
        <x:v>Introduced after supporter feedback</x:v>
      </x:c>
      <x:c r="H14" s="12" t="str">
        <x:v>VERY HIGH</x:v>
      </x:c>
      <x:c r="I14" s="12" t="str">
        <x:v>Hard to scale with growth / player workload</x:v>
      </x:c>
      <x:c r="J14" s="12" t="str">
        <x:v>Protect as a signature London City advantage while capacity allows</x:v>
      </x:c>
      <x:c r="K14" s="12" t="str">
        <x:v>PROTECT + SYSTEMISE</x:v>
      </x:c>
      <x:c r="L14" s="12" t="str">
        <x:v>Post-match dwell; family NPS; repeat rate</x:v>
      </x:c>
      <x:c r="M14" s="12" t="str">
        <x:v>https://www.londoncitylionesses.com/event/london-city-lionesses-vs-tottenham-hotspur-%28h%29-fa-cup</x:v>
      </x:c>
      <x:c r="N14" s="12" t="str">
        <x:v>HIGH</x:v>
      </x:c>
      <x:c r="O14" s="12" t="str">
        <x:v>Differentiation</x:v>
      </x:c>
      <x:c r="P14" s="12" t="str"/>
    </x:row>
    <x:row r="15">
      <x:c r="A15" s="12" t="str">
        <x:v>Experience</x:v>
      </x:c>
      <x:c r="B15" s="12" t="str">
        <x:v>Choose your matchday / segmented zones</x:v>
      </x:c>
      <x:c r="C15" s="12" t="str">
        <x:v>2026/27</x:v>
      </x:c>
      <x:c r="D15" s="12" t="str">
        <x:v>Family Area, passionate terraces, different seating experiences</x:v>
      </x:c>
      <x:c r="E15" s="12" t="str">
        <x:v>Different supporter archetypes</x:v>
      </x:c>
      <x:c r="F15" s="12" t="str">
        <x:v>Let people self-select atmosphere rather than sell one generic product</x:v>
      </x:c>
      <x:c r="G15" s="12" t="str">
        <x:v>HIGH</x:v>
      </x:c>
      <x:c r="H15" s="12" t="str">
        <x:v>Needs strong CRM tagging to learn which profile converts</x:v>
      </x:c>
      <x:c r="I15" s="12" t="str">
        <x:v>Capture chosen experience as preference data</x:v>
      </x:c>
      <x:c r="J15" s="12" t="str">
        <x:v>SCALE</x:v>
      </x:c>
      <x:c r="K15" s="12" t="str">
        <x:v>Conversion and repeat by seating persona</x:v>
      </x:c>
      <x:c r="L15" s="12" t="str">
        <x:v>https://www.londoncitylionesses.com/chooseyourmatchday</x:v>
      </x:c>
      <x:c r="M15" s="12" t="str">
        <x:v>HIGH</x:v>
      </x:c>
      <x:c r="N15" s="12" t="str">
        <x:v>Audience segmentation</x:v>
      </x:c>
      <x:c r="O15" s="12" t="str"/>
      <x:c r="P15" s="12"/>
    </x:row>
    <x:row r="16">
      <x:c r="A16" s="12" t="str">
        <x:v>Experience</x:v>
      </x:c>
      <x:c r="B16" s="12" t="str">
        <x:v>Big-screen celebration messages</x:v>
      </x:c>
      <x:c r="C16" s="12" t="str">
        <x:v>2025/26</x:v>
      </x:c>
      <x:c r="D16" s="12" t="str">
        <x:v>Birthday, graduation and special-event messages for attendees</x:v>
      </x:c>
      <x:c r="E16" s="12" t="str">
        <x:v>Celebrations / groups</x:v>
      </x:c>
      <x:c r="F16" s="12" t="str">
        <x:v>Make matchday personally meaningful</x:v>
      </x:c>
      <x:c r="G16" s="12" t="str">
        <x:v>MEDIUM</x:v>
      </x:c>
      <x:c r="H16" s="12" t="str">
        <x:v>Small standalone impact</x:v>
      </x:c>
      <x:c r="I16" s="12" t="str">
        <x:v>Bundle into birthdays / group packages / VIP</x:v>
      </x:c>
      <x:c r="J16" s="12" t="str">
        <x:v>KEEP AS ADD-ON</x:v>
      </x:c>
      <x:c r="K16" s="12" t="str">
        <x:v>Submissions; group size; premium conversion</x:v>
      </x:c>
      <x:c r="L16" s="12" t="str">
        <x:v>https://www.londoncitylionesses.com/final-two-bundle</x:v>
      </x:c>
      <x:c r="M16" s="12" t="str">
        <x:v>HIGH</x:v>
      </x:c>
      <x:c r="N16" s="12" t="str">
        <x:v>Occasion-based ticketing</x:v>
      </x:c>
      <x:c r="O16" s="12" t="str"/>
      <x:c r="P16" s="12"/>
    </x:row>
    <x:row r="17">
      <x:c r="A17" s="12" t="str">
        <x:v>Community</x:v>
      </x:c>
      <x:c r="B17" s="12" t="str">
        <x:v>Mastercard Sister Club programme</x:v>
      </x:c>
      <x:c r="C17" s="12" t="str">
        <x:v>2025/26-26/27</x:v>
      </x:c>
      <x:c r="D17" s="12" t="str">
        <x:v>Free tickets for players, mascots, priority appearances, festivals and clinics</x:v>
      </x:c>
      <x:c r="E17" s="12" t="str">
        <x:v>Girls grassroots + families</x:v>
      </x:c>
      <x:c r="F17" s="12" t="str">
        <x:v>Convert participation network into fans and deepen community distribution</x:v>
      </x:c>
      <x:c r="G17" s="12" t="str">
        <x:v>Structured programme with sponsor funding</x:v>
      </x:c>
      <x:c r="H17" s="12" t="str">
        <x:v>VERY HIGH</x:v>
      </x:c>
      <x:c r="I17" s="12" t="str">
        <x:v>Free tickets may not convert unless repeat journey is designed</x:v>
      </x:c>
      <x:c r="J17" s="12" t="str">
        <x:v>Track first free visit → paid household → repeat</x:v>
      </x:c>
      <x:c r="K17" s="12" t="str">
        <x:v>SCALE + MEASURE CONVERSION</x:v>
      </x:c>
      <x:c r="L17" s="12" t="str">
        <x:v>Free-to-paid conversion; household repeat</x:v>
      </x:c>
      <x:c r="M17" s="12" t="str">
        <x:v>https://www.londoncitylionesses.com/sister-clubs</x:v>
      </x:c>
      <x:c r="N17" s="12" t="str">
        <x:v>HIGH</x:v>
      </x:c>
      <x:c r="O17" s="12" t="str">
        <x:v>Grassroots network</x:v>
      </x:c>
      <x:c r="P17" s="12" t="str"/>
    </x:row>
    <x:row r="18">
      <x:c r="A18" s="12" t="str">
        <x:v>Community</x:v>
      </x:c>
      <x:c r="B18" s="12" t="str">
        <x:v>Girls community sessions</x:v>
      </x:c>
      <x:c r="C18" s="12" t="str">
        <x:v>2026/27</x:v>
      </x:c>
      <x:c r="D18" s="12" t="str">
        <x:v>Sessions across London and Kent; all abilities; register interest</x:v>
      </x:c>
      <x:c r="E18" s="12" t="str">
        <x:v>Girls + parents</x:v>
      </x:c>
      <x:c r="F18" s="12" t="str">
        <x:v>Create owned participation funnel and affinity</x:v>
      </x:c>
      <x:c r="G18" s="12" t="str">
        <x:v>HIGH</x:v>
      </x:c>
      <x:c r="H18" s="12" t="str">
        <x:v>Can sit separately from ticket CRM</x:v>
      </x:c>
      <x:c r="I18" s="12" t="str">
        <x:v>Link every participant household to matchday journey</x:v>
      </x:c>
      <x:c r="J18" s="12" t="str">
        <x:v>CONNECT TO CRM</x:v>
      </x:c>
      <x:c r="K18" s="12" t="str">
        <x:v>Participant → match attendance → repeat</x:v>
      </x:c>
      <x:c r="L18" s="12" t="str">
        <x:v>https://www.londoncitylionesses.com/communitysessions</x:v>
      </x:c>
      <x:c r="M18" s="12" t="str">
        <x:v>HIGH</x:v>
      </x:c>
      <x:c r="N18" s="12" t="str">
        <x:v>Grassroots + CRM</x:v>
      </x:c>
      <x:c r="O18" s="12" t="str"/>
      <x:c r="P18" s="12"/>
    </x:row>
    <x:row r="19">
      <x:c r="A19" s="12" t="str">
        <x:v>Feedback</x:v>
      </x:c>
      <x:c r="B19" s="12" t="str">
        <x:v>You Said, We Listened</x:v>
      </x:c>
      <x:c r="C19" s="12" t="str">
        <x:v>2025/26</x:v>
      </x:c>
      <x:c r="D19" s="12" t="str">
        <x:v>Earlier alcohol licence, easier entry, improved signage, vendors, fanzone layout, more player interaction</x:v>
      </x:c>
      <x:c r="E19" s="12" t="str">
        <x:v>Existing attendees</x:v>
      </x:c>
      <x:c r="F19" s="12" t="str">
        <x:v>Reduce friction based on fan feedback</x:v>
      </x:c>
      <x:c r="G19" s="12" t="str">
        <x:v>Multiple match guides document changes</x:v>
      </x:c>
      <x:c r="H19" s="12" t="str">
        <x:v>VERY HIGH</x:v>
      </x:c>
      <x:c r="I19" s="12" t="str">
        <x:v>Feedback can stay anecdotal</x:v>
      </x:c>
      <x:c r="J19" s="12" t="str">
        <x:v>Turn into closed-loop operational dashboard by fixture</x:v>
      </x:c>
      <x:c r="K19" s="12" t="str">
        <x:v>SYSTEMISE</x:v>
      </x:c>
      <x:c r="L19" s="12" t="str">
        <x:v>Issue volume; NPS; resolution time; repeat by feedback cohort</x:v>
      </x:c>
      <x:c r="M19" s="12" t="str">
        <x:v>https://www.londoncitylionesses.com/post/fan-guide-everton-h</x:v>
      </x:c>
      <x:c r="N19" s="12" t="str">
        <x:v>HIGH</x:v>
      </x:c>
      <x:c r="O19" s="12" t="str">
        <x:v>Experience operations</x:v>
      </x:c>
      <x:c r="P19" s="12" t="str"/>
    </x:row>
    <x:row r="20">
      <x:c r="A20" s="12" t="str">
        <x:v>Marketing</x:v>
      </x:c>
      <x:c r="B20" s="12" t="str">
        <x:v>Scarcity / sales-progress messaging</x:v>
      </x:c>
      <x:c r="C20" s="12" t="str">
        <x:v>2026/27</x:v>
      </x:c>
      <x:c r="D20" s="12" t="str">
        <x:v>Season opener '70% tickets gone'; VIP sold out; full ST sold out</x:v>
      </x:c>
      <x:c r="E20" s="12" t="str">
        <x:v>Fence-sitters</x:v>
      </x:c>
      <x:c r="F20" s="12" t="str">
        <x:v>Use social proof and urgency to convert</x:v>
      </x:c>
      <x:c r="G20" s="12" t="str">
        <x:v>HIGH</x:v>
      </x:c>
      <x:c r="H20" s="12" t="str">
        <x:v>Can lose credibility if overused</x:v>
      </x:c>
      <x:c r="I20" s="12" t="str">
        <x:v>Trigger only from real sell-through thresholds</x:v>
      </x:c>
      <x:c r="J20" s="12" t="str">
        <x:v>KEEP, AUTOMATE</x:v>
      </x:c>
      <x:c r="K20" s="12" t="str">
        <x:v>Conversion after threshold message</x:v>
      </x:c>
      <x:c r="L20" s="12" t="str">
        <x:v>https://www.londoncitylionesses.com/post/season-opener-selling-fast-70-of-tickets-already-gone</x:v>
      </x:c>
      <x:c r="M20" s="12" t="str">
        <x:v>HIGH</x:v>
      </x:c>
      <x:c r="N20" s="12" t="str">
        <x:v>Attendance momentum</x:v>
      </x:c>
      <x:c r="O20" s="12" t="str"/>
      <x:c r="P20" s="12"/>
    </x:row>
  </x:sheetData>
  <x:mergeCells>
    <x:mergeCell ref="A1:P1"/>
    <x:mergeCell ref="A2:P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52" hidden="0" customWidth="1"/>
    <x:col min="4" max="4" width="44" hidden="0" customWidth="1"/>
    <x:col min="5" max="5" width="46" hidden="0" customWidth="1"/>
    <x:col min="6" max="6" width="24" hidden="0" customWidth="1"/>
    <x:col min="7" max="7" width="16" hidden="0" customWidth="1"/>
    <x:col min="8" max="8" width="52" hidden="0" customWidth="1"/>
    <x:col min="9" max="9" width="38" hidden="0" customWidth="1"/>
    <x:col min="10" max="10" width="40" hidden="0" customWidth="1"/>
    <x:col min="11" max="11" width="58" hidden="0" customWidth="1"/>
    <x:col min="12" max="12" width="14" hidden="0" customWidth="1"/>
    <x:col min="13" max="13" width="22" hidden="0" customWidth="1"/>
    <x:col min="14" max="14" width="20" hidden="0" customWidth="1"/>
    <x:col min="15" max="15" width="30" hidden="0" customWidth="1"/>
    <x:col min="16" max="16" width="50" hidden="0" customWidth="1"/>
  </x:cols>
  <x:sheetData>
    <x:row r="1">
      <x:c r="A1" s="187" t="str">
        <x:v>London Women's Football — Audience Growth Cases</x:v>
      </x:c>
    </x:row>
    <x:row r="3">
      <x:c r="A3" s="193" t="str">
        <x:v>Club / case</x:v>
      </x:c>
      <x:c r="B3" s="193" t="str">
        <x:v>Action</x:v>
      </x:c>
      <x:c r="C3" s="193" t="str">
        <x:v>Observed attendance outcome</x:v>
      </x:c>
      <x:c r="D3" s="193" t="str">
        <x:v>Mechanism</x:v>
      </x:c>
      <x:c r="E3" s="193" t="str">
        <x:v>What likely mattered</x:v>
      </x:c>
      <x:c r="F3" s="193" t="str">
        <x:v>Transferability to London City</x:v>
      </x:c>
      <x:c r="G3" s="193" t="str">
        <x:v>Copy directly?</x:v>
      </x:c>
      <x:c r="H3" s="193" t="str">
        <x:v>Adaptation for Hayes Lane</x:v>
      </x:c>
      <x:c r="I3" s="193" t="str">
        <x:v>Measurement idea</x:v>
      </x:c>
      <x:c r="J3" s="193" t="str">
        <x:v>Risk</x:v>
      </x:c>
      <x:c r="K3" s="193" t="str">
        <x:v>Source</x:v>
      </x:c>
      <x:c r="L3" s="193" t="str">
        <x:v>Confidence</x:v>
      </x:c>
      <x:c r="M3" s="193" t="str">
        <x:v>Category</x:v>
      </x:c>
      <x:c r="N3" s="193" t="str">
        <x:v>Timing</x:v>
      </x:c>
      <x:c r="O3" s="193" t="str">
        <x:v>Audience</x:v>
      </x:c>
      <x:c r="P3" s="193" t="str">
        <x:v>Strategic lesson</x:v>
      </x:c>
    </x:row>
    <x:row r="4">
      <x:c r="A4" s="12" t="str">
        <x:v>Crystal Palace Women</x:v>
      </x:c>
      <x:c r="B4" s="12" t="str">
        <x:v>Use Selhurst Park as event venue + family fun</x:v>
      </x:c>
      <x:c r="C4" s="12" t="str">
        <x:v>1,969 previous record → 4,442 vs Southampton → 5,566 vs Watford → 6,796 final-day title match in 2023/24</x:v>
      </x:c>
      <x:c r="D4" s="12" t="str">
        <x:v>Bigger familiar stadium + occasion + family activities + on-pitch stakes</x:v>
      </x:c>
      <x:c r="E4" s="12" t="str">
        <x:v>Stadium/brand familiarity, family programming, scarcity and meaningful fixtures combined</x:v>
      </x:c>
      <x:c r="F4" s="12" t="str">
        <x:v>HIGH</x:v>
      </x:c>
      <x:c r="G4" s="12" t="str">
        <x:v>NO</x:v>
      </x:c>
      <x:c r="H4" s="12" t="str">
        <x:v>Use marquee fixtures as event days at Hayes Lane; maximise event programming rather than move venue by default</x:v>
      </x:c>
      <x:c r="I4" s="12" t="str">
        <x:v>Compare event-programmed fixtures vs normal fixtures controlling opponent/weather</x:v>
      </x:c>
      <x:c r="J4" s="12" t="str">
        <x:v>Palace has men's-club fanbase London City lacks</x:v>
      </x:c>
      <x:c r="K4" s="12" t="str">
        <x:v>https://www.cpfc.co.uk/news/match-reports/match-report-highlights-crystal-palace-women-watford-march-2024/</x:v>
      </x:c>
      <x:c r="L4" s="12" t="str">
        <x:v>HIGH</x:v>
      </x:c>
      <x:c r="M4" s="12" t="str">
        <x:v>EVENTISATION</x:v>
      </x:c>
      <x:c r="N4" s="12" t="str">
        <x:v>Marquee / run-in</x:v>
      </x:c>
      <x:c r="O4" s="12" t="str">
        <x:v>Families + existing club fans</x:v>
      </x:c>
      <x:c r="P4" s="12" t="str">
        <x:v>Turn selected fixtures into occasions, not every match</x:v>
      </x:c>
    </x:row>
    <x:row r="5">
      <x:c r="A5" s="12" t="str">
        <x:v>Arsenal Women</x:v>
      </x:c>
      <x:c r="B5" s="12" t="str">
        <x:v>Move women's league inventory to Emirates + multi-game commitment</x:v>
      </x:c>
      <x:c r="C5" s="12" t="str">
        <x:v>47,367 WSL record vs Spurs in Sep 2022; later regular 50k+ demand; all 13 WSL games now Emirates</x:v>
      </x:c>
      <x:c r="D5" s="12" t="str">
        <x:v>Big-stadium availability + derby/event appeal + growing habit</x:v>
      </x:c>
      <x:c r="E5" s="12" t="str">
        <x:v>Repeated access to the same elite venue normalised attendance; bundle/season products build continuity</x:v>
      </x:c>
      <x:c r="F5" s="12" t="str">
        <x:v>MEDIUM-HIGH</x:v>
      </x:c>
      <x:c r="G5" s="12" t="str">
        <x:v>NO</x:v>
      </x:c>
      <x:c r="H5" s="12" t="str">
        <x:v>Copy commitment ladder and seat-utilisation discipline, not stadium scale</x:v>
      </x:c>
      <x:c r="I5" s="12" t="str">
        <x:v>Bundle utilisation + actual attendance, not tickets issued</x:v>
      </x:c>
      <x:c r="J5" s="12" t="str">
        <x:v>Arsenal benefits from massive pre-existing brand and stadium</x:v>
      </x:c>
      <x:c r="K5" s="12" t="str">
        <x:v>https://womenscompetitions.thefa.com/en/Article/new-attendance-record-set-in-barclays-womens-super-league-20222509</x:v>
      </x:c>
      <x:c r="L5" s="12" t="str">
        <x:v>HIGH</x:v>
      </x:c>
      <x:c r="M5" s="12" t="str">
        <x:v>SCALE + HABIT</x:v>
      </x:c>
      <x:c r="N5" s="12" t="str">
        <x:v>Season-long</x:v>
      </x:c>
      <x:c r="O5" s="12" t="str">
        <x:v>Existing fans + new women's football fans</x:v>
      </x:c>
      <x:c r="P5" s="12" t="str">
        <x:v>Consistency matters after headline events</x:v>
      </x:c>
    </x:row>
    <x:row r="6">
      <x:c r="A6" s="12" t="str">
        <x:v>Arsenal Women</x:v>
      </x:c>
      <x:c r="B6" s="12" t="str">
        <x:v>Seat utilisation policy + Ticket Exchange</x:v>
      </x:c>
      <x:c r="C6" s="12" t="str">
        <x:v>Designed to protect atmosphere despite sold ticket inventory</x:v>
      </x:c>
      <x:c r="D6" s="12" t="str">
        <x:v>Require ST/bundle usage or resale to qualify for renewal</x:v>
      </x:c>
      <x:c r="E6" s="12" t="str">
        <x:v>Optimises actual bodies in seats, not vanity 'sold' numbers</x:v>
      </x:c>
      <x:c r="F6" s="12" t="str">
        <x:v>VERY HIGH</x:v>
      </x:c>
      <x:c r="G6" s="12" t="str">
        <x:v>YES</x:v>
      </x:c>
      <x:c r="H6" s="12" t="str">
        <x:v>Introduce utilisation/release mechanism if Hayes Lane season inventory remains constrained</x:v>
      </x:c>
      <x:c r="I6" s="12" t="str">
        <x:v>Sold vs scanned attendance; released seat resale rate</x:v>
      </x:c>
      <x:c r="J6" s="12" t="str">
        <x:v>Operational/technical complexity</x:v>
      </x:c>
      <x:c r="K6" s="12" t="str">
        <x:v>https://help.arsenal.com/support/solutions/articles/101000592509-ticket-exchange</x:v>
      </x:c>
      <x:c r="L6" s="12" t="str">
        <x:v>HIGH</x:v>
      </x:c>
      <x:c r="M6" s="12" t="str">
        <x:v>UTILISATION</x:v>
      </x:c>
      <x:c r="N6" s="12" t="str">
        <x:v>Every fixture</x:v>
      </x:c>
      <x:c r="O6" s="12" t="str">
        <x:v>Season/bundle holders</x:v>
      </x:c>
      <x:c r="P6" s="12" t="str">
        <x:v>Scarcity only helps if seats are actually occupied</x:v>
      </x:c>
    </x:row>
    <x:row r="7">
      <x:c r="A7" s="12" t="str">
        <x:v>Chelsea Women</x:v>
      </x:c>
      <x:c r="B7" s="12" t="str">
        <x:v>Bridge Pass / early bird / segmented matchday experience</x:v>
      </x:c>
      <x:c r="C7" s="12" t="str">
        <x:v>34,302 vs Arsenal set Chelsea WSL home record in Jan 2025; all 13 WSL games at Stamford Bridge from 2026/27</x:v>
      </x:c>
      <x:c r="D7" s="12" t="str">
        <x:v>Reduce commitment barrier + release tickets in drops + segment seating + premium experiences</x:v>
      </x:c>
      <x:c r="E7" s="12" t="str">
        <x:v>Choice allows both volume and yield growth</x:v>
      </x:c>
      <x:c r="F7" s="12" t="str">
        <x:v>HIGH</x:v>
      </x:c>
      <x:c r="G7" s="12" t="str">
        <x:v>PARTLY</x:v>
      </x:c>
      <x:c r="H7" s="12" t="str">
        <x:v>Keep Hat-Trick but add fixture recommendations, atmosphere personas and premium ladder</x:v>
      </x:c>
      <x:c r="I7" s="12" t="str">
        <x:v>Conversion by product/seating archetype and realised yield</x:v>
      </x:c>
      <x:c r="J7" s="12" t="str">
        <x:v>Chelsea has much larger inventory and men's fanbase</x:v>
      </x:c>
      <x:c r="K7" s="12" t="str">
        <x:v>https://www.chelseafc.com/en/news/article/chelsea-womens-standout-stats-and-records-from-2025</x:v>
      </x:c>
      <x:c r="L7" s="12" t="str">
        <x:v>HIGH</x:v>
      </x:c>
      <x:c r="M7" s="12" t="str">
        <x:v>PORTFOLIO</x:v>
      </x:c>
      <x:c r="N7" s="12" t="str">
        <x:v>Season-long</x:v>
      </x:c>
      <x:c r="O7" s="12" t="str">
        <x:v>Casual + loyal + premium</x:v>
      </x:c>
      <x:c r="P7" s="12" t="str">
        <x:v>One audience can support multiple products</x:v>
      </x:c>
    </x:row>
    <x:row r="8">
      <x:c r="A8" s="12" t="str">
        <x:v>Tottenham Women</x:v>
      </x:c>
      <x:c r="B8" s="12" t="str">
        <x:v>Stage North London derby at flagship stadium</x:v>
      </x:c>
      <x:c r="C8" s="12" t="str">
        <x:v>38,262 in Nov 2019, then WSL record</x:v>
      </x:c>
      <x:c r="D8" s="12" t="str">
        <x:v>Derby + flagship venue + family-day framing + media attention</x:v>
      </x:c>
      <x:c r="E8" s="12" t="str">
        <x:v>Rivalry gives casual fans a simple reason to attend</x:v>
      </x:c>
      <x:c r="F8" s="12" t="str">
        <x:v>MEDIUM</x:v>
      </x:c>
      <x:c r="G8" s="12" t="str">
        <x:v>NO</x:v>
      </x:c>
      <x:c r="H8" s="12" t="str">
        <x:v>Use Palace/Charlton games as South London occasion products</x:v>
      </x:c>
      <x:c r="I8" s="12" t="str">
        <x:v>Derby uplift vs opponent-adjusted baseline</x:v>
      </x:c>
      <x:c r="J8" s="12" t="str">
        <x:v>Historic derby identity stronger than London City rivalries</x:v>
      </x:c>
      <x:c r="K8" s="12" t="str">
        <x:v>https://www.tottenhamhotspur.com/news/996916/wsl-attendance-record-broken-at-new-stadium</x:v>
      </x:c>
      <x:c r="L8" s="12" t="str">
        <x:v>HIGH</x:v>
      </x:c>
      <x:c r="M8" s="12" t="str">
        <x:v>DERBY EVENT</x:v>
      </x:c>
      <x:c r="N8" s="12" t="str">
        <x:v>Selected fixtures</x:v>
      </x:c>
      <x:c r="O8" s="12" t="str">
        <x:v>Families + men's club fans + neutrals</x:v>
      </x:c>
      <x:c r="P8" s="12" t="str">
        <x:v>A clear story sells better than a generic fixture</x:v>
      </x:c>
    </x:row>
    <x:row r="9">
      <x:c r="A9" s="12" t="str">
        <x:v>WSL / British Gas Warmest Welcome</x:v>
      </x:c>
      <x:c r="B9" s="12" t="str">
        <x:v>First-time families receive an end-to-end hosted experience</x:v>
      </x:c>
      <x:c r="C9" s="12" t="str">
        <x:v>Qualitative conversion case: three first-time families described as falling in love with women's football</x:v>
      </x:c>
      <x:c r="D9" s="12" t="str">
        <x:v>Journey starts before stadium: travel, hosting, anticipation, then match experience</x:v>
      </x:c>
      <x:c r="E9" s="12" t="str">
        <x:v>Friction removal + sense of occasion accelerates first-timer conversion</x:v>
      </x:c>
      <x:c r="F9" s="12" t="str">
        <x:v>VERY HIGH</x:v>
      </x:c>
      <x:c r="G9" s="12" t="str">
        <x:v>ADAPT</x:v>
      </x:c>
      <x:c r="H9" s="12" t="str">
        <x:v>Create 'First Match Welcome' for selected family cohorts from target LSOAs / grassroots nodes</x:v>
      </x:c>
      <x:c r="I9" s="12" t="str">
        <x:v>First-time NPS; second purchase ≤90 days</x:v>
      </x:c>
      <x:c r="J9" s="12" t="str">
        <x:v>Partner-funded experience may not scale to all buyers</x:v>
      </x:c>
      <x:c r="K9" s="12" t="str">
        <x:v>https://www.wslfootball.com/news/british-gas-warmest-welcome</x:v>
      </x:c>
      <x:c r="L9" s="12" t="str">
        <x:v>HIGH</x:v>
      </x:c>
      <x:c r="M9" s="12" t="str">
        <x:v>FIRST-TIMER ONBOARDING</x:v>
      </x:c>
      <x:c r="N9" s="12" t="str">
        <x:v>Acquisition fixtures</x:v>
      </x:c>
      <x:c r="O9" s="12" t="str">
        <x:v>New families</x:v>
      </x:c>
      <x:c r="P9" s="12" t="str">
        <x:v>Design the entire journey, not just the seat</x:v>
      </x:c>
    </x:row>
    <x:row r="10">
      <x:c r="A10" s="12" t="str">
        <x:v>FA Women’s Football Weekend</x:v>
      </x:c>
      <x:c r="B10" s="12" t="str">
        <x:v>Concentrated league-wide eventisation</x:v>
      </x:c>
      <x:c r="C10" s="12" t="str">
        <x:v>77,323 cumulative attendance in inaugural Women’s Football Weekend; Spurs-Arsenal 38,262 record in 2019</x:v>
      </x:c>
      <x:c r="D10" s="12" t="str">
        <x:v>Coordinated promotion + fixture concentration + media visibility</x:v>
      </x:c>
      <x:c r="E10" s="12" t="str">
        <x:v>Creates a socially legible moment to 'try women's football'</x:v>
      </x:c>
      <x:c r="F10" s="12" t="str">
        <x:v>HIGH</x:v>
      </x:c>
      <x:c r="G10" s="12" t="str">
        <x:v>ADAPT</x:v>
      </x:c>
      <x:c r="H10" s="12" t="str">
        <x:v>Create London City-owned thematic weekends when calendar whitespace is favourable</x:v>
      </x:c>
      <x:c r="I10" s="12" t="str">
        <x:v>New-buyer share + earned media + repeat</x:v>
      </x:c>
      <x:c r="J10" s="12" t="str">
        <x:v>Cannot recreate league-wide media force alone</x:v>
      </x:c>
      <x:c r="K10" s="12" t="str">
        <x:v>https://www.thefa.com/-/media/thefacom-new/files/womens/2019-20/the-gameplan-for-growth-final-review-and-report.ashx?la=en</x:v>
      </x:c>
      <x:c r="L10" s="12" t="str">
        <x:v>HIGH</x:v>
      </x:c>
      <x:c r="M10" s="12" t="str">
        <x:v>CAMPAIGN MOMENT</x:v>
      </x:c>
      <x:c r="N10" s="12" t="str">
        <x:v>Selected weekends</x:v>
      </x:c>
      <x:c r="O10" s="12" t="str">
        <x:v>New/casual fans</x:v>
      </x:c>
      <x:c r="P10" s="12" t="str">
        <x:v>People need a reason why this weekend matters</x:v>
      </x:c>
    </x:row>
  </x:sheetData>
  <x:mergeCells>
    <x:mergeCell ref="A1:P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  <x:col min="3" max="3" width="44" hidden="0" customWidth="1"/>
    <x:col min="4" max="4" width="22" hidden="0" customWidth="1"/>
    <x:col min="5" max="5" width="54" hidden="0" customWidth="1"/>
    <x:col min="6" max="6" width="32" hidden="0" customWidth="1"/>
    <x:col min="7" max="7" width="34" hidden="0" customWidth="1"/>
    <x:col min="8" max="8" width="34" hidden="0" customWidth="1"/>
    <x:col min="9" max="9" width="42" hidden="0" customWidth="1"/>
    <x:col min="10" max="10" width="38" hidden="0" customWidth="1"/>
    <x:col min="11" max="11" width="40" hidden="0" customWidth="1"/>
    <x:col min="12" max="12" width="18" hidden="0" customWidth="1"/>
    <x:col min="13" max="13" width="16" hidden="0" customWidth="1"/>
  </x:cols>
  <x:sheetData>
    <x:row r="1">
      <x:c r="A1" s="187" t="str">
        <x:v>London City 2026/27 — What to Double Down On</x:v>
      </x:c>
    </x:row>
    <x:row r="3">
      <x:c r="A3" s="196" t="str">
        <x:v>Priority</x:v>
      </x:c>
      <x:c r="B3" s="196" t="str">
        <x:v>Recommendation</x:v>
      </x:c>
      <x:c r="C3" s="196" t="str">
        <x:v>Why now</x:v>
      </x:c>
      <x:c r="D3" s="196" t="str">
        <x:v>Already have foundation?</x:v>
      </x:c>
      <x:c r="E3" s="196" t="str">
        <x:v>What changes</x:v>
      </x:c>
      <x:c r="F3" s="196" t="str">
        <x:v>Target audience</x:v>
      </x:c>
      <x:c r="G3" s="196" t="str">
        <x:v>Best fixtures</x:v>
      </x:c>
      <x:c r="H3" s="196" t="str">
        <x:v>KPI</x:v>
      </x:c>
      <x:c r="I3" s="196" t="str">
        <x:v>Control / test</x:v>
      </x:c>
      <x:c r="J3" s="196" t="str">
        <x:v>Commercial angle</x:v>
      </x:c>
      <x:c r="K3" s="196" t="str">
        <x:v>Operational dependency</x:v>
      </x:c>
      <x:c r="L3" s="196" t="str">
        <x:v>Expected value</x:v>
      </x:c>
      <x:c r="M3" s="196" t="str">
        <x:v>Decision</x:v>
      </x:c>
    </x:row>
    <x:row r="4">
      <x:c r="A4" s="12" t="n">
        <x:v>1</x:v>
      </x:c>
      <x:c r="B4" s="12" t="str">
        <x:v>Turn Hat-Trick into a guided conversion product</x:v>
      </x:c>
      <x:c r="C4" s="12" t="str">
        <x:v>The club already launched the right 3-game bridge</x:v>
      </x:c>
      <x:c r="D4" s="12" t="str">
        <x:v>YES</x:v>
      </x:c>
      <x:c r="E4" s="12" t="str">
        <x:v>Recommend different 3-match pathways by territory/persona instead of pure self-selection</x:v>
      </x:c>
      <x:c r="F4" s="12" t="str">
        <x:v>First-timers / flexible families</x:v>
      </x:c>
      <x:c r="G4" s="12" t="str">
        <x:v>Calendar-whitespace + one marquee + one repeat-oriented fixture</x:v>
      </x:c>
      <x:c r="H4" s="12" t="str">
        <x:v>3/3 redemption; upgrade; 90-day repeat</x:v>
      </x:c>
      <x:c r="I4" s="12" t="str">
        <x:v>Compare guided recommendations vs unguided bundle holders</x:v>
      </x:c>
      <x:c r="J4" s="12" t="str">
        <x:v>Sponsor can fund added-value rather than discount</x:v>
      </x:c>
      <x:c r="K4" s="12" t="str">
        <x:v>CRM segmentation + fixture recommendation engine</x:v>
      </x:c>
      <x:c r="L4" s="12" t="str">
        <x:v>VERY HIGH</x:v>
      </x:c>
      <x:c r="M4" s="12" t="str">
        <x:v>DO</x:v>
      </x:c>
    </x:row>
    <x:row r="5">
      <x:c r="A5" s="12" t="n">
        <x:v>2</x:v>
      </x:c>
      <x:c r="B5" s="12" t="str">
        <x:v>Build First Match Welcome</x:v>
      </x:c>
      <x:c r="C5" s="12" t="str">
        <x:v>First-time fan conversion is now more important than raw acquisition</x:v>
      </x:c>
      <x:c r="D5" s="12" t="str">
        <x:v>PARTLY</x:v>
      </x:c>
      <x:c r="E5" s="12" t="str">
        <x:v>Pre-arrival travel guidance + welcome point + fanzone route + post-match player moment + second-match credit</x:v>
      </x:c>
      <x:c r="F5" s="12" t="str">
        <x:v>First-time families</x:v>
      </x:c>
      <x:c r="G5" s="12" t="str">
        <x:v>Liverpool / Man City / selected low-attention conflict dates</x:v>
      </x:c>
      <x:c r="H5" s="12" t="str">
        <x:v>Second purchase within 90 days</x:v>
      </x:c>
      <x:c r="I5" s="12" t="str">
        <x:v>Matched first-time cohort without hosted journey</x:v>
      </x:c>
      <x:c r="J5" s="12" t="str">
        <x:v>Partner-funded travel/food/welcome pack</x:v>
      </x:c>
      <x:c r="K5" s="12" t="str">
        <x:v>CRM first-time flag + stadium ops</x:v>
      </x:c>
      <x:c r="L5" s="12" t="str">
        <x:v>VERY HIGH</x:v>
      </x:c>
      <x:c r="M5" s="12" t="str">
        <x:v>DO</x:v>
      </x:c>
    </x:row>
    <x:row r="6">
      <x:c r="A6" s="12" t="n">
        <x:v>3</x:v>
      </x:c>
      <x:c r="B6" s="12" t="str">
        <x:v>Treat Palace and Charlton as event fixtures</x:v>
      </x:c>
      <x:c r="C6" s="12" t="str">
        <x:v>London cases show rivalry creates simple attendance narratives</x:v>
      </x:c>
      <x:c r="D6" s="12" t="str">
        <x:v>PARTLY</x:v>
      </x:c>
      <x:c r="E6" s="12" t="str">
        <x:v>Distinct South London derby identity, neutral invitation, group allocations, event-specific content</x:v>
      </x:c>
      <x:c r="F6" s="12" t="str">
        <x:v>Croydon / Lewisham / Greenwich + neutrals</x:v>
      </x:c>
      <x:c r="G6" s="12" t="str">
        <x:v>Palace / Charlton</x:v>
      </x:c>
      <x:c r="H6" s="12" t="str">
        <x:v>Opponent-adjusted attendance uplift</x:v>
      </x:c>
      <x:c r="I6" s="12" t="str">
        <x:v>Compare against similar fixture appeal</x:v>
      </x:c>
      <x:c r="J6" s="12" t="str">
        <x:v>Local businesses + transport + hospitality</x:v>
      </x:c>
      <x:c r="K6" s="12" t="str">
        <x:v>Creative + local distribution</x:v>
      </x:c>
      <x:c r="L6" s="12" t="str">
        <x:v>HIGH</x:v>
      </x:c>
      <x:c r="M6" s="12" t="str">
        <x:v>DO</x:v>
      </x:c>
    </x:row>
    <x:row r="7">
      <x:c r="A7" s="12" t="n">
        <x:v>4</x:v>
      </x:c>
      <x:c r="B7" s="12" t="str">
        <x:v>Protect player access as a signature asset</x:v>
      </x:c>
      <x:c r="C7" s="12" t="str">
        <x:v>London City can offer intimacy bigger clubs struggle to scale</x:v>
      </x:c>
      <x:c r="D7" s="12" t="str">
        <x:v>YES</x:v>
      </x:c>
      <x:c r="E7" s="12" t="str">
        <x:v>Formalise limited, predictable post-match access and reward repeaters / grassroots groups</x:v>
      </x:c>
      <x:c r="F7" s="12" t="str">
        <x:v>Girls + families + player-led fans</x:v>
      </x:c>
      <x:c r="G7" s="12" t="str">
        <x:v>Selected family fixtures</x:v>
      </x:c>
      <x:c r="H7" s="12" t="str">
        <x:v>Repeat rate; experience NPS</x:v>
      </x:c>
      <x:c r="I7" s="12" t="str">
        <x:v>Access vs no-access cohorts where possible</x:v>
      </x:c>
      <x:c r="J7" s="12" t="str">
        <x:v>Mastercard / sponsor-funded access moments</x:v>
      </x:c>
      <x:c r="K7" s="12" t="str">
        <x:v>Player workload / safeguarding</x:v>
      </x:c>
      <x:c r="L7" s="12" t="str">
        <x:v>VERY HIGH</x:v>
      </x:c>
      <x:c r="M7" s="12" t="str">
        <x:v>PROTECT</x:v>
      </x:c>
    </x:row>
    <x:row r="8">
      <x:c r="A8" s="12" t="n">
        <x:v>5</x:v>
      </x:c>
      <x:c r="B8" s="12" t="str">
        <x:v>Introduce seat-utilisation / release discipline</x:v>
      </x:c>
      <x:c r="C8" s="12" t="str">
        <x:v>Full ST sell-out creates risk of empty sold seats</x:v>
      </x:c>
      <x:c r="D8" s="12" t="str">
        <x:v>NO / unclear</x:v>
      </x:c>
      <x:c r="E8" s="12" t="str">
        <x:v>Easy release/resale/return mechanism; utilisation requirement if needed</x:v>
      </x:c>
      <x:c r="F8" s="12" t="str">
        <x:v>ST and 12-game holders</x:v>
      </x:c>
      <x:c r="G8" s="12" t="str">
        <x:v>All fixtures, especially lower-demand</x:v>
      </x:c>
      <x:c r="H8" s="12" t="str">
        <x:v>Scanned/sold ratio; released-seat resale</x:v>
      </x:c>
      <x:c r="I8" s="12" t="str">
        <x:v>Before/after implementation</x:v>
      </x:c>
      <x:c r="J8" s="12" t="str">
        <x:v>Improves sellable inventory without capacity expansion</x:v>
      </x:c>
      <x:c r="K8" s="12" t="str">
        <x:v>Ticketing platform capability</x:v>
      </x:c>
      <x:c r="L8" s="12" t="str">
        <x:v>VERY HIGH</x:v>
      </x:c>
      <x:c r="M8" s="12" t="str">
        <x:v>BUILD</x:v>
      </x:c>
    </x:row>
    <x:row r="9">
      <x:c r="A9" s="12" t="n">
        <x:v>6</x:v>
      </x:c>
      <x:c r="B9" s="12" t="str">
        <x:v>Rotate fanzone content by fixture and persona</x:v>
      </x:c>
      <x:c r="C9" s="12" t="str">
        <x:v>Current family fanzone is strong but repetition risk grows</x:v>
      </x:c>
      <x:c r="D9" s="12" t="str">
        <x:v>YES</x:v>
      </x:c>
      <x:c r="E9" s="12" t="str">
        <x:v>Theme modules: collectors, skills, music, food, girls football, local partners</x:v>
      </x:c>
      <x:c r="F9" s="12" t="str">
        <x:v>Families + first-timers</x:v>
      </x:c>
      <x:c r="G9" s="12" t="str">
        <x:v>All, with stronger activation on acquisition fixtures</x:v>
      </x:c>
      <x:c r="H9" s="12" t="str">
        <x:v>Dwell + participation + NPS + repeat</x:v>
      </x:c>
      <x:c r="I9" s="12" t="str">
        <x:v>Different modules across comparable fixtures</x:v>
      </x:c>
      <x:c r="J9" s="12" t="str">
        <x:v>Sponsor-owned activations create inventory</x:v>
      </x:c>
      <x:c r="K9" s="12" t="str">
        <x:v>Programming calendar + partners</x:v>
      </x:c>
      <x:c r="L9" s="12" t="str">
        <x:v>HIGH</x:v>
      </x:c>
      <x:c r="M9" s="12" t="str">
        <x:v>DO</x:v>
      </x:c>
    </x:row>
    <x:row r="10">
      <x:c r="A10" s="12" t="n">
        <x:v>7</x:v>
      </x:c>
      <x:c r="B10" s="12" t="str">
        <x:v>Use premium products to fund accessibility</x:v>
      </x:c>
      <x:c r="C10" s="12" t="str">
        <x:v>VIP Terrace sold opening-game inventory fast</x:v>
      </x:c>
      <x:c r="D10" s="12" t="str">
        <x:v>YES</x:v>
      </x:c>
      <x:c r="E10" s="12" t="str">
        <x:v>Maintain low-cost family entry while expanding limited premium/social inventory</x:v>
      </x:c>
      <x:c r="F10" s="12" t="str">
        <x:v>Higher WTP groups / corporate / celebrations</x:v>
      </x:c>
      <x:c r="G10" s="12" t="str">
        <x:v>Marquee fixtures first, then price tests</x:v>
      </x:c>
      <x:c r="H10" s="12" t="str">
        <x:v>Premium revenue per seat + GA affordability</x:v>
      </x:c>
      <x:c r="I10" s="12" t="str">
        <x:v>Price elasticity by opponent</x:v>
      </x:c>
      <x:c r="J10" s="12" t="str">
        <x:v>Cross-subsidy story + B2B pipeline</x:v>
      </x:c>
      <x:c r="K10" s="12" t="str">
        <x:v>Capacity / service quality</x:v>
      </x:c>
      <x:c r="L10" s="12" t="str">
        <x:v>HIGH</x:v>
      </x:c>
      <x:c r="M10" s="12" t="str">
        <x:v>TEST SCALE</x:v>
      </x:c>
    </x:row>
    <x:row r="11">
      <x:c r="A11" s="12" t="n">
        <x:v>8</x:v>
      </x:c>
      <x:c r="B11" s="12" t="str">
        <x:v>Close feedback loop fixture-by-fixture</x:v>
      </x:c>
      <x:c r="C11" s="12" t="str">
        <x:v>'You Said, We Listened' is already culturally strong</x:v>
      </x:c>
      <x:c r="D11" s="12" t="str">
        <x:v>YES</x:v>
      </x:c>
      <x:c r="E11" s="12" t="str">
        <x:v>Structured 3-question post-match survey tied to ticket account and operational issues</x:v>
      </x:c>
      <x:c r="F11" s="12" t="str">
        <x:v>All attendees</x:v>
      </x:c>
      <x:c r="G11" s="12" t="str">
        <x:v>Every home match</x:v>
      </x:c>
      <x:c r="H11" s="12" t="str">
        <x:v>NPS, friction index, repeat by issue resolution</x:v>
      </x:c>
      <x:c r="I11" s="12" t="str">
        <x:v>Trend by fixture</x:v>
      </x:c>
      <x:c r="J11" s="12" t="str">
        <x:v>Partner service improvements can be measured</x:v>
      </x:c>
      <x:c r="K11" s="12" t="str">
        <x:v>CRM + ops ownership</x:v>
      </x:c>
      <x:c r="L11" s="12" t="str">
        <x:v>HIGH</x:v>
      </x:c>
      <x:c r="M11" s="12" t="str">
        <x:v>SYSTEMISE</x:v>
      </x:c>
    </x:row>
    <x:row r="12">
      <x:c r="A12" s="12" t="n">
        <x:v>9</x:v>
      </x:c>
      <x:c r="B12" s="12" t="str">
        <x:v>Measure free-ticket conversion from Sister Clubs</x:v>
      </x:c>
      <x:c r="C12" s="12" t="str">
        <x:v>Grassroots access is valuable only if it creates durable households</x:v>
      </x:c>
      <x:c r="D12" s="12" t="str">
        <x:v>YES</x:v>
      </x:c>
      <x:c r="E12" s="12" t="str">
        <x:v>Unique household IDs/referral codes and second-match paid offer</x:v>
      </x:c>
      <x:c r="F12" s="12" t="str">
        <x:v>Girls clubs + parents</x:v>
      </x:c>
      <x:c r="G12" s="12" t="str">
        <x:v>Selected family fixtures</x:v>
      </x:c>
      <x:c r="H12" s="12" t="str">
        <x:v>Free → paid → repeat funnel</x:v>
      </x:c>
      <x:c r="I12" s="12" t="str">
        <x:v>Compare clubs / nodes</x:v>
      </x:c>
      <x:c r="J12" s="12" t="str">
        <x:v>Mastercard impact proof</x:v>
      </x:c>
      <x:c r="K12" s="12" t="str">
        <x:v>Data permissions / CRM linkage</x:v>
      </x:c>
      <x:c r="L12" s="12" t="str">
        <x:v>VERY HIGH</x:v>
      </x:c>
      <x:c r="M12" s="12" t="str">
        <x:v>DO</x:v>
      </x:c>
    </x:row>
    <x:row r="13">
      <x:c r="A13" s="12" t="n">
        <x:v>10</x:v>
      </x:c>
      <x:c r="B13" s="12" t="str">
        <x:v>Use scarcity messages only when data-triggered</x:v>
      </x:c>
      <x:c r="C13" s="12" t="str">
        <x:v>70%-sold and sell-outs are effective because they are real</x:v>
      </x:c>
      <x:c r="D13" s="12" t="str">
        <x:v>YES</x:v>
      </x:c>
      <x:c r="E13" s="12" t="str">
        <x:v>Automate thresholds by zone/fixture, not generic urgency</x:v>
      </x:c>
      <x:c r="F13" s="12" t="str">
        <x:v>Fence-sitters</x:v>
      </x:c>
      <x:c r="G13" s="12" t="str">
        <x:v>High sell-through fixtures</x:v>
      </x:c>
      <x:c r="H13" s="12" t="str">
        <x:v>Conversion after scarcity trigger</x:v>
      </x:c>
      <x:c r="I13" s="12" t="str">
        <x:v>Pre/post message window</x:v>
      </x:c>
      <x:c r="J13" s="12" t="str">
        <x:v>No discount required</x:v>
      </x:c>
      <x:c r="K13" s="12" t="str">
        <x:v>Ticket sales dashboard</x:v>
      </x:c>
      <x:c r="L13" s="12" t="str">
        <x:v>MED-HIGH</x:v>
      </x:c>
      <x:c r="M13" s="12" t="str">
        <x:v>AUTOMATE</x:v>
      </x:c>
    </x:row>
    <x:row r="16">
      <x:c r="A16" s="199" t="str">
        <x:v>Key conclusion</x:v>
      </x:c>
      <x:c r="B16" s="12" t="str"/>
    </x:row>
    <x:row r="17">
      <x:c r="A17" s="199" t="str">
        <x:v>What London City is already doing well</x:v>
      </x:c>
      <x:c r="B17" s="12" t="str">
        <x:v>Flexible ticketing, family experience, player access, grassroots distribution, fan feedback, partner rewards and emerging premium inventory.</x:v>
      </x:c>
    </x:row>
    <x:row r="18">
      <x:c r="A18" s="199" t="str">
        <x:v>Biggest misconception to avoid</x:v>
      </x:c>
      <x:c r="B18" s="12" t="str">
        <x:v>Do not assume London City still needs a 3-match product: the LCL Hat-Trick already exists.</x:v>
      </x:c>
    </x:row>
    <x:row r="19">
      <x:c r="A19" s="199" t="str">
        <x:v>Biggest 2026/27 opportunity</x:v>
      </x:c>
      <x:c r="B19" s="12" t="str">
        <x:v>Connect those actions into one measurable first-time → repeat → season-ticket journey.</x:v>
      </x:c>
    </x:row>
    <x:row r="20">
      <x:c r="A20" s="199" t="str">
        <x:v>Best thing to copy from Arsenal</x:v>
      </x:c>
      <x:c r="B20" s="12" t="str">
        <x:v>Seat utilisation discipline and product ladder.</x:v>
      </x:c>
    </x:row>
    <x:row r="21">
      <x:c r="A21" s="199" t="str">
        <x:v>Best thing to copy from Palace</x:v>
      </x:c>
      <x:c r="B21" s="12" t="str">
        <x:v>Eventise selected fixtures with family programming and a clear occasion.</x:v>
      </x:c>
    </x:row>
    <x:row r="22">
      <x:c r="A22" s="199" t="str">
        <x:v>Best thing to copy from Chelsea</x:v>
      </x:c>
      <x:c r="B22" s="12" t="str">
        <x:v>Segment experience and willingness-to-pay rather than one product for everyone.</x:v>
      </x:c>
    </x:row>
    <x:row r="23">
      <x:c r="A23" s="199" t="str">
        <x:v>Most defensible London City differentiator</x:v>
      </x:c>
      <x:c r="B23" s="12" t="str">
        <x:v>Independent women-first identity + relatively intimate player/family access.</x:v>
      </x:c>
    </x:row>
  </x:sheetData>
  <x:mergeCells>
    <x:mergeCell ref="A1:M1"/>
  </x:mergeCells>
  <x:conditionalFormatting sqref="A4:A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{C5B5DCA3-2D08-9FC1-83C0-52D0C58AC402}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5B5DCA3-2D08-9FC1-83C0-52D0C58AC402}">
            <x14:dataBar gradient="1">
              <x14:cfvo type="min"/>
              <x14:cfvo type="max"/>
              <x14:fillColor rgb="FFA02B93"/>
            </x14:dataBar>
          </x14:cfRule>
          <xm:sqref>A4:A13</xm:sqref>
        </x14:conditionalFormatting>
      </x14:conditionalFormattings>
    </x:ext>
  </x:extLst>
</x:worksheet>
</file>

<file path=xl/worksheets/sheet3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2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6" hidden="0" customWidth="1"/>
    <x:col min="10" max="10" width="18" hidden="0" customWidth="1"/>
    <x:col min="11" max="11" width="18" hidden="0" customWidth="1"/>
    <x:col min="12" max="12" width="16" hidden="0" customWidth="1"/>
    <x:col min="13" max="13" width="14" hidden="0" customWidth="1"/>
    <x:col min="14" max="14" width="20" hidden="0" customWidth="1"/>
    <x:col min="15" max="15" width="30" hidden="0" customWidth="1"/>
    <x:col min="16" max="16" width="34" hidden="0" customWidth="1"/>
    <x:col min="17" max="17" width="48" hidden="0" customWidth="1"/>
    <x:col min="18" max="18" width="32" hidden="0" customWidth="1"/>
    <x:col min="19" max="19" width="28" hidden="0" customWidth="1"/>
    <x:col min="20" max="20" width="44" hidden="0" customWidth="1"/>
    <x:col min="21" max="21" width="42" hidden="0" customWidth="1"/>
    <x:col min="22" max="22" width="22" hidden="0" customWidth="1"/>
    <x:col min="23" max="23" width="14" hidden="0" customWidth="1"/>
    <x:col min="24" max="24" width="34" hidden="0" customWidth="1"/>
    <x:col min="25" max="25" width="48" hidden="0" customWidth="1"/>
    <x:col min="26" max="26" width="14" hidden="0" customWidth="1"/>
  </x:cols>
  <x:sheetData>
    <x:row r="1">
      <x:c r="A1" s="201" t="str">
        <x:v>London City — Weekly Matchday Decision Engine V1</x:v>
      </x:c>
    </x:row>
    <x:row r="2">
      <x:c r="A2" s="79" t="str">
        <x:v>Planning score = structural signals available now. Live score activates when weather + attendance momentum are known.</x:v>
      </x:c>
    </x:row>
    <x:row r="4">
      <x:c r="A4" s="204" t="str">
        <x:v>Date</x:v>
      </x:c>
      <x:c r="B4" s="204" t="str">
        <x:v>Opponent</x:v>
      </x:c>
      <x:c r="C4" s="204" t="str">
        <x:v>KO</x:v>
      </x:c>
      <x:c r="D4" s="204" t="str">
        <x:v>Target territory</x:v>
      </x:c>
      <x:c r="E4" s="204" t="str">
        <x:v>Territory Opportunity</x:v>
      </x:c>
      <x:c r="F4" s="204" t="str">
        <x:v>Calendar Whitespace</x:v>
      </x:c>
      <x:c r="G4" s="204" t="str">
        <x:v>Attention Pressure</x:v>
      </x:c>
      <x:c r="H4" s="204" t="str">
        <x:v>Attention Availability</x:v>
      </x:c>
      <x:c r="I4" s="204" t="str">
        <x:v>Fixture Appeal</x:v>
      </x:c>
      <x:c r="J4" s="204" t="str">
        <x:v>Weather Suitability</x:v>
      </x:c>
      <x:c r="K4" s="204" t="str">
        <x:v>Attendance Momentum</x:v>
      </x:c>
      <x:c r="L4" s="204" t="str">
        <x:v>Planning Score</x:v>
      </x:c>
      <x:c r="M4" s="204" t="str">
        <x:v>Live Score</x:v>
      </x:c>
      <x:c r="N4" s="204" t="str">
        <x:v>Decision</x:v>
      </x:c>
      <x:c r="O4" s="204" t="str">
        <x:v>Recommended product</x:v>
      </x:c>
      <x:c r="P4" s="204" t="str">
        <x:v>Primary channel</x:v>
      </x:c>
      <x:c r="Q4" s="204" t="str">
        <x:v>Campaign message</x:v>
      </x:c>
      <x:c r="R4" s="204" t="str">
        <x:v>Primary KPI</x:v>
      </x:c>
      <x:c r="S4" s="204" t="str">
        <x:v>Secondary KPI</x:v>
      </x:c>
      <x:c r="T4" s="204" t="str">
        <x:v>Competitor context</x:v>
      </x:c>
      <x:c r="U4" s="204" t="str">
        <x:v>Local activation</x:v>
      </x:c>
      <x:c r="V4" s="204" t="str">
        <x:v>Ticketing mode</x:v>
      </x:c>
      <x:c r="W4" s="204" t="str">
        <x:v>Confidence</x:v>
      </x:c>
      <x:c r="X4" s="204" t="str">
        <x:v>Review trigger</x:v>
      </x:c>
      <x:c r="Y4" s="204" t="str">
        <x:v>Post-match learning</x:v>
      </x:c>
      <x:c r="Z4" s="204" t="str">
        <x:v>Status</x:v>
      </x:c>
    </x:row>
    <x:row r="5">
      <x:c r="A5" s="12" t="str">
        <x:v>2026-09-04</x:v>
      </x:c>
      <x:c r="B5" s="12" t="str">
        <x:v>Manchester United</x:v>
      </x:c>
      <x:c r="C5" s="12" t="str">
        <x:v>19:00</x:v>
      </x:c>
      <x:c r="D5" s="12" t="str">
        <x:v>Bromley 016B</x:v>
      </x:c>
      <x:c r="E5" s="12" t="n">
        <x:v>95</x:v>
      </x:c>
      <x:c r="F5" s="12" t="n">
        <x:v>45</x:v>
      </x:c>
      <x:c r="G5" s="12" t="n">
        <x:v>40</x:v>
      </x:c>
      <x:c r="H5" s="12" t="n">
        <x:v>60</x:v>
      </x:c>
      <x:c r="I5" s="12" t="n">
        <x:v>95</x:v>
      </x:c>
      <x:c r="J5" s="12" t="n">
        <x:v>70</x:v>
      </x:c>
      <x:c r="K5" s="12"/>
      <x:c r="L5" s="12" t="n">
        <x:f>ROUND(E5*0.35+F5*0.25+H5*0.20+I5*0.20,0)</x:f>
        <x:v>76</x:v>
      </x:c>
      <x:c r="M5" s="12" t="str">
        <x:f>IF(OR(J5="",K5=""),"",ROUND(E5*0.30+F5*0.20+H5*0.15+I5*0.10+J5*0.10+K5*0.15,0))</x:f>
      </x:c>
      <x:c r="N5" s="12" t="str">
        <x:f>IF(M5&lt;&gt;"",IF(M5&gt;=85,"ATTACK HARD",IF(M5&gt;=72,"ATTACK",IF(M5&gt;=58,"TEST / SELECTIVE","DEFEND CORE"))),IF(L5&gt;=85,"ATTACK HARD",IF(L5&gt;=72,"ATTACK",IF(L5&gt;=58,"TEST / SELECTIVE","DEFEND CORE"))))</x:f>
        <x:v>ATTACK</x:v>
      </x:c>
      <x:c r="O5" s="12" t="str">
        <x:v>Single match / VIP Terrace</x:v>
      </x:c>
      <x:c r="P5" s="12" t="str">
        <x:v>Core CRM + local awareness</x:v>
      </x:c>
      <x:c r="Q5" s="12" t="str">
        <x:v>Season opener. Be there.</x:v>
      </x:c>
      <x:c r="R5" s="12" t="str">
        <x:v>Paid attendance + premium sell-through</x:v>
      </x:c>
      <x:c r="S5" s="12" t="str">
        <x:v>First-time buyers</x:v>
      </x:c>
      <x:c r="T5" s="12" t="str">
        <x:v>Opening-night event; local competitors also active</x:v>
      </x:c>
      <x:c r="U5" s="12" t="str">
        <x:v>Bromley town centre + local hospitality</x:v>
      </x:c>
      <x:c r="V5" s="12" t="str">
        <x:v>EVENT / YIELD</x:v>
      </x:c>
      <x:c r="W5" s="12" t="str">
        <x:v>HIGH</x:v>
      </x:c>
      <x:c r="X5" s="12" t="str">
        <x:v>24h: weather + sell-through</x:v>
      </x:c>
      <x:c r="Y5" s="12" t="str"/>
      <x:c r="Z5" s="12" t="str">
        <x:v>LIVE</x:v>
      </x:c>
    </x:row>
    <x:row r="6">
      <x:c r="A6" s="12" t="str">
        <x:v>2026-09-26</x:v>
      </x:c>
      <x:c r="B6" s="12" t="str">
        <x:v>Brighton</x:v>
      </x:c>
      <x:c r="C6" s="12" t="str">
        <x:v>17:00</x:v>
      </x:c>
      <x:c r="D6" s="12" t="str">
        <x:v>Croydon 045E</x:v>
      </x:c>
      <x:c r="E6" s="12" t="n">
        <x:v>94</x:v>
      </x:c>
      <x:c r="F6" s="12" t="n">
        <x:v>35</x:v>
      </x:c>
      <x:c r="G6" s="12" t="n">
        <x:v>75</x:v>
      </x:c>
      <x:c r="H6" s="12" t="n">
        <x:v>25</x:v>
      </x:c>
      <x:c r="I6" s="12" t="n">
        <x:v>60</x:v>
      </x:c>
      <x:c r="J6" s="12"/>
      <x:c r="K6" s="12"/>
      <x:c r="L6" s="12" t="n">
        <x:f>ROUND(E6*0.35+F6*0.25+H6*0.20+I6*0.20,0)</x:f>
        <x:v>59</x:v>
      </x:c>
      <x:c r="M6" s="12" t="str">
        <x:f>IF(OR(J6="",K6=""),"",ROUND(E6*0.30+F6*0.20+H6*0.15+I6*0.10+J6*0.10+K6*0.15,0))</x:f>
      </x:c>
      <x:c r="N6" s="12" t="str">
        <x:f>IF(M6&lt;&gt;"",IF(M6&gt;=85,"ATTACK HARD",IF(M6&gt;=72,"ATTACK",IF(M6&gt;=58,"TEST / SELECTIVE","DEFEND CORE"))),IF(L6&gt;=85,"ATTACK HARD",IF(L6&gt;=72,"ATTACK",IF(L6&gt;=58,"TEST / SELECTIVE","DEFEND CORE"))))</x:f>
        <x:v>TEST / SELECTIVE</x:v>
      </x:c>
      <x:c r="O6" s="12" t="str">
        <x:v>Hat-Trick / first-timer</x:v>
      </x:c>
      <x:c r="P6" s="12" t="str">
        <x:v>Croydon grassroots + local digital</x:v>
      </x:c>
      <x:c r="Q6" s="12" t="str">
        <x:v>Live football before England tonight.</x:v>
      </x:c>
      <x:c r="R6" s="12" t="str">
        <x:v>First-time family buyers</x:v>
      </x:c>
      <x:c r="S6" s="12" t="str">
        <x:v>90-day repeat</x:v>
      </x:c>
      <x:c r="T6" s="12" t="str">
        <x:v>Palace away, but heavy England attention later</x:v>
      </x:c>
      <x:c r="U6" s="12" t="str">
        <x:v>Restaurant Week retarget + Bromley South corridor</x:v>
      </x:c>
      <x:c r="V6" s="12" t="str">
        <x:v>PRE-EVENT</x:v>
      </x:c>
      <x:c r="W6" s="12" t="str">
        <x:v>HIGH</x:v>
      </x:c>
      <x:c r="X6" s="12" t="str">
        <x:v>7d weather + England logistics</x:v>
      </x:c>
      <x:c r="Y6" s="12" t="str"/>
      <x:c r="Z6" s="12" t="str">
        <x:v>PLANNING</x:v>
      </x:c>
    </x:row>
    <x:row r="7">
      <x:c r="A7" s="12" t="str">
        <x:v>2026-10-18</x:v>
      </x:c>
      <x:c r="B7" s="12" t="str">
        <x:v>Everton</x:v>
      </x:c>
      <x:c r="C7" s="12" t="str">
        <x:v>15:00</x:v>
      </x:c>
      <x:c r="D7" s="12" t="str">
        <x:v>Bromley 016B</x:v>
      </x:c>
      <x:c r="E7" s="12" t="n">
        <x:v>95</x:v>
      </x:c>
      <x:c r="F7" s="12" t="n">
        <x:v>10</x:v>
      </x:c>
      <x:c r="G7" s="12" t="n">
        <x:v>98</x:v>
      </x:c>
      <x:c r="H7" s="12" t="n">
        <x:v>2</x:v>
      </x:c>
      <x:c r="I7" s="12" t="n">
        <x:v>60</x:v>
      </x:c>
      <x:c r="J7" s="12"/>
      <x:c r="K7" s="12"/>
      <x:c r="L7" s="12" t="n">
        <x:f>ROUND(E7*0.35+F7*0.25+H7*0.20+I7*0.20,0)</x:f>
        <x:v>48</x:v>
      </x:c>
      <x:c r="M7" s="12" t="str">
        <x:f>IF(OR(J7="",K7=""),"",ROUND(E7*0.30+F7*0.20+H7*0.15+I7*0.10+J7*0.10+K7*0.15,0))</x:f>
      </x:c>
      <x:c r="N7" s="12" t="str">
        <x:f>IF(M7&lt;&gt;"",IF(M7&gt;=85,"ATTACK HARD",IF(M7&gt;=72,"ATTACK",IF(M7&gt;=58,"TEST / SELECTIVE","DEFEND CORE"))),IF(L7&gt;=85,"ATTACK HARD",IF(L7&gt;=72,"ATTACK",IF(L7&gt;=58,"TEST / SELECTIVE","DEFEND CORE"))))</x:f>
        <x:v>DEFEND CORE</x:v>
      </x:c>
      <x:c r="O7" s="12" t="str">
        <x:v>Single match / existing holder utilisation</x:v>
      </x:c>
      <x:c r="P7" s="12" t="str">
        <x:v>CRM + Sister Clubs</x:v>
      </x:c>
      <x:c r="Q7" s="12" t="str">
        <x:v>Your local Sunday match.</x:v>
      </x:c>
      <x:c r="R7" s="12" t="str">
        <x:v>Scanned/sold ratio</x:v>
      </x:c>
      <x:c r="S7" s="12" t="str">
        <x:v>Repeat attendance</x:v>
      </x:c>
      <x:c r="T7" s="12" t="str">
        <x:v>Palace/Charlton/Chelsea home + NFL/PL attention</x:v>
      </x:c>
      <x:c r="U7" s="12" t="str">
        <x:v>Core Bromley partners only</x:v>
      </x:c>
      <x:c r="V7" s="12" t="str">
        <x:v>DEFEND CORE</x:v>
      </x:c>
      <x:c r="W7" s="12" t="str">
        <x:v>VERY HIGH</x:v>
      </x:c>
      <x:c r="X7" s="12" t="str">
        <x:v>7d weather + TV changes</x:v>
      </x:c>
      <x:c r="Y7" s="12" t="str"/>
      <x:c r="Z7" s="12" t="str">
        <x:v>PLANNING</x:v>
      </x:c>
    </x:row>
    <x:row r="8">
      <x:c r="A8" s="12" t="str">
        <x:v>2026-11-01</x:v>
      </x:c>
      <x:c r="B8" s="12" t="str">
        <x:v>Manchester City</x:v>
      </x:c>
      <x:c r="C8" s="12" t="str">
        <x:v>15:00</x:v>
      </x:c>
      <x:c r="D8" s="12" t="str">
        <x:v>Croydon 045E</x:v>
      </x:c>
      <x:c r="E8" s="12" t="n">
        <x:v>94</x:v>
      </x:c>
      <x:c r="F8" s="12" t="n">
        <x:v>65</x:v>
      </x:c>
      <x:c r="G8" s="12" t="n">
        <x:v>82</x:v>
      </x:c>
      <x:c r="H8" s="12" t="n">
        <x:v>18</x:v>
      </x:c>
      <x:c r="I8" s="12" t="n">
        <x:v>90</x:v>
      </x:c>
      <x:c r="J8" s="12"/>
      <x:c r="K8" s="12"/>
      <x:c r="L8" s="12" t="n">
        <x:f>ROUND(E8*0.35+F8*0.25+H8*0.20+I8*0.20,0)</x:f>
        <x:v>71</x:v>
      </x:c>
      <x:c r="M8" s="12" t="str">
        <x:f>IF(OR(J8="",K8=""),"",ROUND(E8*0.30+F8*0.20+H8*0.15+I8*0.10+J8*0.10+K8*0.15,0))</x:f>
      </x:c>
      <x:c r="N8" s="12" t="str">
        <x:f>IF(M8&lt;&gt;"",IF(M8&gt;=85,"ATTACK HARD",IF(M8&gt;=72,"ATTACK",IF(M8&gt;=58,"TEST / SELECTIVE","DEFEND CORE"))),IF(L8&gt;=85,"ATTACK HARD",IF(L8&gt;=72,"ATTACK",IF(L8&gt;=58,"TEST / SELECTIVE","DEFEND CORE"))))</x:f>
        <x:v>TEST / SELECTIVE</x:v>
      </x:c>
      <x:c r="O8" s="12" t="str">
        <x:v>Hat-Trick / First Match Welcome</x:v>
      </x:c>
      <x:c r="P8" s="12" t="str">
        <x:v>Croydon grassroots + geo-paid</x:v>
      </x:c>
      <x:c r="Q8" s="12" t="str">
        <x:v>Manchester City without crossing London.</x:v>
      </x:c>
      <x:c r="R8" s="12" t="str">
        <x:v>First-time buyers</x:v>
      </x:c>
      <x:c r="S8" s="12" t="str">
        <x:v>Second purchase ≤90d</x:v>
      </x:c>
      <x:c r="T8" s="12" t="str">
        <x:v>Palace not home; Charlton-Chelsea local saturation</x:v>
      </x:c>
      <x:c r="U8" s="12" t="str">
        <x:v>Bromley town-centre OOH + grassroots</x:v>
      </x:c>
      <x:c r="V8" s="12" t="str">
        <x:v>SELECTIVE ATTACK</x:v>
      </x:c>
      <x:c r="W8" s="12" t="str">
        <x:v>VERY HIGH</x:v>
      </x:c>
      <x:c r="X8" s="12" t="str">
        <x:v>7d weather + sell-through</x:v>
      </x:c>
      <x:c r="Y8" s="12" t="str"/>
      <x:c r="Z8" s="12" t="str">
        <x:v>PLANNING</x:v>
      </x:c>
    </x:row>
    <x:row r="9">
      <x:c r="A9" s="12" t="str">
        <x:v>2026-11-07</x:v>
      </x:c>
      <x:c r="B9" s="12" t="str">
        <x:v>Birmingham City</x:v>
      </x:c>
      <x:c r="C9" s="12" t="str">
        <x:v>13:00</x:v>
      </x:c>
      <x:c r="D9" s="12" t="str">
        <x:v>Bromley 026A</x:v>
      </x:c>
      <x:c r="E9" s="12" t="n">
        <x:v>90</x:v>
      </x:c>
      <x:c r="F9" s="12" t="n">
        <x:v>30</x:v>
      </x:c>
      <x:c r="G9" s="12" t="n">
        <x:v>68</x:v>
      </x:c>
      <x:c r="H9" s="12" t="n">
        <x:v>32</x:v>
      </x:c>
      <x:c r="I9" s="12" t="n">
        <x:v>50</x:v>
      </x:c>
      <x:c r="J9" s="12"/>
      <x:c r="K9" s="12"/>
      <x:c r="L9" s="12" t="n">
        <x:f>ROUND(E9*0.35+F9*0.25+H9*0.20+I9*0.20,0)</x:f>
        <x:v>55</x:v>
      </x:c>
      <x:c r="M9" s="12" t="str">
        <x:f>IF(OR(J9="",K9=""),"",ROUND(E9*0.30+F9*0.20+H9*0.15+I9*0.10+J9*0.10+K9*0.15,0))</x:f>
      </x:c>
      <x:c r="N9" s="12" t="str">
        <x:f>IF(M9&lt;&gt;"",IF(M9&gt;=85,"ATTACK HARD",IF(M9&gt;=72,"ATTACK",IF(M9&gt;=58,"TEST / SELECTIVE","DEFEND CORE"))),IF(L9&gt;=85,"ATTACK HARD",IF(L9&gt;=72,"ATTACK",IF(L9&gt;=58,"TEST / SELECTIVE","DEFEND CORE"))))</x:f>
        <x:v>DEFEND CORE</x:v>
      </x:c>
      <x:c r="O9" s="12" t="str">
        <x:v>Family / group pack</x:v>
      </x:c>
      <x:c r="P9" s="12" t="str">
        <x:v>Grassroots + schools</x:v>
      </x:c>
      <x:c r="Q9" s="12" t="str">
        <x:v>Football before the football.</x:v>
      </x:c>
      <x:c r="R9" s="12" t="str">
        <x:v>Group tickets</x:v>
      </x:c>
      <x:c r="S9" s="12" t="str">
        <x:v>Repeat households</x:v>
      </x:c>
      <x:c r="T9" s="12" t="str">
        <x:v>High men's football inventory later</x:v>
      </x:c>
      <x:c r="U9" s="12" t="str">
        <x:v>Schools / local leisure</x:v>
      </x:c>
      <x:c r="V9" s="12" t="str">
        <x:v>EARLY-KO VALUE</x:v>
      </x:c>
      <x:c r="W9" s="12" t="str">
        <x:v>HIGH</x:v>
      </x:c>
      <x:c r="X9" s="12" t="str">
        <x:v>TV selections + weather</x:v>
      </x:c>
      <x:c r="Y9" s="12" t="str"/>
      <x:c r="Z9" s="12" t="str">
        <x:v>PLANNING</x:v>
      </x:c>
    </x:row>
    <x:row r="10">
      <x:c r="A10" s="12" t="str">
        <x:v>2026-11-22</x:v>
      </x:c>
      <x:c r="B10" s="12" t="str">
        <x:v>Crystal Palace</x:v>
      </x:c>
      <x:c r="C10" s="12" t="str">
        <x:v>15:00</x:v>
      </x:c>
      <x:c r="D10" s="12" t="str">
        <x:v>Croydon 045E</x:v>
      </x:c>
      <x:c r="E10" s="12" t="n">
        <x:v>94</x:v>
      </x:c>
      <x:c r="F10" s="12" t="n">
        <x:v>70</x:v>
      </x:c>
      <x:c r="G10" s="12" t="n">
        <x:v>55</x:v>
      </x:c>
      <x:c r="H10" s="12" t="n">
        <x:v>45</x:v>
      </x:c>
      <x:c r="I10" s="12" t="n">
        <x:v>92</x:v>
      </x:c>
      <x:c r="J10" s="12"/>
      <x:c r="K10" s="12"/>
      <x:c r="L10" s="12" t="n">
        <x:f>ROUND(E10*0.35+F10*0.25+H10*0.20+I10*0.20,0)</x:f>
        <x:v>78</x:v>
      </x:c>
      <x:c r="M10" s="12" t="str">
        <x:f>IF(OR(J10="",K10=""),"",ROUND(E10*0.30+F10*0.20+H10*0.15+I10*0.10+J10*0.10+K10*0.15,0))</x:f>
      </x:c>
      <x:c r="N10" s="12" t="str">
        <x:f>IF(M10&lt;&gt;"",IF(M10&gt;=85,"ATTACK HARD",IF(M10&gt;=72,"ATTACK",IF(M10&gt;=58,"TEST / SELECTIVE","DEFEND CORE"))),IF(L10&gt;=85,"ATTACK HARD",IF(L10&gt;=72,"ATTACK",IF(L10&gt;=58,"TEST / SELECTIVE","DEFEND CORE"))))</x:f>
        <x:v>ATTACK</x:v>
      </x:c>
      <x:c r="O10" s="12" t="str">
        <x:v>Derby single / group blocks</x:v>
      </x:c>
      <x:c r="P10" s="12" t="str">
        <x:v>Croydon + Bromley + neutral South London</x:v>
      </x:c>
      <x:c r="Q10" s="12" t="str">
        <x:v>South London has a derby.</x:v>
      </x:c>
      <x:c r="R10" s="12" t="str">
        <x:v>Opponent-adjusted attendance uplift</x:v>
      </x:c>
      <x:c r="S10" s="12" t="str">
        <x:v>New Croydon households</x:v>
      </x:c>
      <x:c r="T10" s="12" t="str">
        <x:v>Direct Tier-1 local rival</x:v>
      </x:c>
      <x:c r="U10" s="12" t="str">
        <x:v>Town-centre eventisation + local hospitality</x:v>
      </x:c>
      <x:c r="V10" s="12" t="str">
        <x:v>DERBY EVENT</x:v>
      </x:c>
      <x:c r="W10" s="12" t="str">
        <x:v>HIGH</x:v>
      </x:c>
      <x:c r="X10" s="12" t="str">
        <x:v>6w creative + 7d weather</x:v>
      </x:c>
      <x:c r="Y10" s="12" t="str"/>
      <x:c r="Z10" s="12" t="str">
        <x:v>PLANNING</x:v>
      </x:c>
    </x:row>
    <x:row r="11">
      <x:c r="A11" s="12" t="str">
        <x:v>2027-01-10</x:v>
      </x:c>
      <x:c r="B11" s="12" t="str">
        <x:v>West Ham</x:v>
      </x:c>
      <x:c r="C11" s="12" t="str">
        <x:v>15:00</x:v>
      </x:c>
      <x:c r="D11" s="12" t="str">
        <x:v>Bromley 016B</x:v>
      </x:c>
      <x:c r="E11" s="12" t="n">
        <x:v>95</x:v>
      </x:c>
      <x:c r="F11" s="12" t="n">
        <x:v>20</x:v>
      </x:c>
      <x:c r="G11" s="12" t="n">
        <x:v>70</x:v>
      </x:c>
      <x:c r="H11" s="12" t="n">
        <x:v>30</x:v>
      </x:c>
      <x:c r="I11" s="12" t="n">
        <x:v>65</x:v>
      </x:c>
      <x:c r="J11" s="12"/>
      <x:c r="K11" s="12"/>
      <x:c r="L11" s="12" t="n">
        <x:f>ROUND(E11*0.35+F11*0.25+H11*0.20+I11*0.20,0)</x:f>
        <x:v>57</x:v>
      </x:c>
      <x:c r="M11" s="12" t="str">
        <x:f>IF(OR(J11="",K11=""),"",ROUND(E11*0.30+F11*0.20+H11*0.15+I11*0.10+J11*0.10+K11*0.15,0))</x:f>
      </x:c>
      <x:c r="N11" s="12" t="str">
        <x:f>IF(M11&lt;&gt;"",IF(M11&gt;=85,"ATTACK HARD",IF(M11&gt;=72,"ATTACK",IF(M11&gt;=58,"TEST / SELECTIVE","DEFEND CORE"))),IF(L11&gt;=85,"ATTACK HARD",IF(L11&gt;=72,"ATTACK",IF(L11&gt;=58,"TEST / SELECTIVE","DEFEND CORE"))))</x:f>
        <x:v>DEFEND CORE</x:v>
      </x:c>
      <x:c r="O11" s="12" t="str">
        <x:v>Family / Hat-Trick</x:v>
      </x:c>
      <x:c r="P11" s="12" t="str">
        <x:v>Core CRM + grassroots</x:v>
      </x:c>
      <x:c r="Q11" s="12" t="str">
        <x:v>Start the year at Hayes Lane.</x:v>
      </x:c>
      <x:c r="R11" s="12" t="str">
        <x:v>Utilisation + repeat</x:v>
      </x:c>
      <x:c r="S11" s="12" t="str">
        <x:v>Family buyers</x:v>
      </x:c>
      <x:c r="T11" s="12" t="str">
        <x:v>Palace + Charlton home; FA Cup weekend</x:v>
      </x:c>
      <x:c r="U11" s="12" t="str">
        <x:v>Local family partners</x:v>
      </x:c>
      <x:c r="V11" s="12" t="str">
        <x:v>DEFEND / MONITOR</x:v>
      </x:c>
      <x:c r="W11" s="12" t="str">
        <x:v>HIGH</x:v>
      </x:c>
      <x:c r="X11" s="12" t="str">
        <x:v>FA Cup draw + weather</x:v>
      </x:c>
      <x:c r="Y11" s="12" t="str"/>
      <x:c r="Z11" s="12" t="str">
        <x:v>PLANNING</x:v>
      </x:c>
    </x:row>
    <x:row r="12">
      <x:c r="A12" s="12" t="str">
        <x:v>2027-01-24</x:v>
      </x:c>
      <x:c r="B12" s="12" t="str">
        <x:v>Arsenal</x:v>
      </x:c>
      <x:c r="C12" s="12" t="str">
        <x:v>15:00</x:v>
      </x:c>
      <x:c r="D12" s="12" t="str">
        <x:v>Croydon 045E</x:v>
      </x:c>
      <x:c r="E12" s="12" t="n">
        <x:v>94</x:v>
      </x:c>
      <x:c r="F12" s="12" t="n">
        <x:v>78</x:v>
      </x:c>
      <x:c r="G12" s="12" t="n">
        <x:v>58</x:v>
      </x:c>
      <x:c r="H12" s="12" t="n">
        <x:v>42</x:v>
      </x:c>
      <x:c r="I12" s="12" t="n">
        <x:v>98</x:v>
      </x:c>
      <x:c r="J12" s="12"/>
      <x:c r="K12" s="12"/>
      <x:c r="L12" s="12" t="n">
        <x:f>ROUND(E12*0.35+F12*0.25+H12*0.20+I12*0.20,0)</x:f>
        <x:v>80</x:v>
      </x:c>
      <x:c r="M12" s="12" t="str">
        <x:f>IF(OR(J12="",K12=""),"",ROUND(E12*0.30+F12*0.20+H12*0.15+I12*0.10+J12*0.10+K12*0.15,0))</x:f>
      </x:c>
      <x:c r="N12" s="12" t="str">
        <x:f>IF(M12&lt;&gt;"",IF(M12&gt;=85,"ATTACK HARD",IF(M12&gt;=72,"ATTACK",IF(M12&gt;=58,"TEST / SELECTIVE","DEFEND CORE"))),IF(L12&gt;=85,"ATTACK HARD",IF(L12&gt;=72,"ATTACK",IF(L12&gt;=58,"TEST / SELECTIVE","DEFEND CORE"))))</x:f>
        <x:v>ATTACK</x:v>
      </x:c>
      <x:c r="O12" s="12" t="str">
        <x:v>Hat-Trick / premium / first-timer</x:v>
      </x:c>
      <x:c r="P12" s="12" t="str">
        <x:v>Croydon + Bromley paid + grassroots</x:v>
      </x:c>
      <x:c r="Q12" s="12" t="str">
        <x:v>Arsenal at Hayes Lane. Elite football closer to home.</x:v>
      </x:c>
      <x:c r="R12" s="12" t="str">
        <x:v>New households</x:v>
      </x:c>
      <x:c r="S12" s="12" t="str">
        <x:v>Premium yield</x:v>
      </x:c>
      <x:c r="T12" s="12" t="str">
        <x:v>Palace away at Chelsea; Charlton away</x:v>
      </x:c>
      <x:c r="U12" s="12" t="str">
        <x:v>The Glades + local hospitality</x:v>
      </x:c>
      <x:c r="V12" s="12" t="str">
        <x:v>ATTACK / PREMIUM</x:v>
      </x:c>
      <x:c r="W12" s="12" t="str">
        <x:v>HIGH</x:v>
      </x:c>
      <x:c r="X12" s="12" t="str">
        <x:v>TV selection + weather</x:v>
      </x:c>
      <x:c r="Y12" s="12" t="str"/>
      <x:c r="Z12" s="12" t="str">
        <x:v>PLANNING</x:v>
      </x:c>
    </x:row>
    <x:row r="13">
      <x:c r="A13" s="12" t="str">
        <x:v>2027-02-14</x:v>
      </x:c>
      <x:c r="B13" s="12" t="str">
        <x:v>Chelsea</x:v>
      </x:c>
      <x:c r="C13" s="12" t="str">
        <x:v>15:00</x:v>
      </x:c>
      <x:c r="D13" s="12" t="str">
        <x:v>Bromley 016B</x:v>
      </x:c>
      <x:c r="E13" s="12" t="n">
        <x:v>95</x:v>
      </x:c>
      <x:c r="F13" s="12" t="n">
        <x:v>15</x:v>
      </x:c>
      <x:c r="G13" s="12" t="n">
        <x:v>100</x:v>
      </x:c>
      <x:c r="H13" s="12" t="n">
        <x:v>0</x:v>
      </x:c>
      <x:c r="I13" s="12" t="n">
        <x:v>98</x:v>
      </x:c>
      <x:c r="J13" s="12"/>
      <x:c r="K13" s="12"/>
      <x:c r="L13" s="12" t="n">
        <x:f>ROUND(E13*0.35+F13*0.25+H13*0.20+I13*0.20,0)</x:f>
        <x:v>57</x:v>
      </x:c>
      <x:c r="M13" s="12" t="str">
        <x:f>IF(OR(J13="",K13=""),"",ROUND(E13*0.30+F13*0.20+H13*0.15+I13*0.10+J13*0.10+K13*0.15,0))</x:f>
      </x:c>
      <x:c r="N13" s="12" t="str">
        <x:f>IF(M13&lt;&gt;"",IF(M13&gt;=85,"ATTACK HARD",IF(M13&gt;=72,"ATTACK",IF(M13&gt;=58,"TEST / SELECTIVE","DEFEND CORE"))),IF(L13&gt;=85,"ATTACK HARD",IF(L13&gt;=72,"ATTACK",IF(L13&gt;=58,"TEST / SELECTIVE","DEFEND CORE"))))</x:f>
        <x:v>DEFEND CORE</x:v>
      </x:c>
      <x:c r="O13" s="12" t="str">
        <x:v>Premium / committed-fan single</x:v>
      </x:c>
      <x:c r="P13" s="12" t="str">
        <x:v>CRM + high-intent retargeting</x:v>
      </x:c>
      <x:c r="Q13" s="12" t="str">
        <x:v>Chelsea at Hayes Lane.</x:v>
      </x:c>
      <x:c r="R13" s="12" t="str">
        <x:v>Advance sell-through</x:v>
      </x:c>
      <x:c r="S13" s="12" t="str">
        <x:v>Premium revenue</x:v>
      </x:c>
      <x:c r="T13" s="12" t="str">
        <x:v>Six Nations England-France 15:10 + Valentine's</x:v>
      </x:c>
      <x:c r="U13" s="12" t="str">
        <x:v>Hospitality / celebration packages</x:v>
      </x:c>
      <x:c r="V13" s="12" t="str">
        <x:v>DEFEND / EVENT</x:v>
      </x:c>
      <x:c r="W13" s="12" t="str">
        <x:v>VERY HIGH</x:v>
      </x:c>
      <x:c r="X13" s="12" t="str">
        <x:v>Locked clash + weather</x:v>
      </x:c>
      <x:c r="Y13" s="12" t="str"/>
      <x:c r="Z13" s="12" t="str">
        <x:v>PLANNING</x:v>
      </x:c>
    </x:row>
    <x:row r="14">
      <x:c r="A14" s="12" t="str">
        <x:v>2027-03-14</x:v>
      </x:c>
      <x:c r="B14" s="12" t="str">
        <x:v>Liverpool</x:v>
      </x:c>
      <x:c r="C14" s="12" t="str">
        <x:v>15:00</x:v>
      </x:c>
      <x:c r="D14" s="12" t="str">
        <x:v>Croydon 045E</x:v>
      </x:c>
      <x:c r="E14" s="12" t="n">
        <x:v>94</x:v>
      </x:c>
      <x:c r="F14" s="12" t="n">
        <x:v>95</x:v>
      </x:c>
      <x:c r="G14" s="12" t="n">
        <x:v>38</x:v>
      </x:c>
      <x:c r="H14" s="12" t="n">
        <x:v>62</x:v>
      </x:c>
      <x:c r="I14" s="12" t="n">
        <x:v>78</x:v>
      </x:c>
      <x:c r="J14" s="12"/>
      <x:c r="K14" s="12"/>
      <x:c r="L14" s="12" t="n">
        <x:f>ROUND(E14*0.35+F14*0.25+H14*0.20+I14*0.20,0)</x:f>
        <x:v>85</x:v>
      </x:c>
      <x:c r="M14" s="12" t="str">
        <x:f>IF(OR(J14="",K14=""),"",ROUND(E14*0.30+F14*0.20+H14*0.15+I14*0.10+J14*0.10+K14*0.15,0))</x:f>
      </x:c>
      <x:c r="N14" s="12" t="str">
        <x:f>IF(M14&lt;&gt;"",IF(M14&gt;=85,"ATTACK HARD",IF(M14&gt;=72,"ATTACK",IF(M14&gt;=58,"TEST / SELECTIVE","DEFEND CORE"))),IF(L14&gt;=85,"ATTACK HARD",IF(L14&gt;=72,"ATTACK",IF(L14&gt;=58,"TEST / SELECTIVE","DEFEND CORE"))))</x:f>
        <x:v>ATTACK HARD</x:v>
      </x:c>
      <x:c r="O14" s="12" t="str">
        <x:v>Hat-Trick / First Match Welcome</x:v>
      </x:c>
      <x:c r="P14" s="12" t="str">
        <x:v>Croydon + Lewisham + The Glades + grassroots</x:v>
      </x:c>
      <x:c r="Q14" s="12" t="str">
        <x:v>Your women’s football plan this Sunday.</x:v>
      </x:c>
      <x:c r="R14" s="12" t="str">
        <x:v>First-time family buyers</x:v>
      </x:c>
      <x:c r="S14" s="12" t="str">
        <x:v>Second purchase ≤90d</x:v>
      </x:c>
      <x:c r="T14" s="12" t="str">
        <x:v>Low local WSL and TV conflict currently identified</x:v>
      </x:c>
      <x:c r="U14" s="12" t="str">
        <x:v>The Glades + Match &amp; Meal + grassroots</x:v>
      </x:c>
      <x:c r="V14" s="12" t="str">
        <x:v>ATTACK HARD</x:v>
      </x:c>
      <x:c r="W14" s="12" t="str">
        <x:v>HIGH</x:v>
      </x:c>
      <x:c r="X14" s="12" t="str">
        <x:v>PL TV selection + 7d weather</x:v>
      </x:c>
      <x:c r="Y14" s="12" t="str"/>
      <x:c r="Z14" s="12" t="str">
        <x:v>PLANNING</x:v>
      </x:c>
    </x:row>
    <x:row r="15">
      <x:c r="A15" s="12" t="str">
        <x:v>2027-04-04</x:v>
      </x:c>
      <x:c r="B15" s="12" t="str">
        <x:v>Charlton Athletic</x:v>
      </x:c>
      <x:c r="C15" s="12" t="str">
        <x:v>15:00</x:v>
      </x:c>
      <x:c r="D15" s="12" t="str">
        <x:v>Lewisham 030A</x:v>
      </x:c>
      <x:c r="E15" s="12" t="n">
        <x:v>83</x:v>
      </x:c>
      <x:c r="F15" s="12" t="n">
        <x:v>82</x:v>
      </x:c>
      <x:c r="G15" s="12" t="n">
        <x:v>68</x:v>
      </x:c>
      <x:c r="H15" s="12" t="n">
        <x:v>32</x:v>
      </x:c>
      <x:c r="I15" s="12" t="n">
        <x:v>82</x:v>
      </x:c>
      <x:c r="J15" s="12"/>
      <x:c r="K15" s="12"/>
      <x:c r="L15" s="12" t="n">
        <x:f>ROUND(E15*0.35+F15*0.25+H15*0.20+I15*0.20,0)</x:f>
        <x:v>72</x:v>
      </x:c>
      <x:c r="M15" s="12" t="str">
        <x:f>IF(OR(J15="",K15=""),"",ROUND(E15*0.30+F15*0.20+H15*0.15+I15*0.10+J15*0.10+K15*0.15,0))</x:f>
      </x:c>
      <x:c r="N15" s="12" t="str">
        <x:f>IF(M15&lt;&gt;"",IF(M15&gt;=85,"ATTACK HARD",IF(M15&gt;=72,"ATTACK",IF(M15&gt;=58,"TEST / SELECTIVE","DEFEND CORE"))),IF(L15&gt;=85,"ATTACK HARD",IF(L15&gt;=72,"ATTACK",IF(L15&gt;=58,"TEST / SELECTIVE","DEFEND CORE"))))</x:f>
        <x:v>ATTACK</x:v>
      </x:c>
      <x:c r="O15" s="12" t="str">
        <x:v>Derby group / Hat-Trick</x:v>
      </x:c>
      <x:c r="P15" s="12" t="str">
        <x:v>Lewisham + Greenwich grassroots</x:v>
      </x:c>
      <x:c r="Q15" s="12" t="str">
        <x:v>South London derby day.</x:v>
      </x:c>
      <x:c r="R15" s="12" t="str">
        <x:v>Group conversion</x:v>
      </x:c>
      <x:c r="S15" s="12" t="str">
        <x:v>New SE London households</x:v>
      </x:c>
      <x:c r="T15" s="12" t="str">
        <x:v>Charlton direct opponent; Palace away</x:v>
      </x:c>
      <x:c r="U15" s="12" t="str">
        <x:v>Hospitality + community organisations</x:v>
      </x:c>
      <x:c r="V15" s="12" t="str">
        <x:v>DERBY ATTACK</x:v>
      </x:c>
      <x:c r="W15" s="12" t="str">
        <x:v>HIGH</x:v>
      </x:c>
      <x:c r="X15" s="12" t="str">
        <x:v>FA Cup QF schedule + weather</x:v>
      </x:c>
      <x:c r="Y15" s="12" t="str"/>
      <x:c r="Z15" s="12" t="str">
        <x:v>PLANNING</x:v>
      </x:c>
    </x:row>
    <x:row r="16">
      <x:c r="A16" s="12" t="str">
        <x:v>2027-05-02</x:v>
      </x:c>
      <x:c r="B16" s="12" t="str">
        <x:v>Tottenham Hotspur</x:v>
      </x:c>
      <x:c r="C16" s="12" t="str">
        <x:v>15:00</x:v>
      </x:c>
      <x:c r="D16" s="12" t="str">
        <x:v>Bromley 016B</x:v>
      </x:c>
      <x:c r="E16" s="12" t="n">
        <x:v>95</x:v>
      </x:c>
      <x:c r="F16" s="12" t="n">
        <x:v>45</x:v>
      </x:c>
      <x:c r="G16" s="12" t="n">
        <x:v>62</x:v>
      </x:c>
      <x:c r="H16" s="12" t="n">
        <x:v>38</x:v>
      </x:c>
      <x:c r="I16" s="12" t="n">
        <x:v>82</x:v>
      </x:c>
      <x:c r="J16" s="12"/>
      <x:c r="K16" s="12"/>
      <x:c r="L16" s="12" t="n">
        <x:f>ROUND(E16*0.35+F16*0.25+H16*0.20+I16*0.20,0)</x:f>
        <x:v>69</x:v>
      </x:c>
      <x:c r="M16" s="12" t="str">
        <x:f>IF(OR(J16="",K16=""),"",ROUND(E16*0.30+F16*0.20+H16*0.15+I16*0.10+J16*0.10+K16*0.15,0))</x:f>
      </x:c>
      <x:c r="N16" s="12" t="str">
        <x:f>IF(M16&lt;&gt;"",IF(M16&gt;=85,"ATTACK HARD",IF(M16&gt;=72,"ATTACK",IF(M16&gt;=58,"TEST / SELECTIVE","DEFEND CORE"))),IF(L16&gt;=85,"ATTACK HARD",IF(L16&gt;=72,"ATTACK",IF(L16&gt;=58,"TEST / SELECTIVE","DEFEND CORE"))))</x:f>
        <x:v>TEST / SELECTIVE</x:v>
      </x:c>
      <x:c r="O16" s="12" t="str">
        <x:v>Family day / Match + Meal</x:v>
      </x:c>
      <x:c r="P16" s="12" t="str">
        <x:v>Bromley leisure + CRM</x:v>
      </x:c>
      <x:c r="Q16" s="12" t="str">
        <x:v>Make it your bank-holiday weekend match.</x:v>
      </x:c>
      <x:c r="R16" s="12" t="str">
        <x:v>Family attendance</x:v>
      </x:c>
      <x:c r="S16" s="12" t="str">
        <x:v>Local offer redemption</x:v>
      </x:c>
      <x:c r="T16" s="12" t="str">
        <x:v>Palace home; leisure/travel competition high</x:v>
      </x:c>
      <x:c r="U16" s="12" t="str">
        <x:v>Restaurants + leisure venues</x:v>
      </x:c>
      <x:c r="V16" s="12" t="str">
        <x:v>FAMILY LEISURE</x:v>
      </x:c>
      <x:c r="W16" s="12" t="str">
        <x:v>HIGH</x:v>
      </x:c>
      <x:c r="X16" s="12" t="str">
        <x:v>Weather is key + PL changes</x:v>
      </x:c>
      <x:c r="Y16" s="12" t="str"/>
      <x:c r="Z16" s="12" t="str">
        <x:v>PLANNING</x:v>
      </x:c>
    </x:row>
    <x:row r="17">
      <x:c r="A17" s="12" t="str">
        <x:v>2027-05-22</x:v>
      </x:c>
      <x:c r="B17" s="12" t="str">
        <x:v>Aston Villa</x:v>
      </x:c>
      <x:c r="C17" s="12" t="str">
        <x:v>TBC</x:v>
      </x:c>
      <x:c r="D17" s="12" t="str">
        <x:v>Bromley 026A</x:v>
      </x:c>
      <x:c r="E17" s="12" t="n">
        <x:v>90</x:v>
      </x:c>
      <x:c r="F17" s="12" t="n">
        <x:v>90</x:v>
      </x:c>
      <x:c r="G17" s="12" t="n">
        <x:v>100</x:v>
      </x:c>
      <x:c r="H17" s="12" t="n">
        <x:v>0</x:v>
      </x:c>
      <x:c r="I17" s="12" t="n">
        <x:v>62</x:v>
      </x:c>
      <x:c r="J17" s="12"/>
      <x:c r="K17" s="12"/>
      <x:c r="L17" s="12" t="n">
        <x:f>ROUND(E17*0.35+F17*0.25+H17*0.20+I17*0.20,0)</x:f>
        <x:v>66</x:v>
      </x:c>
      <x:c r="M17" s="12" t="str">
        <x:f>IF(OR(J17="",K17=""),"",ROUND(E17*0.30+F17*0.20+H17*0.15+I17*0.10+J17*0.10+K17*0.15,0))</x:f>
      </x:c>
      <x:c r="N17" s="12" t="str">
        <x:f>IF(M17&lt;&gt;"",IF(M17&gt;=85,"ATTACK HARD",IF(M17&gt;=72,"ATTACK",IF(M17&gt;=58,"TEST / SELECTIVE","DEFEND CORE"))),IF(L17&gt;=85,"ATTACK HARD",IF(L17&gt;=72,"ATTACK",IF(L17&gt;=58,"TEST / SELECTIVE","DEFEND CORE"))))</x:f>
        <x:v>TEST / SELECTIVE</x:v>
      </x:c>
      <x:c r="O17" s="12" t="str">
        <x:v>Season finale / premium + family</x:v>
      </x:c>
      <x:c r="P17" s="12" t="str">
        <x:v>Advance CRM + local event partners</x:v>
      </x:c>
      <x:c r="Q17" s="12" t="str">
        <x:v>One last Hayes Lane day together.</x:v>
      </x:c>
      <x:c r="R17" s="12" t="str">
        <x:v>Advance attendance</x:v>
      </x:c>
      <x:c r="S17" s="12" t="str">
        <x:v>Season renewal intent</x:v>
      </x:c>
      <x:c r="T17" s="12" t="str">
        <x:v>FA Cup Final same day</x:v>
      </x:c>
      <x:c r="U17" s="12" t="str">
        <x:v>Town-centre season-finale activation</x:v>
      </x:c>
      <x:c r="V17" s="12" t="str">
        <x:v>FINALE EVENT</x:v>
      </x:c>
      <x:c r="W17" s="12" t="str">
        <x:v>VERY HIGH</x:v>
      </x:c>
      <x:c r="X17" s="12" t="str">
        <x:v>Final KO + FA Cup KO + weather</x:v>
      </x:c>
      <x:c r="Y17" s="12" t="str"/>
      <x:c r="Z17" s="12" t="str">
        <x:v>PLANNING</x:v>
      </x:c>
    </x:row>
  </x:sheetData>
  <x:mergeCells>
    <x:mergeCell ref="A1:Z1"/>
    <x:mergeCell ref="A2:Z2"/>
  </x:mergeCells>
  <x:conditionalFormatting sqref="L5:M17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G5:G17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2">
    <x:dataValidation type="list" sqref="X5:X17">
      <x:formula1>"24h weather + sell-through,7d weather + England logistics,7d weather + TV changes,7d weather + sell-through,TV selections + weather,6w creative + 7d weather,FA Cup draw + weather,TV selection + weather,Locked clash + weather,PL TV selection + 7d weather,FA Cup QF schedule + weather,Weather is key + PL changes,Final KO + FA Cup KO + weather"</x:formula1>
    </x:dataValidation>
    <x:dataValidation type="list" sqref="Z5:Z17">
      <x:formula1>"PLANNING,LIVE,COMPLETE"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20" hidden="0" customWidth="1"/>
    <x:col min="5" max="5" width="24" hidden="0" customWidth="1"/>
    <x:col min="6" max="6" width="30" hidden="0" customWidth="1"/>
    <x:col min="7" max="7" width="34" hidden="0" customWidth="1"/>
    <x:col min="8" max="8" width="52" hidden="0" customWidth="1"/>
    <x:col min="10" max="10" width="8" hidden="0" customWidth="1"/>
    <x:col min="11" max="11" width="18" hidden="0" customWidth="1"/>
    <x:col min="12" max="12" width="58" hidden="0" customWidth="1"/>
  </x:cols>
  <x:sheetData>
    <x:row r="1">
      <x:c r="A1" s="201" t="str">
        <x:v>Weekly Matchday Decision Dashboard</x:v>
      </x:c>
    </x:row>
    <x:row r="2">
      <x:c r="A2" t="str">
        <x:v>Use this as the weekly operating view. Update weather + attendance momentum, then follow the decision.</x:v>
      </x:c>
    </x:row>
    <x:row r="4">
      <x:c r="A4" s="204" t="str">
        <x:v>Fixture</x:v>
      </x:c>
      <x:c r="B4" s="204" t="str">
        <x:v>Planning Score</x:v>
      </x:c>
      <x:c r="C4" s="204" t="str">
        <x:v>Live Score</x:v>
      </x:c>
      <x:c r="D4" s="204" t="str">
        <x:v>Decision</x:v>
      </x:c>
      <x:c r="E4" s="204" t="str">
        <x:v>Territory</x:v>
      </x:c>
      <x:c r="F4" s="204" t="str">
        <x:v>Product</x:v>
      </x:c>
      <x:c r="G4" s="204" t="str">
        <x:v>Channel</x:v>
      </x:c>
      <x:c r="H4" s="204" t="str">
        <x:v>Message</x:v>
      </x:c>
      <x:c r="J4" s="206" t="str">
        <x:v>Operating Rules</x:v>
      </x:c>
    </x:row>
    <x:row r="5">
      <x:c r="A5" s="12" t="str">
        <x:v>Manchester United</x:v>
      </x:c>
      <x:c r="B5" s="12" t="n">
        <x:f>'Weekly Decision Engine'!L5</x:f>
        <x:v>76</x:v>
      </x:c>
      <x:c r="C5" s="12" t="str">
        <x:f>'Weekly Decision Engine'!M5</x:f>
      </x:c>
      <x:c r="D5" s="12" t="str">
        <x:f>'Weekly Decision Engine'!N5</x:f>
        <x:v>ATTACK</x:v>
      </x:c>
      <x:c r="E5" s="12" t="str">
        <x:v>Bromley 016B</x:v>
      </x:c>
      <x:c r="F5" s="12" t="str">
        <x:v>Single match / VIP Terrace</x:v>
      </x:c>
      <x:c r="G5" s="12" t="str">
        <x:v>Core CRM + local awareness</x:v>
      </x:c>
      <x:c r="H5" s="12" t="str">
        <x:v>Season opener. Be there.</x:v>
      </x:c>
      <x:c r="J5" s="209" t="str">
        <x:v>1</x:v>
      </x:c>
      <x:c r="K5" s="12" t="str">
        <x:v>6 weeks out</x:v>
      </x:c>
      <x:c r="L5" s="12" t="str">
        <x:v>Refresh broadcast / FA Cup / major-event competition.</x:v>
      </x:c>
    </x:row>
    <x:row r="6">
      <x:c r="A6" s="12" t="str">
        <x:v>Brighton</x:v>
      </x:c>
      <x:c r="B6" s="12" t="n">
        <x:f>'Weekly Decision Engine'!L6</x:f>
        <x:v>59</x:v>
      </x:c>
      <x:c r="C6" s="12" t="str">
        <x:f>'Weekly Decision Engine'!M6</x:f>
      </x:c>
      <x:c r="D6" s="12" t="str">
        <x:f>'Weekly Decision Engine'!N6</x:f>
        <x:v>TEST / SELECTIVE</x:v>
      </x:c>
      <x:c r="E6" s="12" t="str">
        <x:v>Croydon 045E</x:v>
      </x:c>
      <x:c r="F6" s="12" t="str">
        <x:v>Hat-Trick / first-timer</x:v>
      </x:c>
      <x:c r="G6" s="12" t="str">
        <x:v>Croydon grassroots + local digital</x:v>
      </x:c>
      <x:c r="H6" s="12" t="str">
        <x:v>Live football before England tonight.</x:v>
      </x:c>
      <x:c r="J6" s="209" t="str">
        <x:v>2</x:v>
      </x:c>
      <x:c r="K6" s="12" t="str">
        <x:v>7 days out</x:v>
      </x:c>
      <x:c r="L6" s="12" t="str">
        <x:v>Add weather forecast + latest sales/attendance momentum.</x:v>
      </x:c>
    </x:row>
    <x:row r="7">
      <x:c r="A7" s="12" t="str">
        <x:v>Everton</x:v>
      </x:c>
      <x:c r="B7" s="12" t="n">
        <x:f>'Weekly Decision Engine'!L7</x:f>
        <x:v>48</x:v>
      </x:c>
      <x:c r="C7" s="12" t="str">
        <x:f>'Weekly Decision Engine'!M7</x:f>
      </x:c>
      <x:c r="D7" s="12" t="str">
        <x:f>'Weekly Decision Engine'!N7</x:f>
        <x:v>DEFEND CORE</x:v>
      </x:c>
      <x:c r="E7" s="12" t="str">
        <x:v>Bromley 016B</x:v>
      </x:c>
      <x:c r="F7" s="12" t="str">
        <x:v>Single match / existing holder utilisation</x:v>
      </x:c>
      <x:c r="G7" s="12" t="str">
        <x:v>CRM + Sister Clubs</x:v>
      </x:c>
      <x:c r="H7" s="12" t="str">
        <x:v>Your local Sunday match.</x:v>
      </x:c>
      <x:c r="J7" s="209" t="str">
        <x:v>3</x:v>
      </x:c>
      <x:c r="K7" s="12" t="str">
        <x:v>72 hours out</x:v>
      </x:c>
      <x:c r="L7" s="12" t="str">
        <x:v>Re-run decision; shift spend by territory/channel.</x:v>
      </x:c>
    </x:row>
    <x:row r="8">
      <x:c r="A8" s="12" t="str">
        <x:v>Manchester City</x:v>
      </x:c>
      <x:c r="B8" s="12" t="n">
        <x:f>'Weekly Decision Engine'!L8</x:f>
        <x:v>71</x:v>
      </x:c>
      <x:c r="C8" s="12" t="str">
        <x:f>'Weekly Decision Engine'!M8</x:f>
      </x:c>
      <x:c r="D8" s="12" t="str">
        <x:f>'Weekly Decision Engine'!N8</x:f>
        <x:v>TEST / SELECTIVE</x:v>
      </x:c>
      <x:c r="E8" s="12" t="str">
        <x:v>Croydon 045E</x:v>
      </x:c>
      <x:c r="F8" s="12" t="str">
        <x:v>Hat-Trick / First Match Welcome</x:v>
      </x:c>
      <x:c r="G8" s="12" t="str">
        <x:v>Croydon grassroots + geo-paid</x:v>
      </x:c>
      <x:c r="H8" s="12" t="str">
        <x:v>Manchester City without crossing London.</x:v>
      </x:c>
      <x:c r="J8" s="209" t="str">
        <x:v>4</x:v>
      </x:c>
      <x:c r="K8" s="12" t="str">
        <x:v>24 hours out</x:v>
      </x:c>
      <x:c r="L8" s="12" t="str">
        <x:v>Lock operational message: weather, travel, scarcity, family info.</x:v>
      </x:c>
    </x:row>
    <x:row r="9">
      <x:c r="A9" s="12" t="str">
        <x:v>Birmingham City</x:v>
      </x:c>
      <x:c r="B9" s="12" t="n">
        <x:f>'Weekly Decision Engine'!L9</x:f>
        <x:v>55</x:v>
      </x:c>
      <x:c r="C9" s="12" t="str">
        <x:f>'Weekly Decision Engine'!M9</x:f>
      </x:c>
      <x:c r="D9" s="12" t="str">
        <x:f>'Weekly Decision Engine'!N9</x:f>
        <x:v>DEFEND CORE</x:v>
      </x:c>
      <x:c r="E9" s="12" t="str">
        <x:v>Bromley 026A</x:v>
      </x:c>
      <x:c r="F9" s="12" t="str">
        <x:v>Family / group pack</x:v>
      </x:c>
      <x:c r="G9" s="12" t="str">
        <x:v>Grassroots + schools</x:v>
      </x:c>
      <x:c r="H9" s="12" t="str">
        <x:v>Football before the football.</x:v>
      </x:c>
      <x:c r="J9" s="209" t="str">
        <x:v>5</x:v>
      </x:c>
      <x:c r="K9" s="12" t="str">
        <x:v>+24 hours</x:v>
      </x:c>
      <x:c r="L9" s="12" t="str">
        <x:v>Log attendance, scans, product mix, channel and learning.</x:v>
      </x:c>
    </x:row>
    <x:row r="10">
      <x:c r="A10" s="12" t="str">
        <x:v>Crystal Palace</x:v>
      </x:c>
      <x:c r="B10" s="12" t="n">
        <x:f>'Weekly Decision Engine'!L10</x:f>
        <x:v>78</x:v>
      </x:c>
      <x:c r="C10" s="12" t="str">
        <x:f>'Weekly Decision Engine'!M10</x:f>
      </x:c>
      <x:c r="D10" s="12" t="str">
        <x:f>'Weekly Decision Engine'!N10</x:f>
        <x:v>ATTACK</x:v>
      </x:c>
      <x:c r="E10" s="12" t="str">
        <x:v>Croydon 045E</x:v>
      </x:c>
      <x:c r="F10" s="12" t="str">
        <x:v>Derby single / group blocks</x:v>
      </x:c>
      <x:c r="G10" s="12" t="str">
        <x:v>Croydon + Bromley + neutral South London</x:v>
      </x:c>
      <x:c r="H10" s="12" t="str">
        <x:v>South London has a derby.</x:v>
      </x:c>
      <x:c r="J10" s="209" t="str">
        <x:v>6</x:v>
      </x:c>
      <x:c r="K10" s="12" t="str">
        <x:v>+7 days</x:v>
      </x:c>
      <x:c r="L10" s="12" t="str">
        <x:v>Update repeat-purchase cohorts and engine assumptions.</x:v>
      </x:c>
    </x:row>
    <x:row r="11">
      <x:c r="A11" s="12" t="str">
        <x:v>West Ham</x:v>
      </x:c>
      <x:c r="B11" s="12" t="n">
        <x:f>'Weekly Decision Engine'!L11</x:f>
        <x:v>57</x:v>
      </x:c>
      <x:c r="C11" s="12" t="str">
        <x:f>'Weekly Decision Engine'!M11</x:f>
      </x:c>
      <x:c r="D11" s="12" t="str">
        <x:f>'Weekly Decision Engine'!N11</x:f>
        <x:v>DEFEND CORE</x:v>
      </x:c>
      <x:c r="E11" s="12" t="str">
        <x:v>Bromley 016B</x:v>
      </x:c>
      <x:c r="F11" s="12" t="str">
        <x:v>Family / Hat-Trick</x:v>
      </x:c>
      <x:c r="G11" s="12" t="str">
        <x:v>Core CRM + grassroots</x:v>
      </x:c>
      <x:c r="H11" s="12" t="str">
        <x:v>Start the year at Hayes Lane.</x:v>
      </x:c>
    </x:row>
    <x:row r="12">
      <x:c r="A12" s="12" t="str">
        <x:v>Arsenal</x:v>
      </x:c>
      <x:c r="B12" s="12" t="n">
        <x:f>'Weekly Decision Engine'!L12</x:f>
        <x:v>80</x:v>
      </x:c>
      <x:c r="C12" s="12" t="str">
        <x:f>'Weekly Decision Engine'!M12</x:f>
      </x:c>
      <x:c r="D12" s="12" t="str">
        <x:f>'Weekly Decision Engine'!N12</x:f>
        <x:v>ATTACK</x:v>
      </x:c>
      <x:c r="E12" s="12" t="str">
        <x:v>Croydon 045E</x:v>
      </x:c>
      <x:c r="F12" s="12" t="str">
        <x:v>Hat-Trick / premium / first-timer</x:v>
      </x:c>
      <x:c r="G12" s="12" t="str">
        <x:v>Croydon + Bromley paid + grassroots</x:v>
      </x:c>
      <x:c r="H12" s="12" t="str">
        <x:v>Arsenal at Hayes Lane. Elite football closer to home.</x:v>
      </x:c>
    </x:row>
    <x:row r="13">
      <x:c r="A13" s="12" t="str">
        <x:v>Chelsea</x:v>
      </x:c>
      <x:c r="B13" s="12" t="n">
        <x:f>'Weekly Decision Engine'!L13</x:f>
        <x:v>57</x:v>
      </x:c>
      <x:c r="C13" s="12" t="str">
        <x:f>'Weekly Decision Engine'!M13</x:f>
      </x:c>
      <x:c r="D13" s="12" t="str">
        <x:f>'Weekly Decision Engine'!N13</x:f>
        <x:v>DEFEND CORE</x:v>
      </x:c>
      <x:c r="E13" s="12" t="str">
        <x:v>Bromley 016B</x:v>
      </x:c>
      <x:c r="F13" s="12" t="str">
        <x:v>Premium / committed-fan single</x:v>
      </x:c>
      <x:c r="G13" s="12" t="str">
        <x:v>CRM + high-intent retargeting</x:v>
      </x:c>
      <x:c r="H13" s="12" t="str">
        <x:v>Chelsea at Hayes Lane.</x:v>
      </x:c>
      <x:c r="J13" s="211" t="str">
        <x:v>Post-Match Learning Loop</x:v>
      </x:c>
    </x:row>
    <x:row r="14">
      <x:c r="A14" s="12" t="str">
        <x:v>Liverpool</x:v>
      </x:c>
      <x:c r="B14" s="12" t="n">
        <x:f>'Weekly Decision Engine'!L14</x:f>
        <x:v>85</x:v>
      </x:c>
      <x:c r="C14" s="12" t="str">
        <x:f>'Weekly Decision Engine'!M14</x:f>
      </x:c>
      <x:c r="D14" s="12" t="str">
        <x:f>'Weekly Decision Engine'!N14</x:f>
        <x:v>ATTACK HARD</x:v>
      </x:c>
      <x:c r="E14" s="12" t="str">
        <x:v>Croydon 045E</x:v>
      </x:c>
      <x:c r="F14" s="12" t="str">
        <x:v>Hat-Trick / First Match Welcome</x:v>
      </x:c>
      <x:c r="G14" s="12" t="str">
        <x:v>Croydon + Lewisham + The Glades + grassroots</x:v>
      </x:c>
      <x:c r="H14" s="12" t="str">
        <x:v>Your women’s football plan this Sunday.</x:v>
      </x:c>
      <x:c r="J14" s="209" t="str">
        <x:v>Metric</x:v>
      </x:c>
      <x:c r="K14" s="209" t="str">
        <x:v>Why</x:v>
      </x:c>
      <x:c r="L14" s="209" t="str">
        <x:v>Minimum field</x:v>
      </x:c>
    </x:row>
    <x:row r="15">
      <x:c r="A15" s="12" t="str">
        <x:v>Charlton Athletic</x:v>
      </x:c>
      <x:c r="B15" s="12" t="n">
        <x:f>'Weekly Decision Engine'!L15</x:f>
        <x:v>72</x:v>
      </x:c>
      <x:c r="C15" s="12" t="str">
        <x:f>'Weekly Decision Engine'!M15</x:f>
      </x:c>
      <x:c r="D15" s="12" t="str">
        <x:f>'Weekly Decision Engine'!N15</x:f>
        <x:v>ATTACK</x:v>
      </x:c>
      <x:c r="E15" s="12" t="str">
        <x:v>Lewisham 030A</x:v>
      </x:c>
      <x:c r="F15" s="12" t="str">
        <x:v>Derby group / Hat-Trick</x:v>
      </x:c>
      <x:c r="G15" s="12" t="str">
        <x:v>Lewisham + Greenwich grassroots</x:v>
      </x:c>
      <x:c r="H15" s="12" t="str">
        <x:v>South London derby day.</x:v>
      </x:c>
      <x:c r="J15" s="12" t="str">
        <x:v>Tickets sold</x:v>
      </x:c>
      <x:c r="K15" s="12" t="str">
        <x:v>Demand</x:v>
      </x:c>
      <x:c r="L15" s="12" t="str">
        <x:v>qty</x:v>
      </x:c>
    </x:row>
    <x:row r="16">
      <x:c r="A16" s="12" t="str">
        <x:v>Tottenham Hotspur</x:v>
      </x:c>
      <x:c r="B16" s="12" t="n">
        <x:f>'Weekly Decision Engine'!L16</x:f>
        <x:v>69</x:v>
      </x:c>
      <x:c r="C16" s="12" t="str">
        <x:f>'Weekly Decision Engine'!M16</x:f>
      </x:c>
      <x:c r="D16" s="12" t="str">
        <x:f>'Weekly Decision Engine'!N16</x:f>
        <x:v>TEST / SELECTIVE</x:v>
      </x:c>
      <x:c r="E16" s="12" t="str">
        <x:v>Bromley 016B</x:v>
      </x:c>
      <x:c r="F16" s="12" t="str">
        <x:v>Family day / Match + Meal</x:v>
      </x:c>
      <x:c r="G16" s="12" t="str">
        <x:v>Bromley leisure + CRM</x:v>
      </x:c>
      <x:c r="H16" s="12" t="str">
        <x:v>Make it your bank-holiday weekend match.</x:v>
      </x:c>
      <x:c r="J16" s="12" t="str">
        <x:v>Scans</x:v>
      </x:c>
      <x:c r="K16" s="12" t="str">
        <x:v>Actual attendance</x:v>
      </x:c>
      <x:c r="L16" s="12" t="str">
        <x:v>qty</x:v>
      </x:c>
    </x:row>
    <x:row r="17">
      <x:c r="A17" s="12" t="str">
        <x:v>Aston Villa</x:v>
      </x:c>
      <x:c r="B17" s="12" t="n">
        <x:f>'Weekly Decision Engine'!L17</x:f>
        <x:v>66</x:v>
      </x:c>
      <x:c r="C17" s="12" t="n">
        <x:f>'Weekly Decision Engine'!M17</x:f>
        <x:v>0</x:v>
      </x:c>
      <x:c r="D17" s="12" t="str">
        <x:f>'Weekly Decision Engine'!N17</x:f>
        <x:v>TEST / SELECTIVE</x:v>
      </x:c>
      <x:c r="E17" s="12" t="str">
        <x:v>Bromley 026A</x:v>
      </x:c>
      <x:c r="F17" s="12" t="str">
        <x:v>Season finale / premium + family</x:v>
      </x:c>
      <x:c r="G17" s="12" t="str">
        <x:v>Advance CRM + local event partners</x:v>
      </x:c>
      <x:c r="H17" s="12" t="str">
        <x:v>One last Hayes Lane day together.</x:v>
      </x:c>
      <x:c r="J17" s="12" t="str">
        <x:v>Realised £/ticket</x:v>
      </x:c>
      <x:c r="K17" s="12" t="str">
        <x:v>Yield</x:v>
      </x:c>
      <x:c r="L17" s="12" t="str">
        <x:v>£</x:v>
      </x:c>
    </x:row>
    <x:row r="18">
      <x:c r="J18" s="12" t="str">
        <x:v>First-time households</x:v>
      </x:c>
      <x:c r="K18" s="12" t="str">
        <x:v>Acquisition</x:v>
      </x:c>
      <x:c r="L18" s="12" t="str">
        <x:v>qty</x:v>
      </x:c>
    </x:row>
    <x:row r="19">
      <x:c r="J19" s="12" t="str">
        <x:v>Repeat ≤90d</x:v>
      </x:c>
      <x:c r="K19" s="12" t="str">
        <x:v>Habit</x:v>
      </x:c>
      <x:c r="L19" s="12" t="str">
        <x:v>%</x:v>
      </x:c>
    </x:row>
    <x:row r="20">
      <x:c r="J20" s="12" t="str">
        <x:v>Bundle utilisation</x:v>
      </x:c>
      <x:c r="K20" s="12" t="str">
        <x:v>Commitment</x:v>
      </x:c>
      <x:c r="L20" s="12" t="str">
        <x:v>%</x:v>
      </x:c>
    </x:row>
    <x:row r="21">
      <x:c r="J21" s="12" t="str">
        <x:v>Channel / partner code</x:v>
      </x:c>
      <x:c r="K21" s="12" t="str">
        <x:v>Attribution</x:v>
      </x:c>
      <x:c r="L21" s="12" t="str">
        <x:v>text</x:v>
      </x:c>
    </x:row>
  </x:sheetData>
  <x:mergeCells>
    <x:mergeCell ref="A1:N1"/>
    <x:mergeCell ref="A2:N2"/>
    <x:mergeCell ref="J4:N4"/>
    <x:mergeCell ref="J13:N13"/>
  </x:mergeCells>
  <x:conditionalFormatting sqref="B5:C17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213" t="str">
        <x:v>Decision Engine Method</x:v>
      </x:c>
    </x:row>
    <x:row r="3">
      <x:c r="A3" s="209" t="str">
        <x:v>Variable</x:v>
      </x:c>
      <x:c r="B3" s="12" t="str">
        <x:v>Definition</x:v>
      </x:c>
    </x:row>
    <x:row r="4">
      <x:c r="A4" s="209" t="str">
        <x:v>Territory Opportunity</x:v>
      </x:c>
      <x:c r="B4" s="12" t="str">
        <x:v>Structural score from families + girls-football network + validated matchday access.</x:v>
      </x:c>
    </x:row>
    <x:row r="5">
      <x:c r="A5" s="209" t="str">
        <x:v>Calendar Whitespace</x:v>
      </x:c>
      <x:c r="B5" s="12" t="str">
        <x:v>Availability of women's-football alternatives from nearby competitors.</x:v>
      </x:c>
    </x:row>
    <x:row r="6">
      <x:c r="A6" s="209" t="str">
        <x:v>Attention Availability</x:v>
      </x:c>
      <x:c r="B6" s="12" t="str">
        <x:v>100 minus Attention Pressure from major events, holidays, sport and TV.</x:v>
      </x:c>
    </x:row>
    <x:row r="7">
      <x:c r="A7" s="209" t="str">
        <x:v>Fixture Appeal</x:v>
      </x:c>
      <x:c r="B7" s="12" t="str">
        <x:v>Provisional expert heuristic using opponent brand, rivalry and likely occasion. Must be replaced by observed demand once enough data exists.</x:v>
      </x:c>
    </x:row>
    <x:row r="8">
      <x:c r="A8" s="209" t="str">
        <x:v>Weather Suitability</x:v>
      </x:c>
      <x:c r="B8" s="12" t="str">
        <x:v>Live 0–100 input inside forecast window.</x:v>
      </x:c>
    </x:row>
    <x:row r="9">
      <x:c r="A9" s="209" t="str">
        <x:v>Attendance Momentum</x:v>
      </x:c>
      <x:c r="B9" s="12" t="str">
        <x:v>Live 0–100 input; 50 neutral baseline, &gt;50 positive recent demand.</x:v>
      </x:c>
    </x:row>
    <x:row r="10">
      <x:c r="A10" s="209" t="str">
        <x:v>Planning Score</x:v>
      </x:c>
      <x:c r="B10" s="12" t="str">
        <x:v>35% Territory + 25% Calendar + 20% Attention Availability + 20% Fixture Appeal.</x:v>
      </x:c>
    </x:row>
    <x:row r="11">
      <x:c r="A11" s="209"/>
      <x:c r="B11" s="12"/>
    </x:row>
    <x:row r="12">
      <x:c r="A12" s="209" t="str">
        <x:v>Live Score</x:v>
      </x:c>
      <x:c r="B12" s="12" t="str">
        <x:v>30% Territory + 20% Calendar + 15% Attention Availability + 10% Fixture Appeal + 10% Weather + 15% Attendance Momentum.</x:v>
      </x:c>
    </x:row>
    <x:row r="13">
      <x:c r="A13" s="209" t="str">
        <x:v>ATTACK HARD</x:v>
      </x:c>
      <x:c r="B13" s="12" t="str">
        <x:v>&gt;=85</x:v>
      </x:c>
    </x:row>
    <x:row r="14">
      <x:c r="A14" s="209" t="str">
        <x:v>ATTACK</x:v>
      </x:c>
      <x:c r="B14" s="12" t="str">
        <x:v>&gt;=72</x:v>
      </x:c>
    </x:row>
    <x:row r="15">
      <x:c r="A15" s="209" t="str">
        <x:v>TEST / SELECTIVE</x:v>
      </x:c>
      <x:c r="B15" s="12" t="str">
        <x:v>&gt;=58</x:v>
      </x:c>
    </x:row>
    <x:row r="16">
      <x:c r="A16" s="209" t="str">
        <x:v>DEFEND CORE</x:v>
      </x:c>
      <x:c r="B16" s="12" t="str">
        <x:v>&lt;58</x:v>
      </x:c>
    </x:row>
  </x:sheetData>
  <x:mergeCells>
    <x:mergeCell ref="A1:H1"/>
  </x:mergeCells>
  <x:pageMargins left="0.7" right="0.7" top="0.75" bottom="0.75" header="0.3" footer="0.3"/>
</x:worksheet>
</file>